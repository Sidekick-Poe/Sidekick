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workbookPr codeName="ThisWorkbook" defaultThemeVersion="166925"/>
  <mc:AlternateContent xmlns:mc="http://schemas.openxmlformats.org/markup-compatibility/2006">
    <mc:Choice Requires="x15">
      <x15ac:absPath xmlns:x15ac="http://schemas.microsoft.com/office/spreadsheetml/2010/11/ac" url="C:\Repos\Sidekick\"/>
    </mc:Choice>
  </mc:AlternateContent>
  <xr:revisionPtr revIDLastSave="0" documentId="13_ncr:1_{B05F0121-DA62-4442-83EB-9BFB4ED2FC50}" xr6:coauthVersionLast="47" xr6:coauthVersionMax="47" xr10:uidLastSave="{00000000-0000-0000-0000-000000000000}"/>
  <bookViews>
    <workbookView xWindow="-38520" yWindow="-120" windowWidth="38640" windowHeight="21120" tabRatio="822" firstSheet="67" activeTab="84" xr2:uid="{E781D705-06FC-40F3-B1CD-33347556BC5A}"/>
  </bookViews>
  <sheets>
    <sheet name="Sheets" sheetId="39" r:id="rId1"/>
    <sheet name="Result" sheetId="2" r:id="rId2"/>
    <sheet name="Empty" sheetId="31" r:id="rId3"/>
    <sheet name="Anomalous Gem" sheetId="41" r:id="rId4"/>
    <sheet name="Divergent Support Gem" sheetId="15" r:id="rId5"/>
    <sheet name="Phantasmal Gem" sheetId="30" r:id="rId6"/>
    <sheet name="Chaos Orb" sheetId="35" r:id="rId7"/>
    <sheet name="Resonator" sheetId="38" r:id="rId8"/>
    <sheet name="Card" sheetId="32" r:id="rId9"/>
    <sheet name="Metamorph Sample" sheetId="40" r:id="rId10"/>
    <sheet name="Blighted Map" sheetId="29" r:id="rId11"/>
    <sheet name="Blight-ravaged Map" sheetId="47" r:id="rId12"/>
    <sheet name="Blueprint" sheetId="50" r:id="rId13"/>
    <sheet name="Contract" sheetId="54" r:id="rId14"/>
    <sheet name="Logbook" sheetId="36" r:id="rId15"/>
    <sheet name="Map" sheetId="34" r:id="rId16"/>
    <sheet name="Map Fragment" sheetId="48" r:id="rId17"/>
    <sheet name="Memory" sheetId="56" r:id="rId18"/>
    <sheet name="Misc Map Item" sheetId="49" r:id="rId19"/>
    <sheet name="Tome" sheetId="64" r:id="rId20"/>
    <sheet name="Hybrid Flask" sheetId="45" r:id="rId21"/>
    <sheet name="Mana Flask" sheetId="44" r:id="rId22"/>
    <sheet name="Life Flask" sheetId="43" r:id="rId23"/>
    <sheet name="Magic Utility Flask" sheetId="27" r:id="rId24"/>
    <sheet name="Foiled Amulet" sheetId="42" r:id="rId25"/>
    <sheet name="Unidentified ring" sheetId="33" r:id="rId26"/>
    <sheet name="Abyssus" sheetId="25" r:id="rId27"/>
    <sheet name="Carcass Jack" sheetId="24" r:id="rId28"/>
    <sheet name="Mistwall" sheetId="26" r:id="rId29"/>
    <sheet name="White Wind" sheetId="5" r:id="rId30"/>
    <sheet name="Crusader" sheetId="57" r:id="rId31"/>
    <sheet name="Elder" sheetId="60" r:id="rId32"/>
    <sheet name="Hunter" sheetId="62" r:id="rId33"/>
    <sheet name="Redeemer" sheetId="58" r:id="rId34"/>
    <sheet name="Shaper" sheetId="61" r:id="rId35"/>
    <sheet name="Warlord" sheetId="59" r:id="rId36"/>
    <sheet name="Abyssal Jewel" sheetId="63" r:id="rId37"/>
    <sheet name="Belt" sheetId="1" r:id="rId38"/>
    <sheet name="Boots" sheetId="23" r:id="rId39"/>
    <sheet name="Gloves" sheetId="22" r:id="rId40"/>
    <sheet name="Bow" sheetId="18" r:id="rId41"/>
    <sheet name="Claw" sheetId="4" r:id="rId42"/>
    <sheet name="Dagger" sheetId="6" r:id="rId43"/>
    <sheet name="Jewel" sheetId="46" r:id="rId44"/>
    <sheet name="Quiver" sheetId="21" r:id="rId45"/>
    <sheet name="Sceptre" sheetId="17" r:id="rId46"/>
    <sheet name="Staff" sheetId="19" r:id="rId47"/>
    <sheet name="Wand" sheetId="7" r:id="rId48"/>
    <sheet name="Warstaff" sheetId="20" r:id="rId49"/>
    <sheet name="1H Sword" sheetId="8" r:id="rId50"/>
    <sheet name="1H Thrusting Sword" sheetId="9" r:id="rId51"/>
    <sheet name="2H Sword" sheetId="10" r:id="rId52"/>
    <sheet name="1H Axe" sheetId="11" r:id="rId53"/>
    <sheet name="2H Axe" sheetId="12" r:id="rId54"/>
    <sheet name="1H Mace" sheetId="13" r:id="rId55"/>
    <sheet name="2H Mace" sheetId="14" r:id="rId56"/>
    <sheet name="Heist Brooch" sheetId="28" r:id="rId57"/>
    <sheet name="Heist Cloak" sheetId="51" r:id="rId58"/>
    <sheet name="Heist Gear" sheetId="52" r:id="rId59"/>
    <sheet name="Heist Target" sheetId="55" r:id="rId60"/>
    <sheet name="Heist Tool" sheetId="53" r:id="rId61"/>
    <sheet name="Heist Trinket" sheetId="65" r:id="rId62"/>
    <sheet name="Fishing Rod" sheetId="66" r:id="rId63"/>
    <sheet name="Tinctures" sheetId="68" r:id="rId64"/>
    <sheet name="Sanctum Relics" sheetId="67" r:id="rId65"/>
    <sheet name="Corpses" sheetId="69" r:id="rId66"/>
    <sheet name="Fire Damage Property" sheetId="70" r:id="rId67"/>
    <sheet name="Cold Damage Property" sheetId="71" r:id="rId68"/>
    <sheet name="Lightning Damage Property" sheetId="72" r:id="rId69"/>
    <sheet name="Chaos Damage Property" sheetId="73" r:id="rId70"/>
    <sheet name="Rapier" sheetId="74" r:id="rId71"/>
    <sheet name="Focus" sheetId="75" r:id="rId72"/>
    <sheet name="Socketable" sheetId="76" r:id="rId73"/>
    <sheet name="Waystone" sheetId="77" r:id="rId74"/>
    <sheet name="Barya" sheetId="78" r:id="rId75"/>
    <sheet name="Ultimatum" sheetId="79" r:id="rId76"/>
    <sheet name="Tablet" sheetId="80" r:id="rId77"/>
    <sheet name="Crossbow" sheetId="81" r:id="rId78"/>
    <sheet name="Quarterstaff" sheetId="82" r:id="rId79"/>
    <sheet name="Block Chance" sheetId="83" r:id="rId80"/>
    <sheet name="Breachstone" sheetId="84" r:id="rId81"/>
    <sheet name="Boss Key" sheetId="85" r:id="rId82"/>
    <sheet name="Omen" sheetId="86" r:id="rId83"/>
    <sheet name="Alternate Energy Shield" sheetId="87" r:id="rId84"/>
    <sheet name="Spirit" sheetId="88" r:id="rId85"/>
  </sheets>
  <definedNames>
    <definedName name="_xleta.UPPER" hidden="1" xlm="1">#NAME?</definedName>
    <definedName name="LISTSHEETS">REPLACE(GET.WORKBOOK(1),1,FIND("]",GET.WORKBOOK(1)),"")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11" i="2" l="1"/>
  <c r="T10" i="2"/>
  <c r="T9" i="2"/>
  <c r="T8" i="2"/>
  <c r="T7" i="2"/>
  <c r="T41" i="2"/>
  <c r="R41" i="2"/>
  <c r="P41" i="2"/>
  <c r="N41" i="2"/>
  <c r="L41" i="2"/>
  <c r="J41" i="2"/>
  <c r="H41" i="2"/>
  <c r="F41" i="2"/>
  <c r="D41" i="2"/>
  <c r="S41" i="2"/>
  <c r="Q41" i="2"/>
  <c r="O41" i="2"/>
  <c r="M41" i="2"/>
  <c r="K41" i="2"/>
  <c r="G41" i="2"/>
  <c r="E41" i="2"/>
  <c r="C41" i="2"/>
  <c r="A41" i="2"/>
  <c r="A40" i="2"/>
  <c r="B41" i="2"/>
  <c r="T7" i="88"/>
  <c r="R7" i="88"/>
  <c r="P7" i="88"/>
  <c r="N7" i="88"/>
  <c r="L7" i="88"/>
  <c r="J7" i="88"/>
  <c r="I41" i="2" s="1"/>
  <c r="H7" i="88"/>
  <c r="F7" i="88"/>
  <c r="D7" i="88"/>
  <c r="B7" i="88"/>
  <c r="S3" i="39"/>
  <c r="S2" i="39"/>
  <c r="T6" i="88"/>
  <c r="R6" i="88"/>
  <c r="P6" i="88"/>
  <c r="N6" i="88"/>
  <c r="L6" i="88"/>
  <c r="J6" i="88"/>
  <c r="H6" i="88"/>
  <c r="F6" i="88"/>
  <c r="D6" i="88"/>
  <c r="B6" i="88"/>
  <c r="T5" i="88"/>
  <c r="R5" i="88"/>
  <c r="P5" i="88"/>
  <c r="N5" i="88"/>
  <c r="L5" i="88"/>
  <c r="J5" i="88"/>
  <c r="H5" i="88"/>
  <c r="F5" i="88"/>
  <c r="D5" i="88"/>
  <c r="B5" i="88"/>
  <c r="T4" i="88"/>
  <c r="R4" i="88"/>
  <c r="P4" i="88"/>
  <c r="N4" i="88"/>
  <c r="L4" i="88"/>
  <c r="J4" i="88"/>
  <c r="H4" i="88"/>
  <c r="F4" i="88"/>
  <c r="D4" i="88"/>
  <c r="B4" i="88"/>
  <c r="T3" i="88"/>
  <c r="R3" i="88"/>
  <c r="P3" i="88"/>
  <c r="N3" i="88"/>
  <c r="L3" i="88"/>
  <c r="J3" i="88"/>
  <c r="H3" i="88"/>
  <c r="F3" i="88"/>
  <c r="D3" i="88"/>
  <c r="B3" i="88"/>
  <c r="A1" i="88"/>
  <c r="P9" i="87"/>
  <c r="T9" i="87"/>
  <c r="R9" i="87"/>
  <c r="N9" i="87"/>
  <c r="L9" i="87"/>
  <c r="J9" i="87"/>
  <c r="H9" i="87"/>
  <c r="F9" i="87"/>
  <c r="D9" i="87"/>
  <c r="S36" i="2"/>
  <c r="T36" i="2" s="1"/>
  <c r="Q36" i="2"/>
  <c r="R36" i="2" s="1"/>
  <c r="O36" i="2"/>
  <c r="P36" i="2" s="1"/>
  <c r="M36" i="2"/>
  <c r="N36" i="2" s="1"/>
  <c r="K36" i="2"/>
  <c r="L36" i="2" s="1"/>
  <c r="I36" i="2"/>
  <c r="J36" i="2" s="1"/>
  <c r="G36" i="2"/>
  <c r="H36" i="2" s="1"/>
  <c r="E36" i="2"/>
  <c r="F36" i="2" s="1"/>
  <c r="C36" i="2"/>
  <c r="D36" i="2" s="1"/>
  <c r="A35" i="2"/>
  <c r="B36" i="2"/>
  <c r="B9" i="87"/>
  <c r="T6" i="87"/>
  <c r="R6" i="87"/>
  <c r="P6" i="87"/>
  <c r="N6" i="87"/>
  <c r="L6" i="87"/>
  <c r="J6" i="87"/>
  <c r="H6" i="87"/>
  <c r="F6" i="87"/>
  <c r="D6" i="87"/>
  <c r="B6" i="87"/>
  <c r="T5" i="87"/>
  <c r="R5" i="87"/>
  <c r="P5" i="87"/>
  <c r="N5" i="87"/>
  <c r="L5" i="87"/>
  <c r="J5" i="87"/>
  <c r="H5" i="87"/>
  <c r="F5" i="87"/>
  <c r="D5" i="87"/>
  <c r="B5" i="87"/>
  <c r="T4" i="87"/>
  <c r="R4" i="87"/>
  <c r="P4" i="87"/>
  <c r="N4" i="87"/>
  <c r="L4" i="87"/>
  <c r="J4" i="87"/>
  <c r="H4" i="87"/>
  <c r="F4" i="87"/>
  <c r="D4" i="87"/>
  <c r="B4" i="87"/>
  <c r="T3" i="87"/>
  <c r="R3" i="87"/>
  <c r="P3" i="87"/>
  <c r="N3" i="87"/>
  <c r="L3" i="87"/>
  <c r="J3" i="87"/>
  <c r="H3" i="87"/>
  <c r="F3" i="87"/>
  <c r="D3" i="87"/>
  <c r="B3" i="87"/>
  <c r="A1" i="87"/>
  <c r="T9" i="70"/>
  <c r="T8" i="70"/>
  <c r="T8" i="71"/>
  <c r="T9" i="72"/>
  <c r="S40" i="2"/>
  <c r="T40" i="2" s="1"/>
  <c r="Q40" i="2"/>
  <c r="R40" i="2" s="1"/>
  <c r="O40" i="2"/>
  <c r="P40" i="2" s="1"/>
  <c r="M40" i="2"/>
  <c r="N40" i="2" s="1"/>
  <c r="K40" i="2"/>
  <c r="L40" i="2" s="1"/>
  <c r="I40" i="2"/>
  <c r="J40" i="2" s="1"/>
  <c r="H40" i="2"/>
  <c r="G40" i="2"/>
  <c r="E40" i="2"/>
  <c r="F40" i="2" s="1"/>
  <c r="C40" i="2"/>
  <c r="D40" i="2" s="1"/>
  <c r="A100" i="2"/>
  <c r="B100" i="2" s="1"/>
  <c r="A99" i="2"/>
  <c r="B99" i="2" s="1"/>
  <c r="A69" i="2"/>
  <c r="B69" i="2" s="1"/>
  <c r="T6" i="86"/>
  <c r="R6" i="86"/>
  <c r="P6" i="86"/>
  <c r="N6" i="86"/>
  <c r="L6" i="86"/>
  <c r="J6" i="86"/>
  <c r="H6" i="86"/>
  <c r="F6" i="86"/>
  <c r="D6" i="86"/>
  <c r="B6" i="86"/>
  <c r="T5" i="86"/>
  <c r="R5" i="86"/>
  <c r="P5" i="86"/>
  <c r="N5" i="86"/>
  <c r="L5" i="86"/>
  <c r="J5" i="86"/>
  <c r="H5" i="86"/>
  <c r="F5" i="86"/>
  <c r="D5" i="86"/>
  <c r="B5" i="86"/>
  <c r="T4" i="86"/>
  <c r="S69" i="2" s="1"/>
  <c r="T69" i="2" s="1"/>
  <c r="R4" i="86"/>
  <c r="Q69" i="2" s="1"/>
  <c r="R69" i="2" s="1"/>
  <c r="P4" i="86"/>
  <c r="O69" i="2" s="1"/>
  <c r="P69" i="2" s="1"/>
  <c r="N4" i="86"/>
  <c r="M69" i="2" s="1"/>
  <c r="N69" i="2" s="1"/>
  <c r="L4" i="86"/>
  <c r="K69" i="2" s="1"/>
  <c r="L69" i="2" s="1"/>
  <c r="J4" i="86"/>
  <c r="I69" i="2" s="1"/>
  <c r="J69" i="2" s="1"/>
  <c r="H4" i="86"/>
  <c r="G69" i="2" s="1"/>
  <c r="H69" i="2" s="1"/>
  <c r="F4" i="86"/>
  <c r="E69" i="2" s="1"/>
  <c r="F69" i="2" s="1"/>
  <c r="D4" i="86"/>
  <c r="C69" i="2" s="1"/>
  <c r="D69" i="2" s="1"/>
  <c r="B4" i="86"/>
  <c r="T3" i="86"/>
  <c r="R3" i="86"/>
  <c r="P3" i="86"/>
  <c r="N3" i="86"/>
  <c r="L3" i="86"/>
  <c r="J3" i="86"/>
  <c r="H3" i="86"/>
  <c r="F3" i="86"/>
  <c r="D3" i="86"/>
  <c r="B3" i="86"/>
  <c r="A1" i="86"/>
  <c r="T6" i="85"/>
  <c r="R6" i="85"/>
  <c r="P6" i="85"/>
  <c r="N6" i="85"/>
  <c r="L6" i="85"/>
  <c r="J6" i="85"/>
  <c r="H6" i="85"/>
  <c r="F6" i="85"/>
  <c r="D6" i="85"/>
  <c r="B6" i="85"/>
  <c r="T5" i="85"/>
  <c r="R5" i="85"/>
  <c r="P5" i="85"/>
  <c r="N5" i="85"/>
  <c r="L5" i="85"/>
  <c r="J5" i="85"/>
  <c r="H5" i="85"/>
  <c r="F5" i="85"/>
  <c r="D5" i="85"/>
  <c r="B5" i="85"/>
  <c r="T4" i="85"/>
  <c r="S100" i="2" s="1"/>
  <c r="T100" i="2" s="1"/>
  <c r="R4" i="85"/>
  <c r="Q100" i="2" s="1"/>
  <c r="R100" i="2" s="1"/>
  <c r="P4" i="85"/>
  <c r="O100" i="2" s="1"/>
  <c r="P100" i="2" s="1"/>
  <c r="N4" i="85"/>
  <c r="M100" i="2" s="1"/>
  <c r="N100" i="2" s="1"/>
  <c r="L4" i="85"/>
  <c r="K100" i="2" s="1"/>
  <c r="L100" i="2" s="1"/>
  <c r="J4" i="85"/>
  <c r="I100" i="2" s="1"/>
  <c r="J100" i="2" s="1"/>
  <c r="H4" i="85"/>
  <c r="G100" i="2" s="1"/>
  <c r="H100" i="2" s="1"/>
  <c r="F4" i="85"/>
  <c r="E100" i="2" s="1"/>
  <c r="F100" i="2" s="1"/>
  <c r="D4" i="85"/>
  <c r="C100" i="2" s="1"/>
  <c r="D100" i="2" s="1"/>
  <c r="B4" i="85"/>
  <c r="T3" i="85"/>
  <c r="R3" i="85"/>
  <c r="P3" i="85"/>
  <c r="N3" i="85"/>
  <c r="L3" i="85"/>
  <c r="J3" i="85"/>
  <c r="H3" i="85"/>
  <c r="F3" i="85"/>
  <c r="D3" i="85"/>
  <c r="B3" i="85"/>
  <c r="A1" i="85"/>
  <c r="T6" i="84"/>
  <c r="R6" i="84"/>
  <c r="P6" i="84"/>
  <c r="N6" i="84"/>
  <c r="L6" i="84"/>
  <c r="J6" i="84"/>
  <c r="H6" i="84"/>
  <c r="F6" i="84"/>
  <c r="D6" i="84"/>
  <c r="B6" i="84"/>
  <c r="T5" i="84"/>
  <c r="R5" i="84"/>
  <c r="P5" i="84"/>
  <c r="N5" i="84"/>
  <c r="L5" i="84"/>
  <c r="J5" i="84"/>
  <c r="H5" i="84"/>
  <c r="F5" i="84"/>
  <c r="D5" i="84"/>
  <c r="B5" i="84"/>
  <c r="T4" i="84"/>
  <c r="S99" i="2" s="1"/>
  <c r="T99" i="2" s="1"/>
  <c r="R4" i="84"/>
  <c r="Q99" i="2" s="1"/>
  <c r="R99" i="2" s="1"/>
  <c r="P4" i="84"/>
  <c r="O99" i="2" s="1"/>
  <c r="P99" i="2" s="1"/>
  <c r="N4" i="84"/>
  <c r="M99" i="2" s="1"/>
  <c r="N99" i="2" s="1"/>
  <c r="L4" i="84"/>
  <c r="K99" i="2" s="1"/>
  <c r="L99" i="2" s="1"/>
  <c r="J4" i="84"/>
  <c r="I99" i="2" s="1"/>
  <c r="J99" i="2" s="1"/>
  <c r="H4" i="84"/>
  <c r="G99" i="2" s="1"/>
  <c r="H99" i="2" s="1"/>
  <c r="F4" i="84"/>
  <c r="E99" i="2" s="1"/>
  <c r="F99" i="2" s="1"/>
  <c r="D4" i="84"/>
  <c r="C99" i="2" s="1"/>
  <c r="D99" i="2" s="1"/>
  <c r="B4" i="84"/>
  <c r="T3" i="84"/>
  <c r="R3" i="84"/>
  <c r="P3" i="84"/>
  <c r="N3" i="84"/>
  <c r="L3" i="84"/>
  <c r="J3" i="84"/>
  <c r="H3" i="84"/>
  <c r="F3" i="84"/>
  <c r="D3" i="84"/>
  <c r="B3" i="84"/>
  <c r="A1" i="84"/>
  <c r="T5" i="2"/>
  <c r="R5" i="2"/>
  <c r="P5" i="2"/>
  <c r="N5" i="2"/>
  <c r="L5" i="2"/>
  <c r="J5" i="2"/>
  <c r="H5" i="2"/>
  <c r="F5" i="2"/>
  <c r="D5" i="2"/>
  <c r="B5" i="2"/>
  <c r="B40" i="2"/>
  <c r="A39" i="2"/>
  <c r="T8" i="83"/>
  <c r="R8" i="83"/>
  <c r="P8" i="83"/>
  <c r="N8" i="83"/>
  <c r="L8" i="83"/>
  <c r="J8" i="83"/>
  <c r="H8" i="83"/>
  <c r="F8" i="83"/>
  <c r="D8" i="83"/>
  <c r="B8" i="83"/>
  <c r="T6" i="83"/>
  <c r="R6" i="83"/>
  <c r="P6" i="83"/>
  <c r="N6" i="83"/>
  <c r="L6" i="83"/>
  <c r="J6" i="83"/>
  <c r="H6" i="83"/>
  <c r="F6" i="83"/>
  <c r="D6" i="83"/>
  <c r="B6" i="83"/>
  <c r="T5" i="83"/>
  <c r="R5" i="83"/>
  <c r="P5" i="83"/>
  <c r="N5" i="83"/>
  <c r="L5" i="83"/>
  <c r="J5" i="83"/>
  <c r="H5" i="83"/>
  <c r="F5" i="83"/>
  <c r="D5" i="83"/>
  <c r="B5" i="83"/>
  <c r="T4" i="83"/>
  <c r="R4" i="83"/>
  <c r="P4" i="83"/>
  <c r="N4" i="83"/>
  <c r="L4" i="83"/>
  <c r="J4" i="83"/>
  <c r="H4" i="83"/>
  <c r="F4" i="83"/>
  <c r="D4" i="83"/>
  <c r="B4" i="83"/>
  <c r="T3" i="83"/>
  <c r="R3" i="83"/>
  <c r="P3" i="83"/>
  <c r="N3" i="83"/>
  <c r="L3" i="83"/>
  <c r="J3" i="83"/>
  <c r="H3" i="83"/>
  <c r="F3" i="83"/>
  <c r="D3" i="83"/>
  <c r="B3" i="83"/>
  <c r="A1" i="83"/>
  <c r="A129" i="2"/>
  <c r="T6" i="82"/>
  <c r="R6" i="82"/>
  <c r="P6" i="82"/>
  <c r="N6" i="82"/>
  <c r="L6" i="82"/>
  <c r="J6" i="82"/>
  <c r="H6" i="82"/>
  <c r="F6" i="82"/>
  <c r="D6" i="82"/>
  <c r="B6" i="82"/>
  <c r="T5" i="82"/>
  <c r="R5" i="82"/>
  <c r="P5" i="82"/>
  <c r="N5" i="82"/>
  <c r="L5" i="82"/>
  <c r="J5" i="82"/>
  <c r="H5" i="82"/>
  <c r="F5" i="82"/>
  <c r="D5" i="82"/>
  <c r="B5" i="82"/>
  <c r="T4" i="82"/>
  <c r="R4" i="82"/>
  <c r="P4" i="82"/>
  <c r="N4" i="82"/>
  <c r="L4" i="82"/>
  <c r="J4" i="82"/>
  <c r="H4" i="82"/>
  <c r="F4" i="82"/>
  <c r="D4" i="82"/>
  <c r="B4" i="82"/>
  <c r="T3" i="82"/>
  <c r="R3" i="82"/>
  <c r="P3" i="82"/>
  <c r="N3" i="82"/>
  <c r="L3" i="82"/>
  <c r="J3" i="82"/>
  <c r="H3" i="82"/>
  <c r="F3" i="82"/>
  <c r="D3" i="82"/>
  <c r="B3" i="82"/>
  <c r="A1" i="82"/>
  <c r="K98" i="2"/>
  <c r="L98" i="2" s="1"/>
  <c r="I98" i="2"/>
  <c r="J98" i="2" s="1"/>
  <c r="G97" i="2"/>
  <c r="H97" i="2" s="1"/>
  <c r="O96" i="2"/>
  <c r="P96" i="2" s="1"/>
  <c r="M96" i="2"/>
  <c r="N96" i="2" s="1"/>
  <c r="G96" i="2"/>
  <c r="H96" i="2" s="1"/>
  <c r="C96" i="2"/>
  <c r="D96" i="2" s="1"/>
  <c r="O68" i="2"/>
  <c r="P68" i="2" s="1"/>
  <c r="A98" i="2"/>
  <c r="B98" i="2" s="1"/>
  <c r="E95" i="2"/>
  <c r="F95" i="2" s="1"/>
  <c r="C95" i="2"/>
  <c r="D95" i="2" s="1"/>
  <c r="O83" i="2"/>
  <c r="P83" i="2" s="1"/>
  <c r="K83" i="2"/>
  <c r="L83" i="2" s="1"/>
  <c r="I83" i="2"/>
  <c r="J83" i="2" s="1"/>
  <c r="A83" i="2"/>
  <c r="B83" i="2" s="1"/>
  <c r="O109" i="2"/>
  <c r="P109" i="2" s="1"/>
  <c r="I109" i="2"/>
  <c r="J109" i="2" s="1"/>
  <c r="T6" i="81"/>
  <c r="R6" i="81"/>
  <c r="P6" i="81"/>
  <c r="N6" i="81"/>
  <c r="L6" i="81"/>
  <c r="J6" i="81"/>
  <c r="H6" i="81"/>
  <c r="F6" i="81"/>
  <c r="D6" i="81"/>
  <c r="B6" i="81"/>
  <c r="T5" i="81"/>
  <c r="R5" i="81"/>
  <c r="P5" i="81"/>
  <c r="N5" i="81"/>
  <c r="L5" i="81"/>
  <c r="J5" i="81"/>
  <c r="H5" i="81"/>
  <c r="F5" i="81"/>
  <c r="D5" i="81"/>
  <c r="B5" i="81"/>
  <c r="T4" i="81"/>
  <c r="S109" i="2" s="1"/>
  <c r="T109" i="2" s="1"/>
  <c r="R4" i="81"/>
  <c r="Q109" i="2" s="1"/>
  <c r="R109" i="2" s="1"/>
  <c r="P4" i="81"/>
  <c r="N4" i="81"/>
  <c r="M109" i="2" s="1"/>
  <c r="N109" i="2" s="1"/>
  <c r="L4" i="81"/>
  <c r="K109" i="2" s="1"/>
  <c r="L109" i="2" s="1"/>
  <c r="J4" i="81"/>
  <c r="H4" i="81"/>
  <c r="G109" i="2" s="1"/>
  <c r="H109" i="2" s="1"/>
  <c r="F4" i="81"/>
  <c r="E109" i="2" s="1"/>
  <c r="F109" i="2" s="1"/>
  <c r="D4" i="81"/>
  <c r="C109" i="2" s="1"/>
  <c r="D109" i="2" s="1"/>
  <c r="B4" i="81"/>
  <c r="A109" i="2" s="1"/>
  <c r="B109" i="2" s="1"/>
  <c r="T3" i="81"/>
  <c r="R3" i="81"/>
  <c r="P3" i="81"/>
  <c r="N3" i="81"/>
  <c r="L3" i="81"/>
  <c r="J3" i="81"/>
  <c r="H3" i="81"/>
  <c r="F3" i="81"/>
  <c r="D3" i="81"/>
  <c r="B3" i="81"/>
  <c r="A1" i="81"/>
  <c r="T6" i="80"/>
  <c r="R6" i="80"/>
  <c r="P6" i="80"/>
  <c r="N6" i="80"/>
  <c r="L6" i="80"/>
  <c r="J6" i="80"/>
  <c r="H6" i="80"/>
  <c r="F6" i="80"/>
  <c r="D6" i="80"/>
  <c r="B6" i="80"/>
  <c r="T5" i="80"/>
  <c r="R5" i="80"/>
  <c r="P5" i="80"/>
  <c r="N5" i="80"/>
  <c r="L5" i="80"/>
  <c r="J5" i="80"/>
  <c r="H5" i="80"/>
  <c r="F5" i="80"/>
  <c r="D5" i="80"/>
  <c r="B5" i="80"/>
  <c r="T4" i="80"/>
  <c r="S98" i="2" s="1"/>
  <c r="T98" i="2" s="1"/>
  <c r="R4" i="80"/>
  <c r="Q98" i="2" s="1"/>
  <c r="R98" i="2" s="1"/>
  <c r="P4" i="80"/>
  <c r="O98" i="2" s="1"/>
  <c r="P98" i="2" s="1"/>
  <c r="N4" i="80"/>
  <c r="M98" i="2" s="1"/>
  <c r="N98" i="2" s="1"/>
  <c r="L4" i="80"/>
  <c r="J4" i="80"/>
  <c r="H4" i="80"/>
  <c r="G98" i="2" s="1"/>
  <c r="H98" i="2" s="1"/>
  <c r="F4" i="80"/>
  <c r="E98" i="2" s="1"/>
  <c r="F98" i="2" s="1"/>
  <c r="D4" i="80"/>
  <c r="C98" i="2" s="1"/>
  <c r="D98" i="2" s="1"/>
  <c r="B4" i="80"/>
  <c r="T3" i="80"/>
  <c r="R3" i="80"/>
  <c r="P3" i="80"/>
  <c r="N3" i="80"/>
  <c r="L3" i="80"/>
  <c r="J3" i="80"/>
  <c r="H3" i="80"/>
  <c r="F3" i="80"/>
  <c r="D3" i="80"/>
  <c r="B3" i="80"/>
  <c r="A1" i="80"/>
  <c r="T6" i="79"/>
  <c r="R6" i="79"/>
  <c r="P6" i="79"/>
  <c r="N6" i="79"/>
  <c r="L6" i="79"/>
  <c r="J6" i="79"/>
  <c r="H6" i="79"/>
  <c r="F6" i="79"/>
  <c r="D6" i="79"/>
  <c r="B6" i="79"/>
  <c r="T5" i="79"/>
  <c r="R5" i="79"/>
  <c r="P5" i="79"/>
  <c r="N5" i="79"/>
  <c r="L5" i="79"/>
  <c r="J5" i="79"/>
  <c r="H5" i="79"/>
  <c r="F5" i="79"/>
  <c r="D5" i="79"/>
  <c r="B5" i="79"/>
  <c r="T4" i="79"/>
  <c r="S97" i="2" s="1"/>
  <c r="T97" i="2" s="1"/>
  <c r="R4" i="79"/>
  <c r="Q97" i="2" s="1"/>
  <c r="R97" i="2" s="1"/>
  <c r="P4" i="79"/>
  <c r="O97" i="2" s="1"/>
  <c r="P97" i="2" s="1"/>
  <c r="N4" i="79"/>
  <c r="M97" i="2" s="1"/>
  <c r="N97" i="2" s="1"/>
  <c r="L4" i="79"/>
  <c r="K97" i="2" s="1"/>
  <c r="L97" i="2" s="1"/>
  <c r="J4" i="79"/>
  <c r="I97" i="2" s="1"/>
  <c r="J97" i="2" s="1"/>
  <c r="H4" i="79"/>
  <c r="F4" i="79"/>
  <c r="E97" i="2" s="1"/>
  <c r="F97" i="2" s="1"/>
  <c r="D4" i="79"/>
  <c r="C97" i="2" s="1"/>
  <c r="D97" i="2" s="1"/>
  <c r="B4" i="79"/>
  <c r="A97" i="2" s="1"/>
  <c r="B97" i="2" s="1"/>
  <c r="T3" i="79"/>
  <c r="R3" i="79"/>
  <c r="P3" i="79"/>
  <c r="N3" i="79"/>
  <c r="L3" i="79"/>
  <c r="J3" i="79"/>
  <c r="H3" i="79"/>
  <c r="F3" i="79"/>
  <c r="D3" i="79"/>
  <c r="B3" i="79"/>
  <c r="A1" i="79"/>
  <c r="A1" i="78"/>
  <c r="T6" i="78"/>
  <c r="R6" i="78"/>
  <c r="P6" i="78"/>
  <c r="N6" i="78"/>
  <c r="L6" i="78"/>
  <c r="J6" i="78"/>
  <c r="H6" i="78"/>
  <c r="F6" i="78"/>
  <c r="D6" i="78"/>
  <c r="B6" i="78"/>
  <c r="T5" i="78"/>
  <c r="R5" i="78"/>
  <c r="P5" i="78"/>
  <c r="N5" i="78"/>
  <c r="L5" i="78"/>
  <c r="J5" i="78"/>
  <c r="H5" i="78"/>
  <c r="F5" i="78"/>
  <c r="D5" i="78"/>
  <c r="B5" i="78"/>
  <c r="T4" i="78"/>
  <c r="S96" i="2" s="1"/>
  <c r="T96" i="2" s="1"/>
  <c r="R4" i="78"/>
  <c r="Q96" i="2" s="1"/>
  <c r="R96" i="2" s="1"/>
  <c r="P4" i="78"/>
  <c r="N4" i="78"/>
  <c r="L4" i="78"/>
  <c r="K96" i="2" s="1"/>
  <c r="L96" i="2" s="1"/>
  <c r="J4" i="78"/>
  <c r="I96" i="2" s="1"/>
  <c r="J96" i="2" s="1"/>
  <c r="H4" i="78"/>
  <c r="F4" i="78"/>
  <c r="E96" i="2" s="1"/>
  <c r="F96" i="2" s="1"/>
  <c r="D4" i="78"/>
  <c r="B4" i="78"/>
  <c r="A96" i="2" s="1"/>
  <c r="B96" i="2" s="1"/>
  <c r="T3" i="78"/>
  <c r="R3" i="78"/>
  <c r="P3" i="78"/>
  <c r="N3" i="78"/>
  <c r="L3" i="78"/>
  <c r="J3" i="78"/>
  <c r="H3" i="78"/>
  <c r="F3" i="78"/>
  <c r="D3" i="78"/>
  <c r="B3" i="78"/>
  <c r="T6" i="77"/>
  <c r="R6" i="77"/>
  <c r="P6" i="77"/>
  <c r="N6" i="77"/>
  <c r="L6" i="77"/>
  <c r="J6" i="77"/>
  <c r="H6" i="77"/>
  <c r="F6" i="77"/>
  <c r="D6" i="77"/>
  <c r="B6" i="77"/>
  <c r="T5" i="77"/>
  <c r="R5" i="77"/>
  <c r="P5" i="77"/>
  <c r="N5" i="77"/>
  <c r="L5" i="77"/>
  <c r="J5" i="77"/>
  <c r="H5" i="77"/>
  <c r="F5" i="77"/>
  <c r="D5" i="77"/>
  <c r="B5" i="77"/>
  <c r="T4" i="77"/>
  <c r="S95" i="2" s="1"/>
  <c r="T95" i="2" s="1"/>
  <c r="R4" i="77"/>
  <c r="Q95" i="2" s="1"/>
  <c r="R95" i="2" s="1"/>
  <c r="P4" i="77"/>
  <c r="O95" i="2" s="1"/>
  <c r="P95" i="2" s="1"/>
  <c r="N4" i="77"/>
  <c r="M95" i="2" s="1"/>
  <c r="N95" i="2" s="1"/>
  <c r="L4" i="77"/>
  <c r="K95" i="2" s="1"/>
  <c r="L95" i="2" s="1"/>
  <c r="J4" i="77"/>
  <c r="I95" i="2" s="1"/>
  <c r="J95" i="2" s="1"/>
  <c r="H4" i="77"/>
  <c r="G95" i="2" s="1"/>
  <c r="H95" i="2" s="1"/>
  <c r="F4" i="77"/>
  <c r="D4" i="77"/>
  <c r="B4" i="77"/>
  <c r="A95" i="2" s="1"/>
  <c r="B95" i="2" s="1"/>
  <c r="T3" i="77"/>
  <c r="R3" i="77"/>
  <c r="P3" i="77"/>
  <c r="N3" i="77"/>
  <c r="L3" i="77"/>
  <c r="J3" i="77"/>
  <c r="H3" i="77"/>
  <c r="F3" i="77"/>
  <c r="D3" i="77"/>
  <c r="B3" i="77"/>
  <c r="A1" i="77"/>
  <c r="T6" i="76"/>
  <c r="R6" i="76"/>
  <c r="P6" i="76"/>
  <c r="N6" i="76"/>
  <c r="L6" i="76"/>
  <c r="J6" i="76"/>
  <c r="H6" i="76"/>
  <c r="F6" i="76"/>
  <c r="D6" i="76"/>
  <c r="B6" i="76"/>
  <c r="T5" i="76"/>
  <c r="R5" i="76"/>
  <c r="P5" i="76"/>
  <c r="N5" i="76"/>
  <c r="L5" i="76"/>
  <c r="J5" i="76"/>
  <c r="H5" i="76"/>
  <c r="F5" i="76"/>
  <c r="D5" i="76"/>
  <c r="B5" i="76"/>
  <c r="T4" i="76"/>
  <c r="S68" i="2" s="1"/>
  <c r="T68" i="2" s="1"/>
  <c r="R4" i="76"/>
  <c r="Q68" i="2" s="1"/>
  <c r="R68" i="2" s="1"/>
  <c r="P4" i="76"/>
  <c r="N4" i="76"/>
  <c r="M68" i="2" s="1"/>
  <c r="N68" i="2" s="1"/>
  <c r="L4" i="76"/>
  <c r="K68" i="2" s="1"/>
  <c r="L68" i="2" s="1"/>
  <c r="J4" i="76"/>
  <c r="I68" i="2" s="1"/>
  <c r="J68" i="2" s="1"/>
  <c r="H4" i="76"/>
  <c r="G68" i="2" s="1"/>
  <c r="H68" i="2" s="1"/>
  <c r="F4" i="76"/>
  <c r="E68" i="2" s="1"/>
  <c r="F68" i="2" s="1"/>
  <c r="D4" i="76"/>
  <c r="C68" i="2" s="1"/>
  <c r="D68" i="2" s="1"/>
  <c r="B4" i="76"/>
  <c r="A68" i="2" s="1"/>
  <c r="B68" i="2" s="1"/>
  <c r="T3" i="76"/>
  <c r="R3" i="76"/>
  <c r="P3" i="76"/>
  <c r="N3" i="76"/>
  <c r="L3" i="76"/>
  <c r="J3" i="76"/>
  <c r="H3" i="76"/>
  <c r="F3" i="76"/>
  <c r="D3" i="76"/>
  <c r="B3" i="76"/>
  <c r="A1" i="76"/>
  <c r="T6" i="75"/>
  <c r="R6" i="75"/>
  <c r="P6" i="75"/>
  <c r="N6" i="75"/>
  <c r="L6" i="75"/>
  <c r="J6" i="75"/>
  <c r="H6" i="75"/>
  <c r="F6" i="75"/>
  <c r="D6" i="75"/>
  <c r="B6" i="75"/>
  <c r="T5" i="75"/>
  <c r="R5" i="75"/>
  <c r="P5" i="75"/>
  <c r="N5" i="75"/>
  <c r="L5" i="75"/>
  <c r="J5" i="75"/>
  <c r="H5" i="75"/>
  <c r="F5" i="75"/>
  <c r="D5" i="75"/>
  <c r="B5" i="75"/>
  <c r="T4" i="75"/>
  <c r="S83" i="2" s="1"/>
  <c r="T83" i="2" s="1"/>
  <c r="R4" i="75"/>
  <c r="Q83" i="2" s="1"/>
  <c r="R83" i="2" s="1"/>
  <c r="P4" i="75"/>
  <c r="N4" i="75"/>
  <c r="M83" i="2" s="1"/>
  <c r="N83" i="2" s="1"/>
  <c r="L4" i="75"/>
  <c r="J4" i="75"/>
  <c r="H4" i="75"/>
  <c r="G83" i="2" s="1"/>
  <c r="H83" i="2" s="1"/>
  <c r="F4" i="75"/>
  <c r="E83" i="2" s="1"/>
  <c r="F83" i="2" s="1"/>
  <c r="D4" i="75"/>
  <c r="C83" i="2" s="1"/>
  <c r="D83" i="2" s="1"/>
  <c r="B4" i="75"/>
  <c r="T3" i="75"/>
  <c r="R3" i="75"/>
  <c r="P3" i="75"/>
  <c r="N3" i="75"/>
  <c r="L3" i="75"/>
  <c r="J3" i="75"/>
  <c r="H3" i="75"/>
  <c r="F3" i="75"/>
  <c r="D3" i="75"/>
  <c r="B3" i="75"/>
  <c r="A1" i="75"/>
  <c r="T6" i="74"/>
  <c r="R6" i="74"/>
  <c r="P6" i="74"/>
  <c r="N6" i="74"/>
  <c r="L6" i="74"/>
  <c r="J6" i="74"/>
  <c r="H6" i="74"/>
  <c r="F6" i="74"/>
  <c r="D6" i="74"/>
  <c r="B6" i="74"/>
  <c r="T5" i="74"/>
  <c r="R5" i="74"/>
  <c r="P5" i="74"/>
  <c r="N5" i="74"/>
  <c r="L5" i="74"/>
  <c r="J5" i="74"/>
  <c r="H5" i="74"/>
  <c r="F5" i="74"/>
  <c r="D5" i="74"/>
  <c r="B5" i="74"/>
  <c r="T4" i="74"/>
  <c r="R4" i="74"/>
  <c r="P4" i="74"/>
  <c r="N4" i="74"/>
  <c r="L4" i="74"/>
  <c r="J4" i="74"/>
  <c r="H4" i="74"/>
  <c r="F4" i="74"/>
  <c r="D4" i="74"/>
  <c r="B4" i="74"/>
  <c r="T3" i="74"/>
  <c r="R3" i="74"/>
  <c r="P3" i="74"/>
  <c r="N3" i="74"/>
  <c r="L3" i="74"/>
  <c r="J3" i="74"/>
  <c r="H3" i="74"/>
  <c r="F3" i="74"/>
  <c r="D3" i="74"/>
  <c r="B3" i="74"/>
  <c r="A1" i="74"/>
  <c r="S44" i="2"/>
  <c r="T44" i="2" s="1"/>
  <c r="Q44" i="2"/>
  <c r="R44" i="2" s="1"/>
  <c r="O44" i="2"/>
  <c r="P44" i="2" s="1"/>
  <c r="M44" i="2"/>
  <c r="N44" i="2" s="1"/>
  <c r="K44" i="2"/>
  <c r="L44" i="2" s="1"/>
  <c r="I44" i="2"/>
  <c r="J44" i="2" s="1"/>
  <c r="G44" i="2"/>
  <c r="H44" i="2" s="1"/>
  <c r="E44" i="2"/>
  <c r="F44" i="2" s="1"/>
  <c r="C44" i="2"/>
  <c r="D44" i="2" s="1"/>
  <c r="A44" i="2"/>
  <c r="B44" i="2" s="1"/>
  <c r="A31" i="2"/>
  <c r="B31" i="2" s="1"/>
  <c r="R9" i="70"/>
  <c r="P9" i="70"/>
  <c r="N9" i="70"/>
  <c r="L9" i="70"/>
  <c r="J9" i="70"/>
  <c r="H9" i="70"/>
  <c r="F9" i="70"/>
  <c r="D9" i="70"/>
  <c r="B9" i="70"/>
  <c r="R11" i="2"/>
  <c r="R10" i="2"/>
  <c r="R9" i="2"/>
  <c r="R8" i="2"/>
  <c r="R7" i="2"/>
  <c r="P11" i="2"/>
  <c r="P10" i="2"/>
  <c r="P9" i="2"/>
  <c r="P8" i="2"/>
  <c r="P7" i="2"/>
  <c r="N11" i="2"/>
  <c r="N10" i="2"/>
  <c r="N9" i="2"/>
  <c r="N8" i="2"/>
  <c r="N7" i="2"/>
  <c r="L11" i="2"/>
  <c r="L10" i="2"/>
  <c r="L9" i="2"/>
  <c r="L8" i="2"/>
  <c r="L7" i="2"/>
  <c r="J11" i="2"/>
  <c r="J10" i="2"/>
  <c r="J9" i="2"/>
  <c r="J8" i="2"/>
  <c r="J7" i="2"/>
  <c r="H11" i="2"/>
  <c r="H10" i="2"/>
  <c r="H9" i="2"/>
  <c r="H8" i="2"/>
  <c r="H7" i="2"/>
  <c r="F11" i="2"/>
  <c r="F10" i="2"/>
  <c r="F9" i="2"/>
  <c r="F8" i="2"/>
  <c r="F7" i="2"/>
  <c r="D11" i="2"/>
  <c r="D10" i="2"/>
  <c r="D9" i="2"/>
  <c r="D8" i="2"/>
  <c r="D7" i="2"/>
  <c r="B10" i="2"/>
  <c r="B9" i="2"/>
  <c r="B8" i="2"/>
  <c r="B7" i="2"/>
  <c r="T34" i="2"/>
  <c r="S33" i="2"/>
  <c r="T33" i="2" s="1"/>
  <c r="S32" i="2"/>
  <c r="T32" i="2" s="1"/>
  <c r="S31" i="2"/>
  <c r="T31" i="2" s="1"/>
  <c r="Q34" i="2"/>
  <c r="R34" i="2" s="1"/>
  <c r="Q33" i="2"/>
  <c r="R33" i="2" s="1"/>
  <c r="Q32" i="2"/>
  <c r="R32" i="2" s="1"/>
  <c r="Q31" i="2"/>
  <c r="R31" i="2" s="1"/>
  <c r="O34" i="2"/>
  <c r="P34" i="2" s="1"/>
  <c r="O33" i="2"/>
  <c r="P33" i="2" s="1"/>
  <c r="O32" i="2"/>
  <c r="P32" i="2" s="1"/>
  <c r="O31" i="2"/>
  <c r="P31" i="2" s="1"/>
  <c r="M34" i="2"/>
  <c r="N34" i="2" s="1"/>
  <c r="M33" i="2"/>
  <c r="N33" i="2" s="1"/>
  <c r="M32" i="2"/>
  <c r="N32" i="2" s="1"/>
  <c r="M31" i="2"/>
  <c r="N31" i="2" s="1"/>
  <c r="K34" i="2"/>
  <c r="L34" i="2" s="1"/>
  <c r="K33" i="2"/>
  <c r="L33" i="2" s="1"/>
  <c r="K32" i="2"/>
  <c r="L32" i="2" s="1"/>
  <c r="K31" i="2"/>
  <c r="L31" i="2" s="1"/>
  <c r="I34" i="2"/>
  <c r="J34" i="2" s="1"/>
  <c r="I33" i="2"/>
  <c r="J33" i="2" s="1"/>
  <c r="I32" i="2"/>
  <c r="J32" i="2" s="1"/>
  <c r="I31" i="2"/>
  <c r="J31" i="2" s="1"/>
  <c r="G34" i="2"/>
  <c r="H34" i="2" s="1"/>
  <c r="G33" i="2"/>
  <c r="H33" i="2" s="1"/>
  <c r="G32" i="2"/>
  <c r="H32" i="2" s="1"/>
  <c r="G31" i="2"/>
  <c r="H31" i="2" s="1"/>
  <c r="E34" i="2"/>
  <c r="F34" i="2" s="1"/>
  <c r="E33" i="2"/>
  <c r="F33" i="2" s="1"/>
  <c r="E32" i="2"/>
  <c r="F32" i="2" s="1"/>
  <c r="E31" i="2"/>
  <c r="F31" i="2" s="1"/>
  <c r="C34" i="2"/>
  <c r="D34" i="2" s="1"/>
  <c r="C33" i="2"/>
  <c r="D33" i="2" s="1"/>
  <c r="C32" i="2"/>
  <c r="D32" i="2" s="1"/>
  <c r="C31" i="2"/>
  <c r="D31" i="2" s="1"/>
  <c r="A34" i="2"/>
  <c r="B34" i="2" s="1"/>
  <c r="A33" i="2"/>
  <c r="B33" i="2" s="1"/>
  <c r="A32" i="2"/>
  <c r="B32" i="2" s="1"/>
  <c r="R7" i="73"/>
  <c r="P7" i="73"/>
  <c r="N7" i="73"/>
  <c r="L7" i="73"/>
  <c r="J7" i="73"/>
  <c r="H7" i="73"/>
  <c r="F7" i="73"/>
  <c r="D7" i="73"/>
  <c r="B7" i="73"/>
  <c r="R9" i="72"/>
  <c r="P9" i="72"/>
  <c r="N9" i="72"/>
  <c r="L9" i="72"/>
  <c r="J9" i="72"/>
  <c r="H9" i="72"/>
  <c r="F9" i="72"/>
  <c r="D9" i="72"/>
  <c r="B9" i="72"/>
  <c r="R8" i="71"/>
  <c r="P8" i="71"/>
  <c r="N8" i="71"/>
  <c r="L8" i="71"/>
  <c r="J8" i="71"/>
  <c r="H8" i="71"/>
  <c r="F8" i="71"/>
  <c r="D8" i="71"/>
  <c r="B8" i="71"/>
  <c r="R8" i="70"/>
  <c r="P8" i="70"/>
  <c r="N8" i="70"/>
  <c r="L8" i="70"/>
  <c r="J8" i="70"/>
  <c r="H8" i="70"/>
  <c r="F8" i="70"/>
  <c r="D8" i="70"/>
  <c r="B8" i="70"/>
  <c r="T6" i="73"/>
  <c r="R6" i="73"/>
  <c r="P6" i="73"/>
  <c r="N6" i="73"/>
  <c r="L6" i="73"/>
  <c r="J6" i="73"/>
  <c r="H6" i="73"/>
  <c r="F6" i="73"/>
  <c r="D6" i="73"/>
  <c r="B6" i="73"/>
  <c r="T5" i="73"/>
  <c r="R5" i="73"/>
  <c r="P5" i="73"/>
  <c r="N5" i="73"/>
  <c r="L5" i="73"/>
  <c r="J5" i="73"/>
  <c r="H5" i="73"/>
  <c r="F5" i="73"/>
  <c r="D5" i="73"/>
  <c r="B5" i="73"/>
  <c r="T4" i="73"/>
  <c r="R4" i="73"/>
  <c r="P4" i="73"/>
  <c r="N4" i="73"/>
  <c r="L4" i="73"/>
  <c r="J4" i="73"/>
  <c r="H4" i="73"/>
  <c r="F4" i="73"/>
  <c r="D4" i="73"/>
  <c r="B4" i="73"/>
  <c r="T3" i="73"/>
  <c r="R3" i="73"/>
  <c r="P3" i="73"/>
  <c r="N3" i="73"/>
  <c r="L3" i="73"/>
  <c r="J3" i="73"/>
  <c r="H3" i="73"/>
  <c r="F3" i="73"/>
  <c r="D3" i="73"/>
  <c r="B3" i="73"/>
  <c r="A1" i="73"/>
  <c r="T6" i="72"/>
  <c r="R6" i="72"/>
  <c r="P6" i="72"/>
  <c r="N6" i="72"/>
  <c r="L6" i="72"/>
  <c r="J6" i="72"/>
  <c r="H6" i="72"/>
  <c r="F6" i="72"/>
  <c r="D6" i="72"/>
  <c r="B6" i="72"/>
  <c r="T5" i="72"/>
  <c r="R5" i="72"/>
  <c r="P5" i="72"/>
  <c r="N5" i="72"/>
  <c r="L5" i="72"/>
  <c r="J5" i="72"/>
  <c r="H5" i="72"/>
  <c r="F5" i="72"/>
  <c r="D5" i="72"/>
  <c r="B5" i="72"/>
  <c r="T4" i="72"/>
  <c r="R4" i="72"/>
  <c r="P4" i="72"/>
  <c r="N4" i="72"/>
  <c r="L4" i="72"/>
  <c r="J4" i="72"/>
  <c r="H4" i="72"/>
  <c r="F4" i="72"/>
  <c r="D4" i="72"/>
  <c r="B4" i="72"/>
  <c r="T3" i="72"/>
  <c r="R3" i="72"/>
  <c r="P3" i="72"/>
  <c r="N3" i="72"/>
  <c r="L3" i="72"/>
  <c r="J3" i="72"/>
  <c r="H3" i="72"/>
  <c r="F3" i="72"/>
  <c r="D3" i="72"/>
  <c r="B3" i="72"/>
  <c r="A1" i="72"/>
  <c r="T6" i="71"/>
  <c r="R6" i="71"/>
  <c r="P6" i="71"/>
  <c r="N6" i="71"/>
  <c r="L6" i="71"/>
  <c r="J6" i="71"/>
  <c r="H6" i="71"/>
  <c r="F6" i="71"/>
  <c r="D6" i="71"/>
  <c r="B6" i="71"/>
  <c r="T5" i="71"/>
  <c r="R5" i="71"/>
  <c r="P5" i="71"/>
  <c r="N5" i="71"/>
  <c r="L5" i="71"/>
  <c r="J5" i="71"/>
  <c r="H5" i="71"/>
  <c r="F5" i="71"/>
  <c r="D5" i="71"/>
  <c r="B5" i="71"/>
  <c r="T4" i="71"/>
  <c r="R4" i="71"/>
  <c r="P4" i="71"/>
  <c r="N4" i="71"/>
  <c r="L4" i="71"/>
  <c r="J4" i="71"/>
  <c r="H4" i="71"/>
  <c r="F4" i="71"/>
  <c r="D4" i="71"/>
  <c r="B4" i="71"/>
  <c r="T3" i="71"/>
  <c r="R3" i="71"/>
  <c r="P3" i="71"/>
  <c r="N3" i="71"/>
  <c r="L3" i="71"/>
  <c r="J3" i="71"/>
  <c r="H3" i="71"/>
  <c r="F3" i="71"/>
  <c r="D3" i="71"/>
  <c r="B3" i="71"/>
  <c r="A1" i="71"/>
  <c r="T6" i="70"/>
  <c r="R6" i="70"/>
  <c r="P6" i="70"/>
  <c r="N6" i="70"/>
  <c r="L6" i="70"/>
  <c r="J6" i="70"/>
  <c r="H6" i="70"/>
  <c r="F6" i="70"/>
  <c r="D6" i="70"/>
  <c r="B6" i="70"/>
  <c r="T5" i="70"/>
  <c r="R5" i="70"/>
  <c r="P5" i="70"/>
  <c r="N5" i="70"/>
  <c r="L5" i="70"/>
  <c r="J5" i="70"/>
  <c r="H5" i="70"/>
  <c r="F5" i="70"/>
  <c r="D5" i="70"/>
  <c r="B5" i="70"/>
  <c r="T4" i="70"/>
  <c r="R4" i="70"/>
  <c r="P4" i="70"/>
  <c r="N4" i="70"/>
  <c r="L4" i="70"/>
  <c r="J4" i="70"/>
  <c r="H4" i="70"/>
  <c r="F4" i="70"/>
  <c r="D4" i="70"/>
  <c r="B4" i="70"/>
  <c r="T3" i="70"/>
  <c r="R3" i="70"/>
  <c r="P3" i="70"/>
  <c r="N3" i="70"/>
  <c r="L3" i="70"/>
  <c r="J3" i="70"/>
  <c r="H3" i="70"/>
  <c r="F3" i="70"/>
  <c r="D3" i="70"/>
  <c r="B3" i="70"/>
  <c r="A1" i="70"/>
  <c r="T4" i="2"/>
  <c r="R4" i="2"/>
  <c r="P4" i="2"/>
  <c r="N4" i="2"/>
  <c r="L4" i="2"/>
  <c r="J4" i="2"/>
  <c r="H4" i="2"/>
  <c r="F4" i="2"/>
  <c r="D4" i="2"/>
  <c r="B11" i="2"/>
  <c r="B4" i="2"/>
  <c r="T129" i="2"/>
  <c r="T128" i="2"/>
  <c r="T127" i="2"/>
  <c r="T126" i="2"/>
  <c r="T125" i="2"/>
  <c r="T124" i="2"/>
  <c r="T123" i="2"/>
  <c r="T122" i="2"/>
  <c r="T121" i="2"/>
  <c r="T120" i="2"/>
  <c r="T119" i="2"/>
  <c r="T118" i="2"/>
  <c r="T117" i="2"/>
  <c r="T116" i="2"/>
  <c r="T115" i="2"/>
  <c r="T114" i="2"/>
  <c r="T113" i="2"/>
  <c r="T112" i="2"/>
  <c r="T111" i="2"/>
  <c r="T110" i="2"/>
  <c r="T108" i="2"/>
  <c r="T107" i="2"/>
  <c r="T106" i="2"/>
  <c r="T105" i="2"/>
  <c r="T104" i="2"/>
  <c r="T103" i="2"/>
  <c r="T102" i="2"/>
  <c r="T101" i="2"/>
  <c r="T94" i="2"/>
  <c r="T93" i="2"/>
  <c r="T92" i="2"/>
  <c r="T91" i="2"/>
  <c r="T90" i="2"/>
  <c r="T89" i="2"/>
  <c r="T88" i="2"/>
  <c r="T87" i="2"/>
  <c r="T86" i="2"/>
  <c r="T85" i="2"/>
  <c r="T84" i="2"/>
  <c r="T82" i="2"/>
  <c r="T81" i="2"/>
  <c r="T80" i="2"/>
  <c r="T79" i="2"/>
  <c r="T78" i="2"/>
  <c r="T77" i="2"/>
  <c r="T76" i="2"/>
  <c r="T75" i="2"/>
  <c r="T74" i="2"/>
  <c r="T73" i="2"/>
  <c r="T72" i="2"/>
  <c r="T71" i="2"/>
  <c r="T70" i="2"/>
  <c r="T67" i="2"/>
  <c r="T66" i="2"/>
  <c r="T65" i="2"/>
  <c r="Q129" i="2"/>
  <c r="R129" i="2" s="1"/>
  <c r="Q125" i="2"/>
  <c r="R125" i="2" s="1"/>
  <c r="Q124" i="2"/>
  <c r="R124" i="2" s="1"/>
  <c r="Q123" i="2"/>
  <c r="R123" i="2" s="1"/>
  <c r="Q122" i="2"/>
  <c r="R122" i="2" s="1"/>
  <c r="Q121" i="2"/>
  <c r="R121" i="2" s="1"/>
  <c r="Q120" i="2"/>
  <c r="R120" i="2" s="1"/>
  <c r="Q119" i="2"/>
  <c r="R119" i="2" s="1"/>
  <c r="Q118" i="2"/>
  <c r="R118" i="2" s="1"/>
  <c r="Q117" i="2"/>
  <c r="R117" i="2" s="1"/>
  <c r="Q116" i="2"/>
  <c r="R116" i="2" s="1"/>
  <c r="Q115" i="2"/>
  <c r="R115" i="2" s="1"/>
  <c r="Q114" i="2"/>
  <c r="R114" i="2" s="1"/>
  <c r="Q113" i="2"/>
  <c r="R113" i="2" s="1"/>
  <c r="Q112" i="2"/>
  <c r="R112" i="2" s="1"/>
  <c r="Q111" i="2"/>
  <c r="R111" i="2" s="1"/>
  <c r="Q110" i="2"/>
  <c r="R110" i="2" s="1"/>
  <c r="Q108" i="2"/>
  <c r="R108" i="2" s="1"/>
  <c r="Q107" i="2"/>
  <c r="R107" i="2" s="1"/>
  <c r="Q106" i="2"/>
  <c r="R106" i="2" s="1"/>
  <c r="Q105" i="2"/>
  <c r="R105" i="2" s="1"/>
  <c r="Q104" i="2"/>
  <c r="R104" i="2" s="1"/>
  <c r="Q103" i="2"/>
  <c r="R103" i="2" s="1"/>
  <c r="Q102" i="2"/>
  <c r="R102" i="2" s="1"/>
  <c r="Q101" i="2"/>
  <c r="R101" i="2" s="1"/>
  <c r="Q94" i="2"/>
  <c r="R94" i="2" s="1"/>
  <c r="Q93" i="2"/>
  <c r="R93" i="2" s="1"/>
  <c r="Q92" i="2"/>
  <c r="R92" i="2" s="1"/>
  <c r="Q91" i="2"/>
  <c r="R91" i="2" s="1"/>
  <c r="Q90" i="2"/>
  <c r="R90" i="2" s="1"/>
  <c r="Q89" i="2"/>
  <c r="R89" i="2" s="1"/>
  <c r="Q88" i="2"/>
  <c r="R88" i="2" s="1"/>
  <c r="Q87" i="2"/>
  <c r="R87" i="2" s="1"/>
  <c r="Q86" i="2"/>
  <c r="R86" i="2" s="1"/>
  <c r="Q85" i="2"/>
  <c r="R85" i="2" s="1"/>
  <c r="Q84" i="2"/>
  <c r="R84" i="2" s="1"/>
  <c r="Q82" i="2"/>
  <c r="R82" i="2" s="1"/>
  <c r="Q81" i="2"/>
  <c r="R81" i="2" s="1"/>
  <c r="Q80" i="2"/>
  <c r="R80" i="2" s="1"/>
  <c r="Q79" i="2"/>
  <c r="R79" i="2" s="1"/>
  <c r="Q78" i="2"/>
  <c r="R78" i="2" s="1"/>
  <c r="Q77" i="2"/>
  <c r="R77" i="2" s="1"/>
  <c r="Q76" i="2"/>
  <c r="R76" i="2" s="1"/>
  <c r="Q75" i="2"/>
  <c r="R75" i="2" s="1"/>
  <c r="Q74" i="2"/>
  <c r="R74" i="2" s="1"/>
  <c r="Q73" i="2"/>
  <c r="R73" i="2" s="1"/>
  <c r="Q72" i="2"/>
  <c r="R72" i="2" s="1"/>
  <c r="Q71" i="2"/>
  <c r="R71" i="2" s="1"/>
  <c r="Q70" i="2"/>
  <c r="R70" i="2" s="1"/>
  <c r="Q67" i="2"/>
  <c r="R67" i="2" s="1"/>
  <c r="Q66" i="2"/>
  <c r="R66" i="2" s="1"/>
  <c r="Q65" i="2"/>
  <c r="R65" i="2" s="1"/>
  <c r="O129" i="2"/>
  <c r="P129" i="2" s="1"/>
  <c r="O125" i="2"/>
  <c r="P125" i="2" s="1"/>
  <c r="O124" i="2"/>
  <c r="P124" i="2" s="1"/>
  <c r="O123" i="2"/>
  <c r="P123" i="2" s="1"/>
  <c r="O122" i="2"/>
  <c r="P122" i="2" s="1"/>
  <c r="O121" i="2"/>
  <c r="P121" i="2" s="1"/>
  <c r="O120" i="2"/>
  <c r="P120" i="2" s="1"/>
  <c r="O119" i="2"/>
  <c r="P119" i="2" s="1"/>
  <c r="O118" i="2"/>
  <c r="P118" i="2" s="1"/>
  <c r="O117" i="2"/>
  <c r="P117" i="2" s="1"/>
  <c r="O116" i="2"/>
  <c r="P116" i="2" s="1"/>
  <c r="O115" i="2"/>
  <c r="P115" i="2" s="1"/>
  <c r="O114" i="2"/>
  <c r="P114" i="2" s="1"/>
  <c r="O113" i="2"/>
  <c r="P113" i="2" s="1"/>
  <c r="O112" i="2"/>
  <c r="P112" i="2" s="1"/>
  <c r="O111" i="2"/>
  <c r="P111" i="2" s="1"/>
  <c r="O110" i="2"/>
  <c r="P110" i="2" s="1"/>
  <c r="O108" i="2"/>
  <c r="P108" i="2" s="1"/>
  <c r="O107" i="2"/>
  <c r="P107" i="2" s="1"/>
  <c r="O106" i="2"/>
  <c r="P106" i="2" s="1"/>
  <c r="O105" i="2"/>
  <c r="P105" i="2" s="1"/>
  <c r="O104" i="2"/>
  <c r="P104" i="2" s="1"/>
  <c r="O103" i="2"/>
  <c r="P103" i="2" s="1"/>
  <c r="O102" i="2"/>
  <c r="P102" i="2" s="1"/>
  <c r="O101" i="2"/>
  <c r="P101" i="2" s="1"/>
  <c r="O94" i="2"/>
  <c r="P94" i="2" s="1"/>
  <c r="O93" i="2"/>
  <c r="P93" i="2" s="1"/>
  <c r="O92" i="2"/>
  <c r="P92" i="2" s="1"/>
  <c r="O91" i="2"/>
  <c r="P91" i="2" s="1"/>
  <c r="O90" i="2"/>
  <c r="P90" i="2" s="1"/>
  <c r="O89" i="2"/>
  <c r="P89" i="2" s="1"/>
  <c r="O88" i="2"/>
  <c r="P88" i="2" s="1"/>
  <c r="O87" i="2"/>
  <c r="P87" i="2" s="1"/>
  <c r="O86" i="2"/>
  <c r="P86" i="2" s="1"/>
  <c r="O85" i="2"/>
  <c r="P85" i="2" s="1"/>
  <c r="O84" i="2"/>
  <c r="P84" i="2" s="1"/>
  <c r="O82" i="2"/>
  <c r="P82" i="2" s="1"/>
  <c r="O81" i="2"/>
  <c r="P81" i="2" s="1"/>
  <c r="O80" i="2"/>
  <c r="P80" i="2" s="1"/>
  <c r="O79" i="2"/>
  <c r="P79" i="2" s="1"/>
  <c r="O78" i="2"/>
  <c r="P78" i="2" s="1"/>
  <c r="O77" i="2"/>
  <c r="P77" i="2" s="1"/>
  <c r="O76" i="2"/>
  <c r="P76" i="2" s="1"/>
  <c r="O75" i="2"/>
  <c r="P75" i="2" s="1"/>
  <c r="O74" i="2"/>
  <c r="P74" i="2" s="1"/>
  <c r="O73" i="2"/>
  <c r="P73" i="2" s="1"/>
  <c r="O72" i="2"/>
  <c r="P72" i="2" s="1"/>
  <c r="O71" i="2"/>
  <c r="P71" i="2" s="1"/>
  <c r="O70" i="2"/>
  <c r="P70" i="2" s="1"/>
  <c r="O67" i="2"/>
  <c r="P67" i="2" s="1"/>
  <c r="O66" i="2"/>
  <c r="P66" i="2" s="1"/>
  <c r="O65" i="2"/>
  <c r="P65" i="2" s="1"/>
  <c r="M129" i="2"/>
  <c r="N129" i="2" s="1"/>
  <c r="M125" i="2"/>
  <c r="N125" i="2" s="1"/>
  <c r="M124" i="2"/>
  <c r="N124" i="2" s="1"/>
  <c r="M123" i="2"/>
  <c r="N123" i="2" s="1"/>
  <c r="M122" i="2"/>
  <c r="N122" i="2" s="1"/>
  <c r="M121" i="2"/>
  <c r="N121" i="2" s="1"/>
  <c r="M120" i="2"/>
  <c r="N120" i="2" s="1"/>
  <c r="M119" i="2"/>
  <c r="N119" i="2" s="1"/>
  <c r="M118" i="2"/>
  <c r="N118" i="2" s="1"/>
  <c r="M117" i="2"/>
  <c r="N117" i="2" s="1"/>
  <c r="M116" i="2"/>
  <c r="N116" i="2" s="1"/>
  <c r="M115" i="2"/>
  <c r="N115" i="2" s="1"/>
  <c r="M114" i="2"/>
  <c r="N114" i="2" s="1"/>
  <c r="M113" i="2"/>
  <c r="N113" i="2" s="1"/>
  <c r="M112" i="2"/>
  <c r="N112" i="2" s="1"/>
  <c r="M111" i="2"/>
  <c r="N111" i="2" s="1"/>
  <c r="M110" i="2"/>
  <c r="N110" i="2" s="1"/>
  <c r="M108" i="2"/>
  <c r="N108" i="2" s="1"/>
  <c r="M107" i="2"/>
  <c r="N107" i="2" s="1"/>
  <c r="M106" i="2"/>
  <c r="N106" i="2" s="1"/>
  <c r="M105" i="2"/>
  <c r="N105" i="2" s="1"/>
  <c r="M104" i="2"/>
  <c r="N104" i="2" s="1"/>
  <c r="M103" i="2"/>
  <c r="N103" i="2" s="1"/>
  <c r="M102" i="2"/>
  <c r="N102" i="2" s="1"/>
  <c r="M101" i="2"/>
  <c r="N101" i="2" s="1"/>
  <c r="M94" i="2"/>
  <c r="N94" i="2" s="1"/>
  <c r="M93" i="2"/>
  <c r="N93" i="2" s="1"/>
  <c r="M92" i="2"/>
  <c r="N92" i="2" s="1"/>
  <c r="M91" i="2"/>
  <c r="N91" i="2" s="1"/>
  <c r="M90" i="2"/>
  <c r="N90" i="2" s="1"/>
  <c r="M89" i="2"/>
  <c r="N89" i="2" s="1"/>
  <c r="M88" i="2"/>
  <c r="N88" i="2" s="1"/>
  <c r="M87" i="2"/>
  <c r="N87" i="2" s="1"/>
  <c r="M86" i="2"/>
  <c r="N86" i="2" s="1"/>
  <c r="M85" i="2"/>
  <c r="N85" i="2" s="1"/>
  <c r="M84" i="2"/>
  <c r="N84" i="2" s="1"/>
  <c r="M82" i="2"/>
  <c r="N82" i="2" s="1"/>
  <c r="M81" i="2"/>
  <c r="N81" i="2" s="1"/>
  <c r="M80" i="2"/>
  <c r="N80" i="2" s="1"/>
  <c r="M79" i="2"/>
  <c r="N79" i="2" s="1"/>
  <c r="M78" i="2"/>
  <c r="N78" i="2" s="1"/>
  <c r="M77" i="2"/>
  <c r="N77" i="2" s="1"/>
  <c r="M76" i="2"/>
  <c r="N76" i="2" s="1"/>
  <c r="M75" i="2"/>
  <c r="N75" i="2" s="1"/>
  <c r="M74" i="2"/>
  <c r="N74" i="2" s="1"/>
  <c r="M73" i="2"/>
  <c r="N73" i="2" s="1"/>
  <c r="M72" i="2"/>
  <c r="N72" i="2" s="1"/>
  <c r="M71" i="2"/>
  <c r="N71" i="2" s="1"/>
  <c r="M70" i="2"/>
  <c r="N70" i="2" s="1"/>
  <c r="M67" i="2"/>
  <c r="N67" i="2" s="1"/>
  <c r="M66" i="2"/>
  <c r="N66" i="2" s="1"/>
  <c r="M65" i="2"/>
  <c r="N65" i="2" s="1"/>
  <c r="K129" i="2"/>
  <c r="L129" i="2" s="1"/>
  <c r="K125" i="2"/>
  <c r="L125" i="2" s="1"/>
  <c r="K124" i="2"/>
  <c r="L124" i="2" s="1"/>
  <c r="K123" i="2"/>
  <c r="L123" i="2" s="1"/>
  <c r="K122" i="2"/>
  <c r="L122" i="2" s="1"/>
  <c r="K121" i="2"/>
  <c r="L121" i="2" s="1"/>
  <c r="K120" i="2"/>
  <c r="L120" i="2" s="1"/>
  <c r="K119" i="2"/>
  <c r="L119" i="2" s="1"/>
  <c r="K118" i="2"/>
  <c r="L118" i="2" s="1"/>
  <c r="K117" i="2"/>
  <c r="L117" i="2" s="1"/>
  <c r="K116" i="2"/>
  <c r="L116" i="2" s="1"/>
  <c r="K115" i="2"/>
  <c r="L115" i="2" s="1"/>
  <c r="K114" i="2"/>
  <c r="L114" i="2" s="1"/>
  <c r="K113" i="2"/>
  <c r="L113" i="2" s="1"/>
  <c r="K112" i="2"/>
  <c r="L112" i="2" s="1"/>
  <c r="K111" i="2"/>
  <c r="L111" i="2" s="1"/>
  <c r="K110" i="2"/>
  <c r="L110" i="2" s="1"/>
  <c r="K108" i="2"/>
  <c r="L108" i="2" s="1"/>
  <c r="K107" i="2"/>
  <c r="L107" i="2" s="1"/>
  <c r="K106" i="2"/>
  <c r="L106" i="2" s="1"/>
  <c r="K105" i="2"/>
  <c r="L105" i="2" s="1"/>
  <c r="K104" i="2"/>
  <c r="L104" i="2" s="1"/>
  <c r="K103" i="2"/>
  <c r="L103" i="2" s="1"/>
  <c r="K102" i="2"/>
  <c r="L102" i="2" s="1"/>
  <c r="K101" i="2"/>
  <c r="L101" i="2" s="1"/>
  <c r="K94" i="2"/>
  <c r="L94" i="2" s="1"/>
  <c r="K93" i="2"/>
  <c r="L93" i="2" s="1"/>
  <c r="K92" i="2"/>
  <c r="L92" i="2" s="1"/>
  <c r="K91" i="2"/>
  <c r="L91" i="2" s="1"/>
  <c r="K90" i="2"/>
  <c r="L90" i="2" s="1"/>
  <c r="K89" i="2"/>
  <c r="L89" i="2" s="1"/>
  <c r="K88" i="2"/>
  <c r="L88" i="2" s="1"/>
  <c r="K87" i="2"/>
  <c r="L87" i="2" s="1"/>
  <c r="K86" i="2"/>
  <c r="L86" i="2" s="1"/>
  <c r="K85" i="2"/>
  <c r="L85" i="2" s="1"/>
  <c r="K84" i="2"/>
  <c r="L84" i="2" s="1"/>
  <c r="K82" i="2"/>
  <c r="L82" i="2" s="1"/>
  <c r="K81" i="2"/>
  <c r="L81" i="2" s="1"/>
  <c r="K80" i="2"/>
  <c r="L80" i="2" s="1"/>
  <c r="K79" i="2"/>
  <c r="L79" i="2" s="1"/>
  <c r="K78" i="2"/>
  <c r="L78" i="2" s="1"/>
  <c r="K77" i="2"/>
  <c r="L77" i="2" s="1"/>
  <c r="K76" i="2"/>
  <c r="L76" i="2" s="1"/>
  <c r="K75" i="2"/>
  <c r="L75" i="2" s="1"/>
  <c r="K74" i="2"/>
  <c r="L74" i="2" s="1"/>
  <c r="K73" i="2"/>
  <c r="L73" i="2" s="1"/>
  <c r="K72" i="2"/>
  <c r="L72" i="2" s="1"/>
  <c r="K71" i="2"/>
  <c r="L71" i="2" s="1"/>
  <c r="K70" i="2"/>
  <c r="L70" i="2" s="1"/>
  <c r="K67" i="2"/>
  <c r="L67" i="2" s="1"/>
  <c r="K66" i="2"/>
  <c r="L66" i="2" s="1"/>
  <c r="K65" i="2"/>
  <c r="L65" i="2" s="1"/>
  <c r="I129" i="2"/>
  <c r="J129" i="2" s="1"/>
  <c r="I125" i="2"/>
  <c r="J125" i="2" s="1"/>
  <c r="I124" i="2"/>
  <c r="J124" i="2" s="1"/>
  <c r="I123" i="2"/>
  <c r="J123" i="2" s="1"/>
  <c r="I122" i="2"/>
  <c r="J122" i="2" s="1"/>
  <c r="I121" i="2"/>
  <c r="J121" i="2" s="1"/>
  <c r="I120" i="2"/>
  <c r="J120" i="2" s="1"/>
  <c r="I119" i="2"/>
  <c r="J119" i="2" s="1"/>
  <c r="I118" i="2"/>
  <c r="J118" i="2" s="1"/>
  <c r="I117" i="2"/>
  <c r="J117" i="2" s="1"/>
  <c r="I116" i="2"/>
  <c r="J116" i="2" s="1"/>
  <c r="I115" i="2"/>
  <c r="J115" i="2" s="1"/>
  <c r="I114" i="2"/>
  <c r="J114" i="2" s="1"/>
  <c r="I113" i="2"/>
  <c r="J113" i="2" s="1"/>
  <c r="I112" i="2"/>
  <c r="J112" i="2" s="1"/>
  <c r="I111" i="2"/>
  <c r="J111" i="2" s="1"/>
  <c r="I110" i="2"/>
  <c r="J110" i="2" s="1"/>
  <c r="I108" i="2"/>
  <c r="J108" i="2" s="1"/>
  <c r="I107" i="2"/>
  <c r="J107" i="2" s="1"/>
  <c r="I106" i="2"/>
  <c r="J106" i="2" s="1"/>
  <c r="I105" i="2"/>
  <c r="J105" i="2" s="1"/>
  <c r="I104" i="2"/>
  <c r="J104" i="2" s="1"/>
  <c r="I103" i="2"/>
  <c r="J103" i="2" s="1"/>
  <c r="I102" i="2"/>
  <c r="J102" i="2" s="1"/>
  <c r="I101" i="2"/>
  <c r="J101" i="2" s="1"/>
  <c r="I94" i="2"/>
  <c r="J94" i="2" s="1"/>
  <c r="I93" i="2"/>
  <c r="J93" i="2" s="1"/>
  <c r="I92" i="2"/>
  <c r="J92" i="2" s="1"/>
  <c r="I91" i="2"/>
  <c r="J91" i="2" s="1"/>
  <c r="I90" i="2"/>
  <c r="J90" i="2" s="1"/>
  <c r="I89" i="2"/>
  <c r="J89" i="2" s="1"/>
  <c r="I88" i="2"/>
  <c r="J88" i="2" s="1"/>
  <c r="I87" i="2"/>
  <c r="J87" i="2" s="1"/>
  <c r="I86" i="2"/>
  <c r="J86" i="2" s="1"/>
  <c r="I85" i="2"/>
  <c r="J85" i="2" s="1"/>
  <c r="I84" i="2"/>
  <c r="J84" i="2" s="1"/>
  <c r="I82" i="2"/>
  <c r="J82" i="2" s="1"/>
  <c r="I81" i="2"/>
  <c r="J81" i="2" s="1"/>
  <c r="I80" i="2"/>
  <c r="J80" i="2" s="1"/>
  <c r="I79" i="2"/>
  <c r="J79" i="2" s="1"/>
  <c r="I78" i="2"/>
  <c r="J78" i="2" s="1"/>
  <c r="I77" i="2"/>
  <c r="J77" i="2" s="1"/>
  <c r="I76" i="2"/>
  <c r="J76" i="2" s="1"/>
  <c r="I75" i="2"/>
  <c r="J75" i="2" s="1"/>
  <c r="I74" i="2"/>
  <c r="J74" i="2" s="1"/>
  <c r="I73" i="2"/>
  <c r="J73" i="2" s="1"/>
  <c r="I72" i="2"/>
  <c r="J72" i="2" s="1"/>
  <c r="I71" i="2"/>
  <c r="J71" i="2" s="1"/>
  <c r="I70" i="2"/>
  <c r="J70" i="2" s="1"/>
  <c r="I67" i="2"/>
  <c r="J67" i="2" s="1"/>
  <c r="I66" i="2"/>
  <c r="J66" i="2" s="1"/>
  <c r="I65" i="2"/>
  <c r="J65" i="2" s="1"/>
  <c r="G129" i="2"/>
  <c r="H129" i="2" s="1"/>
  <c r="G125" i="2"/>
  <c r="H125" i="2" s="1"/>
  <c r="G124" i="2"/>
  <c r="H124" i="2" s="1"/>
  <c r="G123" i="2"/>
  <c r="H123" i="2" s="1"/>
  <c r="G122" i="2"/>
  <c r="H122" i="2" s="1"/>
  <c r="G121" i="2"/>
  <c r="H121" i="2" s="1"/>
  <c r="G120" i="2"/>
  <c r="H120" i="2" s="1"/>
  <c r="G119" i="2"/>
  <c r="H119" i="2" s="1"/>
  <c r="G118" i="2"/>
  <c r="H118" i="2" s="1"/>
  <c r="G117" i="2"/>
  <c r="H117" i="2" s="1"/>
  <c r="G116" i="2"/>
  <c r="H116" i="2" s="1"/>
  <c r="G115" i="2"/>
  <c r="H115" i="2" s="1"/>
  <c r="G114" i="2"/>
  <c r="H114" i="2" s="1"/>
  <c r="G113" i="2"/>
  <c r="H113" i="2" s="1"/>
  <c r="G112" i="2"/>
  <c r="H112" i="2" s="1"/>
  <c r="G111" i="2"/>
  <c r="H111" i="2" s="1"/>
  <c r="G110" i="2"/>
  <c r="H110" i="2" s="1"/>
  <c r="G108" i="2"/>
  <c r="H108" i="2" s="1"/>
  <c r="G107" i="2"/>
  <c r="H107" i="2" s="1"/>
  <c r="G106" i="2"/>
  <c r="H106" i="2" s="1"/>
  <c r="G105" i="2"/>
  <c r="H105" i="2" s="1"/>
  <c r="G104" i="2"/>
  <c r="H104" i="2" s="1"/>
  <c r="G103" i="2"/>
  <c r="H103" i="2" s="1"/>
  <c r="G102" i="2"/>
  <c r="H102" i="2" s="1"/>
  <c r="G101" i="2"/>
  <c r="H101" i="2" s="1"/>
  <c r="G94" i="2"/>
  <c r="H94" i="2" s="1"/>
  <c r="G93" i="2"/>
  <c r="H93" i="2" s="1"/>
  <c r="G92" i="2"/>
  <c r="H92" i="2" s="1"/>
  <c r="G91" i="2"/>
  <c r="H91" i="2" s="1"/>
  <c r="G90" i="2"/>
  <c r="H90" i="2" s="1"/>
  <c r="G89" i="2"/>
  <c r="H89" i="2" s="1"/>
  <c r="G88" i="2"/>
  <c r="H88" i="2" s="1"/>
  <c r="G87" i="2"/>
  <c r="H87" i="2" s="1"/>
  <c r="G86" i="2"/>
  <c r="H86" i="2" s="1"/>
  <c r="G85" i="2"/>
  <c r="H85" i="2" s="1"/>
  <c r="G84" i="2"/>
  <c r="H84" i="2" s="1"/>
  <c r="G82" i="2"/>
  <c r="H82" i="2" s="1"/>
  <c r="G81" i="2"/>
  <c r="H81" i="2" s="1"/>
  <c r="G80" i="2"/>
  <c r="H80" i="2" s="1"/>
  <c r="G79" i="2"/>
  <c r="H79" i="2" s="1"/>
  <c r="G78" i="2"/>
  <c r="H78" i="2" s="1"/>
  <c r="G77" i="2"/>
  <c r="H77" i="2" s="1"/>
  <c r="G76" i="2"/>
  <c r="H76" i="2" s="1"/>
  <c r="G75" i="2"/>
  <c r="H75" i="2" s="1"/>
  <c r="G74" i="2"/>
  <c r="H74" i="2" s="1"/>
  <c r="G73" i="2"/>
  <c r="H73" i="2" s="1"/>
  <c r="G72" i="2"/>
  <c r="H72" i="2" s="1"/>
  <c r="G71" i="2"/>
  <c r="H71" i="2" s="1"/>
  <c r="G70" i="2"/>
  <c r="H70" i="2" s="1"/>
  <c r="G67" i="2"/>
  <c r="H67" i="2" s="1"/>
  <c r="G66" i="2"/>
  <c r="H66" i="2" s="1"/>
  <c r="G65" i="2"/>
  <c r="H65" i="2" s="1"/>
  <c r="E129" i="2"/>
  <c r="F129" i="2" s="1"/>
  <c r="E125" i="2"/>
  <c r="F125" i="2" s="1"/>
  <c r="E124" i="2"/>
  <c r="F124" i="2" s="1"/>
  <c r="E123" i="2"/>
  <c r="F123" i="2" s="1"/>
  <c r="E122" i="2"/>
  <c r="F122" i="2" s="1"/>
  <c r="E121" i="2"/>
  <c r="F121" i="2" s="1"/>
  <c r="E120" i="2"/>
  <c r="F120" i="2" s="1"/>
  <c r="E119" i="2"/>
  <c r="F119" i="2" s="1"/>
  <c r="E118" i="2"/>
  <c r="F118" i="2" s="1"/>
  <c r="E117" i="2"/>
  <c r="F117" i="2" s="1"/>
  <c r="E116" i="2"/>
  <c r="F116" i="2" s="1"/>
  <c r="E115" i="2"/>
  <c r="F115" i="2" s="1"/>
  <c r="E114" i="2"/>
  <c r="F114" i="2" s="1"/>
  <c r="E113" i="2"/>
  <c r="F113" i="2" s="1"/>
  <c r="E112" i="2"/>
  <c r="F112" i="2" s="1"/>
  <c r="E111" i="2"/>
  <c r="F111" i="2" s="1"/>
  <c r="E110" i="2"/>
  <c r="F110" i="2" s="1"/>
  <c r="E108" i="2"/>
  <c r="F108" i="2" s="1"/>
  <c r="E107" i="2"/>
  <c r="F107" i="2" s="1"/>
  <c r="E106" i="2"/>
  <c r="F106" i="2" s="1"/>
  <c r="E105" i="2"/>
  <c r="F105" i="2" s="1"/>
  <c r="E104" i="2"/>
  <c r="F104" i="2" s="1"/>
  <c r="E103" i="2"/>
  <c r="F103" i="2" s="1"/>
  <c r="E102" i="2"/>
  <c r="F102" i="2" s="1"/>
  <c r="E101" i="2"/>
  <c r="F101" i="2" s="1"/>
  <c r="E94" i="2"/>
  <c r="F94" i="2" s="1"/>
  <c r="E93" i="2"/>
  <c r="F93" i="2" s="1"/>
  <c r="E92" i="2"/>
  <c r="F92" i="2" s="1"/>
  <c r="E91" i="2"/>
  <c r="F91" i="2" s="1"/>
  <c r="E90" i="2"/>
  <c r="F90" i="2" s="1"/>
  <c r="E89" i="2"/>
  <c r="F89" i="2" s="1"/>
  <c r="E88" i="2"/>
  <c r="F88" i="2" s="1"/>
  <c r="E87" i="2"/>
  <c r="F87" i="2" s="1"/>
  <c r="E86" i="2"/>
  <c r="F86" i="2" s="1"/>
  <c r="E85" i="2"/>
  <c r="F85" i="2" s="1"/>
  <c r="E84" i="2"/>
  <c r="F84" i="2" s="1"/>
  <c r="E82" i="2"/>
  <c r="F82" i="2" s="1"/>
  <c r="E81" i="2"/>
  <c r="F81" i="2" s="1"/>
  <c r="E80" i="2"/>
  <c r="F80" i="2" s="1"/>
  <c r="E79" i="2"/>
  <c r="F79" i="2" s="1"/>
  <c r="E78" i="2"/>
  <c r="F78" i="2" s="1"/>
  <c r="E77" i="2"/>
  <c r="F77" i="2" s="1"/>
  <c r="E76" i="2"/>
  <c r="F76" i="2" s="1"/>
  <c r="E75" i="2"/>
  <c r="F75" i="2" s="1"/>
  <c r="E74" i="2"/>
  <c r="F74" i="2" s="1"/>
  <c r="E73" i="2"/>
  <c r="F73" i="2" s="1"/>
  <c r="E72" i="2"/>
  <c r="F72" i="2" s="1"/>
  <c r="E71" i="2"/>
  <c r="F71" i="2" s="1"/>
  <c r="E70" i="2"/>
  <c r="F70" i="2" s="1"/>
  <c r="E67" i="2"/>
  <c r="F67" i="2" s="1"/>
  <c r="E66" i="2"/>
  <c r="F66" i="2" s="1"/>
  <c r="E65" i="2"/>
  <c r="F65" i="2" s="1"/>
  <c r="C129" i="2"/>
  <c r="D129" i="2" s="1"/>
  <c r="C125" i="2"/>
  <c r="D125" i="2" s="1"/>
  <c r="C124" i="2"/>
  <c r="D124" i="2" s="1"/>
  <c r="C123" i="2"/>
  <c r="D123" i="2" s="1"/>
  <c r="C122" i="2"/>
  <c r="D122" i="2" s="1"/>
  <c r="C121" i="2"/>
  <c r="D121" i="2" s="1"/>
  <c r="C120" i="2"/>
  <c r="D120" i="2" s="1"/>
  <c r="C119" i="2"/>
  <c r="D119" i="2" s="1"/>
  <c r="C118" i="2"/>
  <c r="D118" i="2" s="1"/>
  <c r="C117" i="2"/>
  <c r="D117" i="2" s="1"/>
  <c r="C116" i="2"/>
  <c r="D116" i="2" s="1"/>
  <c r="C115" i="2"/>
  <c r="D115" i="2" s="1"/>
  <c r="C114" i="2"/>
  <c r="D114" i="2" s="1"/>
  <c r="C113" i="2"/>
  <c r="D113" i="2" s="1"/>
  <c r="C112" i="2"/>
  <c r="D112" i="2" s="1"/>
  <c r="C111" i="2"/>
  <c r="D111" i="2" s="1"/>
  <c r="C110" i="2"/>
  <c r="D110" i="2" s="1"/>
  <c r="C108" i="2"/>
  <c r="D108" i="2" s="1"/>
  <c r="C107" i="2"/>
  <c r="D107" i="2" s="1"/>
  <c r="C106" i="2"/>
  <c r="D106" i="2" s="1"/>
  <c r="C105" i="2"/>
  <c r="D105" i="2" s="1"/>
  <c r="C104" i="2"/>
  <c r="D104" i="2" s="1"/>
  <c r="C103" i="2"/>
  <c r="D103" i="2" s="1"/>
  <c r="C102" i="2"/>
  <c r="D102" i="2" s="1"/>
  <c r="C101" i="2"/>
  <c r="D101" i="2" s="1"/>
  <c r="C94" i="2"/>
  <c r="D94" i="2" s="1"/>
  <c r="C93" i="2"/>
  <c r="D93" i="2" s="1"/>
  <c r="C92" i="2"/>
  <c r="D92" i="2" s="1"/>
  <c r="C91" i="2"/>
  <c r="D91" i="2" s="1"/>
  <c r="C90" i="2"/>
  <c r="D90" i="2" s="1"/>
  <c r="C89" i="2"/>
  <c r="D89" i="2" s="1"/>
  <c r="C88" i="2"/>
  <c r="D88" i="2" s="1"/>
  <c r="C87" i="2"/>
  <c r="D87" i="2" s="1"/>
  <c r="C86" i="2"/>
  <c r="D86" i="2" s="1"/>
  <c r="C85" i="2"/>
  <c r="D85" i="2" s="1"/>
  <c r="C84" i="2"/>
  <c r="D84" i="2" s="1"/>
  <c r="C82" i="2"/>
  <c r="D82" i="2" s="1"/>
  <c r="C81" i="2"/>
  <c r="D81" i="2" s="1"/>
  <c r="C80" i="2"/>
  <c r="D80" i="2" s="1"/>
  <c r="C79" i="2"/>
  <c r="D79" i="2" s="1"/>
  <c r="C78" i="2"/>
  <c r="D78" i="2" s="1"/>
  <c r="C77" i="2"/>
  <c r="D77" i="2" s="1"/>
  <c r="C76" i="2"/>
  <c r="D76" i="2" s="1"/>
  <c r="C75" i="2"/>
  <c r="D75" i="2" s="1"/>
  <c r="C74" i="2"/>
  <c r="D74" i="2" s="1"/>
  <c r="C73" i="2"/>
  <c r="D73" i="2" s="1"/>
  <c r="C72" i="2"/>
  <c r="D72" i="2" s="1"/>
  <c r="C71" i="2"/>
  <c r="D71" i="2" s="1"/>
  <c r="C70" i="2"/>
  <c r="D70" i="2" s="1"/>
  <c r="C67" i="2"/>
  <c r="D67" i="2" s="1"/>
  <c r="C66" i="2"/>
  <c r="D66" i="2" s="1"/>
  <c r="C65" i="2"/>
  <c r="D65" i="2" s="1"/>
  <c r="A128" i="2"/>
  <c r="B128" i="2" s="1"/>
  <c r="A123" i="2"/>
  <c r="B123" i="2" s="1"/>
  <c r="B3" i="68"/>
  <c r="B2" i="39" a="1"/>
  <c r="B3" i="39" a="1"/>
  <c r="B24" i="39" a="1"/>
  <c r="B23" i="39" a="1"/>
  <c r="B29" i="39" a="1"/>
  <c r="B31" i="39" a="1"/>
  <c r="B21" i="39" a="1"/>
  <c r="B32" i="39" a="1"/>
  <c r="J24" i="39" a="1"/>
  <c r="B22" i="39" a="1"/>
  <c r="F18" i="39" a="1"/>
  <c r="B20" i="39" a="1"/>
  <c r="F21" i="39" a="1"/>
  <c r="B33" i="39" a="1"/>
  <c r="J25" i="39" a="1"/>
  <c r="B35" i="39" a="1"/>
  <c r="B34" i="39" a="1"/>
  <c r="N11" i="39" a="1"/>
  <c r="B30" i="39" a="1"/>
  <c r="N10" i="39" a="1"/>
  <c r="F16" i="39" a="1"/>
  <c r="F15" i="39" a="1"/>
  <c r="B16" i="39" a="1"/>
  <c r="J26" i="39" a="1"/>
  <c r="B26" i="39" a="1"/>
  <c r="B25" i="39" a="1"/>
  <c r="B28" i="39" a="1"/>
  <c r="J23" i="39" a="1"/>
  <c r="F19" i="39" a="1"/>
  <c r="F17" i="39" a="1"/>
  <c r="F20" i="39" a="1"/>
  <c r="B17" i="39" a="1"/>
  <c r="B27" i="39" a="1"/>
  <c r="R4" i="39" a="1"/>
  <c r="B3" i="39" l="1"/>
  <c r="C3" i="39" s="1"/>
  <c r="B2" i="39"/>
  <c r="C2" i="39" s="1"/>
  <c r="R4" i="39"/>
  <c r="S4" i="39" s="1"/>
  <c r="F21" i="39"/>
  <c r="G21" i="39" s="1"/>
  <c r="F20" i="39"/>
  <c r="G20" i="39" s="1"/>
  <c r="B31" i="39"/>
  <c r="C31" i="39" s="1"/>
  <c r="B30" i="39"/>
  <c r="C30" i="39" s="1"/>
  <c r="B23" i="39"/>
  <c r="C23" i="39" s="1"/>
  <c r="B20" i="39"/>
  <c r="C20" i="39" s="1"/>
  <c r="B32" i="39"/>
  <c r="C32" i="39" s="1"/>
  <c r="B21" i="39"/>
  <c r="C21" i="39" s="1"/>
  <c r="B33" i="39"/>
  <c r="C33" i="39" s="1"/>
  <c r="B22" i="39"/>
  <c r="C22" i="39" s="1"/>
  <c r="B24" i="39"/>
  <c r="C24" i="39" s="1"/>
  <c r="B25" i="39"/>
  <c r="C25" i="39" s="1"/>
  <c r="B26" i="39"/>
  <c r="C26" i="39" s="1"/>
  <c r="B27" i="39"/>
  <c r="C27" i="39" s="1"/>
  <c r="B28" i="39"/>
  <c r="C28" i="39" s="1"/>
  <c r="B29" i="39"/>
  <c r="C29" i="39" s="1"/>
  <c r="B17" i="39"/>
  <c r="C17" i="39" s="1"/>
  <c r="B34" i="39"/>
  <c r="C34" i="39" s="1"/>
  <c r="B35" i="39"/>
  <c r="C35" i="39" s="1"/>
  <c r="F19" i="39"/>
  <c r="G19" i="39" s="1"/>
  <c r="J26" i="39"/>
  <c r="K26" i="39" s="1"/>
  <c r="J23" i="39"/>
  <c r="K23" i="39" s="1"/>
  <c r="J25" i="39"/>
  <c r="K25" i="39" s="1"/>
  <c r="B16" i="39"/>
  <c r="C16" i="39" s="1"/>
  <c r="J24" i="39"/>
  <c r="K24" i="39" s="1"/>
  <c r="F17" i="39"/>
  <c r="G17" i="39" s="1"/>
  <c r="F18" i="39"/>
  <c r="G18" i="39" s="1"/>
  <c r="F16" i="39"/>
  <c r="G16" i="39" s="1"/>
  <c r="F15" i="39"/>
  <c r="G15" i="39" s="1"/>
  <c r="N11" i="39"/>
  <c r="O11" i="39" s="1"/>
  <c r="N10" i="39"/>
  <c r="O10" i="39" s="1"/>
  <c r="T6" i="69" l="1"/>
  <c r="R6" i="69"/>
  <c r="P6" i="69"/>
  <c r="N6" i="69"/>
  <c r="L6" i="69"/>
  <c r="J6" i="69"/>
  <c r="H6" i="69"/>
  <c r="F6" i="69"/>
  <c r="D6" i="69"/>
  <c r="B6" i="69"/>
  <c r="T5" i="69"/>
  <c r="R5" i="69"/>
  <c r="P5" i="69"/>
  <c r="N5" i="69"/>
  <c r="L5" i="69"/>
  <c r="J5" i="69"/>
  <c r="H5" i="69"/>
  <c r="F5" i="69"/>
  <c r="D5" i="69"/>
  <c r="B5" i="69"/>
  <c r="T4" i="69"/>
  <c r="R4" i="69"/>
  <c r="Q128" i="2" s="1"/>
  <c r="R128" i="2" s="1"/>
  <c r="P4" i="69"/>
  <c r="O128" i="2" s="1"/>
  <c r="P128" i="2" s="1"/>
  <c r="N4" i="69"/>
  <c r="M128" i="2" s="1"/>
  <c r="N128" i="2" s="1"/>
  <c r="L4" i="69"/>
  <c r="K128" i="2" s="1"/>
  <c r="L128" i="2" s="1"/>
  <c r="J4" i="69"/>
  <c r="I128" i="2" s="1"/>
  <c r="J128" i="2" s="1"/>
  <c r="H4" i="69"/>
  <c r="G128" i="2" s="1"/>
  <c r="H128" i="2" s="1"/>
  <c r="F4" i="69"/>
  <c r="E128" i="2" s="1"/>
  <c r="F128" i="2" s="1"/>
  <c r="D4" i="69"/>
  <c r="C128" i="2" s="1"/>
  <c r="D128" i="2" s="1"/>
  <c r="B4" i="69"/>
  <c r="T3" i="69"/>
  <c r="R3" i="69"/>
  <c r="P3" i="69"/>
  <c r="N3" i="69"/>
  <c r="L3" i="69"/>
  <c r="J3" i="69"/>
  <c r="H3" i="69"/>
  <c r="F3" i="69"/>
  <c r="D3" i="69"/>
  <c r="B3" i="69"/>
  <c r="A1" i="69"/>
  <c r="T6" i="68"/>
  <c r="R6" i="68"/>
  <c r="P6" i="68"/>
  <c r="N6" i="68"/>
  <c r="L6" i="68"/>
  <c r="J6" i="68"/>
  <c r="H6" i="68"/>
  <c r="F6" i="68"/>
  <c r="D6" i="68"/>
  <c r="B6" i="68"/>
  <c r="T5" i="68"/>
  <c r="R5" i="68"/>
  <c r="P5" i="68"/>
  <c r="N5" i="68"/>
  <c r="L5" i="68"/>
  <c r="J5" i="68"/>
  <c r="H5" i="68"/>
  <c r="F5" i="68"/>
  <c r="D5" i="68"/>
  <c r="B5" i="68"/>
  <c r="T4" i="68"/>
  <c r="R4" i="68"/>
  <c r="Q127" i="2" s="1"/>
  <c r="R127" i="2" s="1"/>
  <c r="P4" i="68"/>
  <c r="O127" i="2" s="1"/>
  <c r="P127" i="2" s="1"/>
  <c r="N4" i="68"/>
  <c r="M127" i="2" s="1"/>
  <c r="N127" i="2" s="1"/>
  <c r="L4" i="68"/>
  <c r="K127" i="2" s="1"/>
  <c r="L127" i="2" s="1"/>
  <c r="J4" i="68"/>
  <c r="I127" i="2" s="1"/>
  <c r="J127" i="2" s="1"/>
  <c r="H4" i="68"/>
  <c r="G127" i="2" s="1"/>
  <c r="H127" i="2" s="1"/>
  <c r="F4" i="68"/>
  <c r="E127" i="2" s="1"/>
  <c r="F127" i="2" s="1"/>
  <c r="D4" i="68"/>
  <c r="C127" i="2" s="1"/>
  <c r="D127" i="2" s="1"/>
  <c r="B4" i="68"/>
  <c r="A127" i="2" s="1"/>
  <c r="B127" i="2" s="1"/>
  <c r="T3" i="68"/>
  <c r="R3" i="68"/>
  <c r="P3" i="68"/>
  <c r="N3" i="68"/>
  <c r="L3" i="68"/>
  <c r="J3" i="68"/>
  <c r="H3" i="68"/>
  <c r="F3" i="68"/>
  <c r="D3" i="68"/>
  <c r="A1" i="68"/>
  <c r="T6" i="67"/>
  <c r="R6" i="67"/>
  <c r="P6" i="67"/>
  <c r="N6" i="67"/>
  <c r="L6" i="67"/>
  <c r="J6" i="67"/>
  <c r="H6" i="67"/>
  <c r="F6" i="67"/>
  <c r="D6" i="67"/>
  <c r="B6" i="67"/>
  <c r="T5" i="67"/>
  <c r="R5" i="67"/>
  <c r="P5" i="67"/>
  <c r="N5" i="67"/>
  <c r="L5" i="67"/>
  <c r="J5" i="67"/>
  <c r="H5" i="67"/>
  <c r="F5" i="67"/>
  <c r="D5" i="67"/>
  <c r="B5" i="67"/>
  <c r="T4" i="67"/>
  <c r="R4" i="67"/>
  <c r="Q126" i="2" s="1"/>
  <c r="R126" i="2" s="1"/>
  <c r="P4" i="67"/>
  <c r="O126" i="2" s="1"/>
  <c r="P126" i="2" s="1"/>
  <c r="N4" i="67"/>
  <c r="M126" i="2" s="1"/>
  <c r="N126" i="2" s="1"/>
  <c r="L4" i="67"/>
  <c r="K126" i="2" s="1"/>
  <c r="L126" i="2" s="1"/>
  <c r="J4" i="67"/>
  <c r="I126" i="2" s="1"/>
  <c r="J126" i="2" s="1"/>
  <c r="H4" i="67"/>
  <c r="G126" i="2" s="1"/>
  <c r="H126" i="2" s="1"/>
  <c r="F4" i="67"/>
  <c r="E126" i="2" s="1"/>
  <c r="F126" i="2" s="1"/>
  <c r="D4" i="67"/>
  <c r="C126" i="2" s="1"/>
  <c r="D126" i="2" s="1"/>
  <c r="B4" i="67"/>
  <c r="A126" i="2" s="1"/>
  <c r="B126" i="2" s="1"/>
  <c r="T3" i="67"/>
  <c r="R3" i="67"/>
  <c r="P3" i="67"/>
  <c r="N3" i="67"/>
  <c r="L3" i="67"/>
  <c r="J3" i="67"/>
  <c r="H3" i="67"/>
  <c r="F3" i="67"/>
  <c r="D3" i="67"/>
  <c r="B3" i="67"/>
  <c r="A1" i="67"/>
  <c r="Q34" i="20" a="1"/>
  <c r="Q34" i="20" s="1"/>
  <c r="Q26" i="19" a="1"/>
  <c r="Q26" i="19" s="1"/>
  <c r="Q23" i="21" a="1"/>
  <c r="Q23" i="21" s="1"/>
  <c r="Q15" i="46" a="1"/>
  <c r="Q15" i="46" s="1"/>
  <c r="Q33" i="4" a="1"/>
  <c r="Q33" i="4" s="1"/>
  <c r="Q29" i="22" a="1"/>
  <c r="Q29" i="22" s="1"/>
  <c r="Q28" i="24" a="1"/>
  <c r="Q28" i="24" s="1"/>
  <c r="O37" i="20" a="1"/>
  <c r="O37" i="20" s="1"/>
  <c r="O26" i="19" a="1"/>
  <c r="O26" i="19" s="1"/>
  <c r="O23" i="21"/>
  <c r="O17" i="46" a="1"/>
  <c r="O17" i="46" s="1"/>
  <c r="O33" i="4"/>
  <c r="O30" i="22"/>
  <c r="O29" i="24" a="1"/>
  <c r="O29" i="24" s="1"/>
  <c r="P7" i="43"/>
  <c r="P8" i="43"/>
  <c r="P7" i="47"/>
  <c r="M33" i="4"/>
  <c r="M34" i="20" a="1"/>
  <c r="M34" i="20" s="1"/>
  <c r="M26" i="19" a="1"/>
  <c r="M26" i="19" s="1"/>
  <c r="M23" i="21"/>
  <c r="M15" i="46"/>
  <c r="M29" i="22"/>
  <c r="M28" i="24" a="1"/>
  <c r="M28" i="24" s="1"/>
  <c r="N7" i="43"/>
  <c r="N7" i="47"/>
  <c r="N10" i="29"/>
  <c r="K34" i="20" a="1"/>
  <c r="K34" i="20" s="1"/>
  <c r="K23" i="21" a="1"/>
  <c r="K23" i="21" s="1"/>
  <c r="K15" i="46" a="1"/>
  <c r="K15" i="46" s="1"/>
  <c r="K29" i="22" a="1"/>
  <c r="K29" i="22" s="1"/>
  <c r="J8" i="30"/>
  <c r="E34" i="20" a="1"/>
  <c r="E34" i="20" s="1"/>
  <c r="E26" i="19" a="1"/>
  <c r="E26" i="19" s="1"/>
  <c r="E23" i="21"/>
  <c r="E15" i="46"/>
  <c r="E33" i="4"/>
  <c r="E29" i="22"/>
  <c r="E28" i="24" a="1"/>
  <c r="E28" i="24" s="1"/>
  <c r="F7" i="43"/>
  <c r="F7" i="47"/>
  <c r="F10" i="29"/>
  <c r="F7" i="29"/>
  <c r="F7" i="30"/>
  <c r="F8" i="30"/>
  <c r="F7" i="15"/>
  <c r="F7" i="41"/>
  <c r="D7" i="30"/>
  <c r="D7" i="15"/>
  <c r="D7" i="41"/>
  <c r="D7" i="43"/>
  <c r="D7" i="47"/>
  <c r="H7" i="47"/>
  <c r="H10" i="29"/>
  <c r="H7" i="43"/>
  <c r="T61" i="2"/>
  <c r="T60" i="2"/>
  <c r="T59" i="2"/>
  <c r="T58" i="2"/>
  <c r="T57" i="2"/>
  <c r="T56" i="2"/>
  <c r="T54" i="2"/>
  <c r="T53" i="2"/>
  <c r="T52" i="2"/>
  <c r="T50" i="2"/>
  <c r="T49" i="2"/>
  <c r="T48" i="2"/>
  <c r="T47" i="2"/>
  <c r="T46" i="2"/>
  <c r="T45" i="2"/>
  <c r="T43" i="2"/>
  <c r="T42" i="2"/>
  <c r="T39" i="2"/>
  <c r="T38" i="2"/>
  <c r="T37" i="2"/>
  <c r="T35" i="2"/>
  <c r="T30" i="2"/>
  <c r="T29" i="2"/>
  <c r="T28" i="2"/>
  <c r="T27" i="2"/>
  <c r="T26" i="2"/>
  <c r="T25" i="2"/>
  <c r="T24" i="2"/>
  <c r="T23" i="2"/>
  <c r="T22" i="2"/>
  <c r="T21" i="2"/>
  <c r="T19" i="2"/>
  <c r="T18" i="2"/>
  <c r="T17" i="2"/>
  <c r="T16" i="2"/>
  <c r="T15" i="2"/>
  <c r="T14" i="2"/>
  <c r="T13" i="2"/>
  <c r="Q61" i="2"/>
  <c r="R61" i="2" s="1"/>
  <c r="Q60" i="2"/>
  <c r="R60" i="2" s="1"/>
  <c r="Q58" i="2"/>
  <c r="R58" i="2" s="1"/>
  <c r="Q56" i="2"/>
  <c r="R56" i="2" s="1"/>
  <c r="Q52" i="2"/>
  <c r="R52" i="2" s="1"/>
  <c r="Q48" i="2"/>
  <c r="R48" i="2" s="1"/>
  <c r="Q47" i="2"/>
  <c r="R47" i="2" s="1"/>
  <c r="Q46" i="2"/>
  <c r="R46" i="2" s="1"/>
  <c r="Q37" i="2"/>
  <c r="R37" i="2" s="1"/>
  <c r="Q29" i="2"/>
  <c r="R29" i="2" s="1"/>
  <c r="Q28" i="2"/>
  <c r="R28" i="2" s="1"/>
  <c r="Q25" i="2"/>
  <c r="R25" i="2" s="1"/>
  <c r="Q24" i="2"/>
  <c r="R24" i="2" s="1"/>
  <c r="Q23" i="2"/>
  <c r="R23" i="2" s="1"/>
  <c r="Q21" i="2"/>
  <c r="R21" i="2" s="1"/>
  <c r="Q15" i="2"/>
  <c r="R15" i="2" s="1"/>
  <c r="Q14" i="2"/>
  <c r="R14" i="2" s="1"/>
  <c r="O58" i="2"/>
  <c r="P58" i="2" s="1"/>
  <c r="O57" i="2"/>
  <c r="P57" i="2" s="1"/>
  <c r="O56" i="2"/>
  <c r="P56" i="2" s="1"/>
  <c r="O53" i="2"/>
  <c r="P53" i="2" s="1"/>
  <c r="O50" i="2"/>
  <c r="P50" i="2" s="1"/>
  <c r="O49" i="2"/>
  <c r="P49" i="2" s="1"/>
  <c r="O48" i="2"/>
  <c r="P48" i="2" s="1"/>
  <c r="O46" i="2"/>
  <c r="P46" i="2" s="1"/>
  <c r="O45" i="2"/>
  <c r="P45" i="2" s="1"/>
  <c r="O43" i="2"/>
  <c r="P43" i="2" s="1"/>
  <c r="O37" i="2"/>
  <c r="P37" i="2" s="1"/>
  <c r="O35" i="2"/>
  <c r="P35" i="2" s="1"/>
  <c r="O26" i="2"/>
  <c r="P26" i="2" s="1"/>
  <c r="O25" i="2"/>
  <c r="P25" i="2" s="1"/>
  <c r="O24" i="2"/>
  <c r="P24" i="2" s="1"/>
  <c r="O22" i="2"/>
  <c r="P22" i="2" s="1"/>
  <c r="O18" i="2"/>
  <c r="P18" i="2" s="1"/>
  <c r="O17" i="2"/>
  <c r="P17" i="2" s="1"/>
  <c r="O15" i="2"/>
  <c r="P15" i="2" s="1"/>
  <c r="M57" i="2"/>
  <c r="N57" i="2" s="1"/>
  <c r="M56" i="2"/>
  <c r="N56" i="2" s="1"/>
  <c r="M54" i="2"/>
  <c r="N54" i="2" s="1"/>
  <c r="M53" i="2"/>
  <c r="N53" i="2" s="1"/>
  <c r="M52" i="2"/>
  <c r="N52" i="2" s="1"/>
  <c r="M50" i="2"/>
  <c r="N50" i="2" s="1"/>
  <c r="M49" i="2"/>
  <c r="N49" i="2" s="1"/>
  <c r="M48" i="2"/>
  <c r="N48" i="2" s="1"/>
  <c r="M47" i="2"/>
  <c r="N47" i="2" s="1"/>
  <c r="M46" i="2"/>
  <c r="N46" i="2" s="1"/>
  <c r="M39" i="2"/>
  <c r="N39" i="2" s="1"/>
  <c r="M37" i="2"/>
  <c r="N37" i="2" s="1"/>
  <c r="M28" i="2"/>
  <c r="N28" i="2" s="1"/>
  <c r="M25" i="2"/>
  <c r="N25" i="2" s="1"/>
  <c r="M24" i="2"/>
  <c r="N24" i="2" s="1"/>
  <c r="M23" i="2"/>
  <c r="N23" i="2" s="1"/>
  <c r="M21" i="2"/>
  <c r="N21" i="2" s="1"/>
  <c r="M19" i="2"/>
  <c r="N19" i="2" s="1"/>
  <c r="M17" i="2"/>
  <c r="N17" i="2" s="1"/>
  <c r="M14" i="2"/>
  <c r="N14" i="2" s="1"/>
  <c r="K61" i="2"/>
  <c r="L61" i="2" s="1"/>
  <c r="K59" i="2"/>
  <c r="L59" i="2" s="1"/>
  <c r="K56" i="2"/>
  <c r="L56" i="2" s="1"/>
  <c r="K54" i="2"/>
  <c r="L54" i="2" s="1"/>
  <c r="K50" i="2"/>
  <c r="L50" i="2" s="1"/>
  <c r="K49" i="2"/>
  <c r="L49" i="2" s="1"/>
  <c r="K46" i="2"/>
  <c r="L46" i="2" s="1"/>
  <c r="K43" i="2"/>
  <c r="L43" i="2" s="1"/>
  <c r="K37" i="2"/>
  <c r="L37" i="2" s="1"/>
  <c r="K35" i="2"/>
  <c r="L35" i="2" s="1"/>
  <c r="K27" i="2"/>
  <c r="L27" i="2" s="1"/>
  <c r="K26" i="2"/>
  <c r="L26" i="2" s="1"/>
  <c r="K24" i="2"/>
  <c r="L24" i="2" s="1"/>
  <c r="K22" i="2"/>
  <c r="L22" i="2" s="1"/>
  <c r="K21" i="2"/>
  <c r="L21" i="2" s="1"/>
  <c r="K13" i="2"/>
  <c r="L13" i="2" s="1"/>
  <c r="I61" i="2"/>
  <c r="J61" i="2" s="1"/>
  <c r="I59" i="2"/>
  <c r="J59" i="2" s="1"/>
  <c r="I56" i="2"/>
  <c r="J56" i="2" s="1"/>
  <c r="I45" i="2"/>
  <c r="J45" i="2" s="1"/>
  <c r="I39" i="2"/>
  <c r="J39" i="2" s="1"/>
  <c r="I38" i="2"/>
  <c r="J38" i="2" s="1"/>
  <c r="I37" i="2"/>
  <c r="J37" i="2" s="1"/>
  <c r="I35" i="2"/>
  <c r="J35" i="2" s="1"/>
  <c r="I29" i="2"/>
  <c r="J29" i="2" s="1"/>
  <c r="I27" i="2"/>
  <c r="J27" i="2" s="1"/>
  <c r="I26" i="2"/>
  <c r="J26" i="2" s="1"/>
  <c r="I24" i="2"/>
  <c r="J24" i="2" s="1"/>
  <c r="I18" i="2"/>
  <c r="J18" i="2" s="1"/>
  <c r="I16" i="2"/>
  <c r="J16" i="2" s="1"/>
  <c r="G61" i="2"/>
  <c r="H61" i="2" s="1"/>
  <c r="G60" i="2"/>
  <c r="H60" i="2" s="1"/>
  <c r="G59" i="2"/>
  <c r="H59" i="2" s="1"/>
  <c r="G58" i="2"/>
  <c r="H58" i="2" s="1"/>
  <c r="G57" i="2"/>
  <c r="H57" i="2" s="1"/>
  <c r="G56" i="2"/>
  <c r="H56" i="2" s="1"/>
  <c r="G54" i="2"/>
  <c r="H54" i="2" s="1"/>
  <c r="G53" i="2"/>
  <c r="H53" i="2" s="1"/>
  <c r="G52" i="2"/>
  <c r="H52" i="2" s="1"/>
  <c r="G50" i="2"/>
  <c r="H50" i="2" s="1"/>
  <c r="G49" i="2"/>
  <c r="H49" i="2" s="1"/>
  <c r="G48" i="2"/>
  <c r="H48" i="2" s="1"/>
  <c r="G47" i="2"/>
  <c r="H47" i="2" s="1"/>
  <c r="G46" i="2"/>
  <c r="H46" i="2" s="1"/>
  <c r="G45" i="2"/>
  <c r="H45" i="2" s="1"/>
  <c r="G43" i="2"/>
  <c r="H43" i="2" s="1"/>
  <c r="G42" i="2"/>
  <c r="H42" i="2" s="1"/>
  <c r="G39" i="2"/>
  <c r="H39" i="2" s="1"/>
  <c r="G38" i="2"/>
  <c r="H38" i="2" s="1"/>
  <c r="G37" i="2"/>
  <c r="H37" i="2" s="1"/>
  <c r="G35" i="2"/>
  <c r="H35" i="2" s="1"/>
  <c r="G30" i="2"/>
  <c r="H30" i="2" s="1"/>
  <c r="G29" i="2"/>
  <c r="H29" i="2" s="1"/>
  <c r="G28" i="2"/>
  <c r="H28" i="2" s="1"/>
  <c r="G27" i="2"/>
  <c r="H27" i="2" s="1"/>
  <c r="G26" i="2"/>
  <c r="H26" i="2" s="1"/>
  <c r="G25" i="2"/>
  <c r="H25" i="2" s="1"/>
  <c r="G24" i="2"/>
  <c r="H24" i="2" s="1"/>
  <c r="G23" i="2"/>
  <c r="H23" i="2" s="1"/>
  <c r="G22" i="2"/>
  <c r="H22" i="2" s="1"/>
  <c r="G21" i="2"/>
  <c r="H21" i="2" s="1"/>
  <c r="G19" i="2"/>
  <c r="H19" i="2" s="1"/>
  <c r="G18" i="2"/>
  <c r="H18" i="2" s="1"/>
  <c r="G17" i="2"/>
  <c r="H17" i="2" s="1"/>
  <c r="G16" i="2"/>
  <c r="H16" i="2" s="1"/>
  <c r="G15" i="2"/>
  <c r="H15" i="2" s="1"/>
  <c r="G14" i="2"/>
  <c r="H14" i="2" s="1"/>
  <c r="G13" i="2"/>
  <c r="H13" i="2" s="1"/>
  <c r="E58" i="2"/>
  <c r="F58" i="2" s="1"/>
  <c r="E56" i="2"/>
  <c r="F56" i="2" s="1"/>
  <c r="E54" i="2"/>
  <c r="F54" i="2" s="1"/>
  <c r="E52" i="2"/>
  <c r="F52" i="2" s="1"/>
  <c r="E50" i="2"/>
  <c r="F50" i="2" s="1"/>
  <c r="E46" i="2"/>
  <c r="F46" i="2" s="1"/>
  <c r="E37" i="2"/>
  <c r="F37" i="2" s="1"/>
  <c r="E28" i="2"/>
  <c r="F28" i="2" s="1"/>
  <c r="E27" i="2"/>
  <c r="F27" i="2" s="1"/>
  <c r="E26" i="2"/>
  <c r="F26" i="2" s="1"/>
  <c r="E24" i="2"/>
  <c r="F24" i="2" s="1"/>
  <c r="E21" i="2"/>
  <c r="F21" i="2" s="1"/>
  <c r="E19" i="2"/>
  <c r="F19" i="2" s="1"/>
  <c r="E17" i="2"/>
  <c r="F17" i="2" s="1"/>
  <c r="E16" i="2"/>
  <c r="F16" i="2" s="1"/>
  <c r="E14" i="2"/>
  <c r="F14" i="2" s="1"/>
  <c r="E13" i="2"/>
  <c r="F13" i="2" s="1"/>
  <c r="C54" i="2"/>
  <c r="D54" i="2" s="1"/>
  <c r="C53" i="2"/>
  <c r="D53" i="2" s="1"/>
  <c r="C50" i="2"/>
  <c r="D50" i="2" s="1"/>
  <c r="C48" i="2"/>
  <c r="D48" i="2" s="1"/>
  <c r="C47" i="2"/>
  <c r="D47" i="2" s="1"/>
  <c r="C43" i="2"/>
  <c r="D43" i="2" s="1"/>
  <c r="C42" i="2"/>
  <c r="D42" i="2" s="1"/>
  <c r="C38" i="2"/>
  <c r="D38" i="2" s="1"/>
  <c r="C35" i="2"/>
  <c r="D35" i="2" s="1"/>
  <c r="C30" i="2"/>
  <c r="D30" i="2" s="1"/>
  <c r="C29" i="2"/>
  <c r="D29" i="2" s="1"/>
  <c r="C27" i="2"/>
  <c r="D27" i="2" s="1"/>
  <c r="C26" i="2"/>
  <c r="D26" i="2" s="1"/>
  <c r="C21" i="2"/>
  <c r="D21" i="2" s="1"/>
  <c r="C17" i="2"/>
  <c r="D17" i="2" s="1"/>
  <c r="C15" i="2"/>
  <c r="D15" i="2" s="1"/>
  <c r="A117" i="2"/>
  <c r="B117" i="2" s="1"/>
  <c r="T6" i="66"/>
  <c r="R6" i="66"/>
  <c r="P6" i="66"/>
  <c r="N6" i="66"/>
  <c r="L6" i="66"/>
  <c r="J6" i="66"/>
  <c r="H6" i="66"/>
  <c r="F6" i="66"/>
  <c r="D6" i="66"/>
  <c r="B6" i="66"/>
  <c r="T5" i="66"/>
  <c r="R5" i="66"/>
  <c r="P5" i="66"/>
  <c r="N5" i="66"/>
  <c r="L5" i="66"/>
  <c r="J5" i="66"/>
  <c r="H5" i="66"/>
  <c r="F5" i="66"/>
  <c r="D5" i="66"/>
  <c r="B5" i="66"/>
  <c r="T4" i="66"/>
  <c r="R4" i="66"/>
  <c r="P4" i="66"/>
  <c r="N4" i="66"/>
  <c r="L4" i="66"/>
  <c r="J4" i="66"/>
  <c r="H4" i="66"/>
  <c r="F4" i="66"/>
  <c r="D4" i="66"/>
  <c r="B4" i="66"/>
  <c r="T3" i="66"/>
  <c r="R3" i="66"/>
  <c r="P3" i="66"/>
  <c r="N3" i="66"/>
  <c r="L3" i="66"/>
  <c r="J3" i="66"/>
  <c r="H3" i="66"/>
  <c r="F3" i="66"/>
  <c r="D3" i="66"/>
  <c r="B3" i="66"/>
  <c r="A1" i="66"/>
  <c r="T6" i="65"/>
  <c r="R6" i="65"/>
  <c r="P6" i="65"/>
  <c r="N6" i="65"/>
  <c r="L6" i="65"/>
  <c r="J6" i="65"/>
  <c r="H6" i="65"/>
  <c r="F6" i="65"/>
  <c r="D6" i="65"/>
  <c r="B6" i="65"/>
  <c r="T5" i="65"/>
  <c r="R5" i="65"/>
  <c r="P5" i="65"/>
  <c r="N5" i="65"/>
  <c r="L5" i="65"/>
  <c r="J5" i="65"/>
  <c r="H5" i="65"/>
  <c r="F5" i="65"/>
  <c r="D5" i="65"/>
  <c r="B5" i="65"/>
  <c r="T4" i="65"/>
  <c r="R4" i="65"/>
  <c r="P4" i="65"/>
  <c r="N4" i="65"/>
  <c r="L4" i="65"/>
  <c r="J4" i="65"/>
  <c r="H4" i="65"/>
  <c r="F4" i="65"/>
  <c r="D4" i="65"/>
  <c r="B4" i="65"/>
  <c r="T3" i="65"/>
  <c r="R3" i="65"/>
  <c r="P3" i="65"/>
  <c r="N3" i="65"/>
  <c r="L3" i="65"/>
  <c r="J3" i="65"/>
  <c r="H3" i="65"/>
  <c r="F3" i="65"/>
  <c r="D3" i="65"/>
  <c r="B3" i="65"/>
  <c r="A1" i="65"/>
  <c r="G26" i="19" a="1"/>
  <c r="G26" i="19" s="1"/>
  <c r="G23" i="21"/>
  <c r="G17" i="46" a="1"/>
  <c r="G17" i="46" s="1"/>
  <c r="B129" i="2"/>
  <c r="T6" i="64"/>
  <c r="R6" i="64"/>
  <c r="P6" i="64"/>
  <c r="N6" i="64"/>
  <c r="L6" i="64"/>
  <c r="J6" i="64"/>
  <c r="H6" i="64"/>
  <c r="F6" i="64"/>
  <c r="D6" i="64"/>
  <c r="B6" i="64"/>
  <c r="T5" i="64"/>
  <c r="R5" i="64"/>
  <c r="P5" i="64"/>
  <c r="N5" i="64"/>
  <c r="L5" i="64"/>
  <c r="J5" i="64"/>
  <c r="H5" i="64"/>
  <c r="F5" i="64"/>
  <c r="D5" i="64"/>
  <c r="B5" i="64"/>
  <c r="T4" i="64"/>
  <c r="R4" i="64"/>
  <c r="P4" i="64"/>
  <c r="N4" i="64"/>
  <c r="L4" i="64"/>
  <c r="J4" i="64"/>
  <c r="H4" i="64"/>
  <c r="F4" i="64"/>
  <c r="D4" i="64"/>
  <c r="B4" i="64"/>
  <c r="T3" i="64"/>
  <c r="R3" i="64"/>
  <c r="P3" i="64"/>
  <c r="N3" i="64"/>
  <c r="L3" i="64"/>
  <c r="J3" i="64"/>
  <c r="H3" i="64"/>
  <c r="F3" i="64"/>
  <c r="D3" i="64"/>
  <c r="B3" i="64"/>
  <c r="A1" i="64"/>
  <c r="A61" i="2"/>
  <c r="B61" i="2" s="1"/>
  <c r="A60" i="2"/>
  <c r="B60" i="2" s="1"/>
  <c r="A59" i="2"/>
  <c r="B59" i="2" s="1"/>
  <c r="A58" i="2"/>
  <c r="B58" i="2" s="1"/>
  <c r="A57" i="2"/>
  <c r="B57" i="2" s="1"/>
  <c r="A56" i="2"/>
  <c r="B56" i="2" s="1"/>
  <c r="A122" i="2"/>
  <c r="B122" i="2" s="1"/>
  <c r="T6" i="63"/>
  <c r="R6" i="63"/>
  <c r="P6" i="63"/>
  <c r="N6" i="63"/>
  <c r="L6" i="63"/>
  <c r="J6" i="63"/>
  <c r="H6" i="63"/>
  <c r="F6" i="63"/>
  <c r="D6" i="63"/>
  <c r="B6" i="63"/>
  <c r="T5" i="63"/>
  <c r="R5" i="63"/>
  <c r="P5" i="63"/>
  <c r="N5" i="63"/>
  <c r="L5" i="63"/>
  <c r="J5" i="63"/>
  <c r="H5" i="63"/>
  <c r="F5" i="63"/>
  <c r="D5" i="63"/>
  <c r="B5" i="63"/>
  <c r="T4" i="63"/>
  <c r="R4" i="63"/>
  <c r="P4" i="63"/>
  <c r="N4" i="63"/>
  <c r="L4" i="63"/>
  <c r="J4" i="63"/>
  <c r="H4" i="63"/>
  <c r="F4" i="63"/>
  <c r="D4" i="63"/>
  <c r="B4" i="63"/>
  <c r="T3" i="63"/>
  <c r="R3" i="63"/>
  <c r="P3" i="63"/>
  <c r="N3" i="63"/>
  <c r="L3" i="63"/>
  <c r="J3" i="63"/>
  <c r="H3" i="63"/>
  <c r="F3" i="63"/>
  <c r="D3" i="63"/>
  <c r="B3" i="63"/>
  <c r="A1" i="63"/>
  <c r="T20" i="57"/>
  <c r="R20" i="57"/>
  <c r="P20" i="57"/>
  <c r="N20" i="57"/>
  <c r="M58" i="2" s="1"/>
  <c r="N58" i="2" s="1"/>
  <c r="L20" i="57"/>
  <c r="K58" i="2" s="1"/>
  <c r="L58" i="2" s="1"/>
  <c r="J20" i="57"/>
  <c r="I58" i="2" s="1"/>
  <c r="J58" i="2" s="1"/>
  <c r="H20" i="57"/>
  <c r="F20" i="57"/>
  <c r="D20" i="57"/>
  <c r="C58" i="2" s="1"/>
  <c r="D58" i="2" s="1"/>
  <c r="B20" i="57"/>
  <c r="T21" i="58"/>
  <c r="R21" i="58"/>
  <c r="P21" i="58"/>
  <c r="O60" i="2" s="1"/>
  <c r="P60" i="2" s="1"/>
  <c r="N21" i="58"/>
  <c r="M60" i="2" s="1"/>
  <c r="N60" i="2" s="1"/>
  <c r="L21" i="58"/>
  <c r="K60" i="2" s="1"/>
  <c r="L60" i="2" s="1"/>
  <c r="J21" i="58"/>
  <c r="I60" i="2" s="1"/>
  <c r="J60" i="2" s="1"/>
  <c r="H21" i="58"/>
  <c r="F21" i="58"/>
  <c r="E60" i="2" s="1"/>
  <c r="F60" i="2" s="1"/>
  <c r="D21" i="58"/>
  <c r="C60" i="2" s="1"/>
  <c r="D60" i="2" s="1"/>
  <c r="B21" i="58"/>
  <c r="T27" i="60"/>
  <c r="R27" i="60"/>
  <c r="Q57" i="2" s="1"/>
  <c r="R57" i="2" s="1"/>
  <c r="P27" i="60"/>
  <c r="N27" i="60"/>
  <c r="L27" i="60"/>
  <c r="K57" i="2" s="1"/>
  <c r="L57" i="2" s="1"/>
  <c r="J27" i="60"/>
  <c r="I57" i="2" s="1"/>
  <c r="J57" i="2" s="1"/>
  <c r="H27" i="60"/>
  <c r="F27" i="60"/>
  <c r="E57" i="2" s="1"/>
  <c r="F57" i="2" s="1"/>
  <c r="D27" i="60"/>
  <c r="C57" i="2" s="1"/>
  <c r="D57" i="2" s="1"/>
  <c r="B27" i="60"/>
  <c r="T23" i="62"/>
  <c r="R23" i="62"/>
  <c r="Q59" i="2" s="1"/>
  <c r="R59" i="2" s="1"/>
  <c r="P23" i="62"/>
  <c r="O59" i="2" s="1"/>
  <c r="P59" i="2" s="1"/>
  <c r="N23" i="62"/>
  <c r="M59" i="2" s="1"/>
  <c r="N59" i="2" s="1"/>
  <c r="L23" i="62"/>
  <c r="J23" i="62"/>
  <c r="H23" i="62"/>
  <c r="F23" i="62"/>
  <c r="E59" i="2" s="1"/>
  <c r="F59" i="2" s="1"/>
  <c r="D23" i="62"/>
  <c r="C59" i="2" s="1"/>
  <c r="D59" i="2" s="1"/>
  <c r="B23" i="62"/>
  <c r="T23" i="61"/>
  <c r="R23" i="61"/>
  <c r="P23" i="61"/>
  <c r="N23" i="61"/>
  <c r="L23" i="61"/>
  <c r="J23" i="61"/>
  <c r="H23" i="61"/>
  <c r="F23" i="61"/>
  <c r="D23" i="61"/>
  <c r="C56" i="2" s="1"/>
  <c r="D56" i="2" s="1"/>
  <c r="B23" i="61"/>
  <c r="T24" i="59"/>
  <c r="R24" i="59"/>
  <c r="P24" i="59"/>
  <c r="O61" i="2" s="1"/>
  <c r="P61" i="2" s="1"/>
  <c r="N24" i="59"/>
  <c r="M61" i="2" s="1"/>
  <c r="N61" i="2" s="1"/>
  <c r="L24" i="59"/>
  <c r="J24" i="59"/>
  <c r="H24" i="59"/>
  <c r="F24" i="59"/>
  <c r="E61" i="2" s="1"/>
  <c r="F61" i="2" s="1"/>
  <c r="D24" i="59"/>
  <c r="C61" i="2" s="1"/>
  <c r="D61" i="2" s="1"/>
  <c r="B24" i="59"/>
  <c r="T6" i="62"/>
  <c r="R6" i="62"/>
  <c r="P6" i="62"/>
  <c r="N6" i="62"/>
  <c r="L6" i="62"/>
  <c r="J6" i="62"/>
  <c r="H6" i="62"/>
  <c r="F6" i="62"/>
  <c r="D6" i="62"/>
  <c r="B6" i="62"/>
  <c r="T5" i="62"/>
  <c r="R5" i="62"/>
  <c r="P5" i="62"/>
  <c r="N5" i="62"/>
  <c r="L5" i="62"/>
  <c r="J5" i="62"/>
  <c r="H5" i="62"/>
  <c r="F5" i="62"/>
  <c r="D5" i="62"/>
  <c r="B5" i="62"/>
  <c r="T4" i="62"/>
  <c r="R4" i="62"/>
  <c r="P4" i="62"/>
  <c r="N4" i="62"/>
  <c r="L4" i="62"/>
  <c r="J4" i="62"/>
  <c r="H4" i="62"/>
  <c r="F4" i="62"/>
  <c r="D4" i="62"/>
  <c r="B4" i="62"/>
  <c r="T3" i="62"/>
  <c r="R3" i="62"/>
  <c r="P3" i="62"/>
  <c r="N3" i="62"/>
  <c r="L3" i="62"/>
  <c r="J3" i="62"/>
  <c r="H3" i="62"/>
  <c r="F3" i="62"/>
  <c r="D3" i="62"/>
  <c r="B3" i="62"/>
  <c r="A1" i="62"/>
  <c r="T6" i="61"/>
  <c r="R6" i="61"/>
  <c r="P6" i="61"/>
  <c r="N6" i="61"/>
  <c r="L6" i="61"/>
  <c r="J6" i="61"/>
  <c r="H6" i="61"/>
  <c r="F6" i="61"/>
  <c r="D6" i="61"/>
  <c r="B6" i="61"/>
  <c r="T5" i="61"/>
  <c r="R5" i="61"/>
  <c r="P5" i="61"/>
  <c r="N5" i="61"/>
  <c r="L5" i="61"/>
  <c r="J5" i="61"/>
  <c r="H5" i="61"/>
  <c r="F5" i="61"/>
  <c r="D5" i="61"/>
  <c r="B5" i="61"/>
  <c r="T4" i="61"/>
  <c r="R4" i="61"/>
  <c r="P4" i="61"/>
  <c r="N4" i="61"/>
  <c r="L4" i="61"/>
  <c r="J4" i="61"/>
  <c r="H4" i="61"/>
  <c r="F4" i="61"/>
  <c r="D4" i="61"/>
  <c r="B4" i="61"/>
  <c r="T3" i="61"/>
  <c r="R3" i="61"/>
  <c r="P3" i="61"/>
  <c r="N3" i="61"/>
  <c r="L3" i="61"/>
  <c r="J3" i="61"/>
  <c r="H3" i="61"/>
  <c r="F3" i="61"/>
  <c r="D3" i="61"/>
  <c r="B3" i="61"/>
  <c r="A1" i="61"/>
  <c r="T6" i="60"/>
  <c r="R6" i="60"/>
  <c r="P6" i="60"/>
  <c r="N6" i="60"/>
  <c r="L6" i="60"/>
  <c r="J6" i="60"/>
  <c r="H6" i="60"/>
  <c r="F6" i="60"/>
  <c r="D6" i="60"/>
  <c r="B6" i="60"/>
  <c r="T5" i="60"/>
  <c r="R5" i="60"/>
  <c r="P5" i="60"/>
  <c r="N5" i="60"/>
  <c r="L5" i="60"/>
  <c r="J5" i="60"/>
  <c r="H5" i="60"/>
  <c r="F5" i="60"/>
  <c r="D5" i="60"/>
  <c r="B5" i="60"/>
  <c r="T4" i="60"/>
  <c r="R4" i="60"/>
  <c r="P4" i="60"/>
  <c r="N4" i="60"/>
  <c r="L4" i="60"/>
  <c r="J4" i="60"/>
  <c r="H4" i="60"/>
  <c r="F4" i="60"/>
  <c r="D4" i="60"/>
  <c r="B4" i="60"/>
  <c r="T3" i="60"/>
  <c r="R3" i="60"/>
  <c r="P3" i="60"/>
  <c r="N3" i="60"/>
  <c r="L3" i="60"/>
  <c r="J3" i="60"/>
  <c r="H3" i="60"/>
  <c r="F3" i="60"/>
  <c r="D3" i="60"/>
  <c r="B3" i="60"/>
  <c r="A1" i="60"/>
  <c r="T6" i="59"/>
  <c r="R6" i="59"/>
  <c r="P6" i="59"/>
  <c r="N6" i="59"/>
  <c r="L6" i="59"/>
  <c r="J6" i="59"/>
  <c r="H6" i="59"/>
  <c r="F6" i="59"/>
  <c r="D6" i="59"/>
  <c r="B6" i="59"/>
  <c r="T5" i="59"/>
  <c r="R5" i="59"/>
  <c r="P5" i="59"/>
  <c r="N5" i="59"/>
  <c r="L5" i="59"/>
  <c r="J5" i="59"/>
  <c r="H5" i="59"/>
  <c r="F5" i="59"/>
  <c r="D5" i="59"/>
  <c r="B5" i="59"/>
  <c r="T4" i="59"/>
  <c r="R4" i="59"/>
  <c r="P4" i="59"/>
  <c r="N4" i="59"/>
  <c r="L4" i="59"/>
  <c r="J4" i="59"/>
  <c r="H4" i="59"/>
  <c r="F4" i="59"/>
  <c r="D4" i="59"/>
  <c r="B4" i="59"/>
  <c r="T3" i="59"/>
  <c r="R3" i="59"/>
  <c r="P3" i="59"/>
  <c r="N3" i="59"/>
  <c r="L3" i="59"/>
  <c r="J3" i="59"/>
  <c r="H3" i="59"/>
  <c r="F3" i="59"/>
  <c r="D3" i="59"/>
  <c r="B3" i="59"/>
  <c r="A1" i="59"/>
  <c r="T6" i="58"/>
  <c r="R6" i="58"/>
  <c r="P6" i="58"/>
  <c r="N6" i="58"/>
  <c r="L6" i="58"/>
  <c r="J6" i="58"/>
  <c r="H6" i="58"/>
  <c r="F6" i="58"/>
  <c r="D6" i="58"/>
  <c r="B6" i="58"/>
  <c r="T5" i="58"/>
  <c r="R5" i="58"/>
  <c r="P5" i="58"/>
  <c r="N5" i="58"/>
  <c r="L5" i="58"/>
  <c r="J5" i="58"/>
  <c r="H5" i="58"/>
  <c r="F5" i="58"/>
  <c r="D5" i="58"/>
  <c r="B5" i="58"/>
  <c r="T4" i="58"/>
  <c r="R4" i="58"/>
  <c r="P4" i="58"/>
  <c r="N4" i="58"/>
  <c r="L4" i="58"/>
  <c r="J4" i="58"/>
  <c r="H4" i="58"/>
  <c r="F4" i="58"/>
  <c r="D4" i="58"/>
  <c r="B4" i="58"/>
  <c r="T3" i="58"/>
  <c r="R3" i="58"/>
  <c r="P3" i="58"/>
  <c r="N3" i="58"/>
  <c r="L3" i="58"/>
  <c r="J3" i="58"/>
  <c r="H3" i="58"/>
  <c r="F3" i="58"/>
  <c r="D3" i="58"/>
  <c r="B3" i="58"/>
  <c r="A1" i="58"/>
  <c r="T6" i="57"/>
  <c r="R6" i="57"/>
  <c r="P6" i="57"/>
  <c r="N6" i="57"/>
  <c r="L6" i="57"/>
  <c r="J6" i="57"/>
  <c r="H6" i="57"/>
  <c r="F6" i="57"/>
  <c r="D6" i="57"/>
  <c r="B6" i="57"/>
  <c r="T5" i="57"/>
  <c r="R5" i="57"/>
  <c r="P5" i="57"/>
  <c r="N5" i="57"/>
  <c r="L5" i="57"/>
  <c r="J5" i="57"/>
  <c r="H5" i="57"/>
  <c r="F5" i="57"/>
  <c r="D5" i="57"/>
  <c r="B5" i="57"/>
  <c r="T4" i="57"/>
  <c r="R4" i="57"/>
  <c r="P4" i="57"/>
  <c r="N4" i="57"/>
  <c r="L4" i="57"/>
  <c r="J4" i="57"/>
  <c r="H4" i="57"/>
  <c r="F4" i="57"/>
  <c r="D4" i="57"/>
  <c r="B4" i="57"/>
  <c r="T3" i="57"/>
  <c r="R3" i="57"/>
  <c r="P3" i="57"/>
  <c r="N3" i="57"/>
  <c r="L3" i="57"/>
  <c r="J3" i="57"/>
  <c r="H3" i="57"/>
  <c r="F3" i="57"/>
  <c r="D3" i="57"/>
  <c r="B3" i="57"/>
  <c r="A1" i="57"/>
  <c r="A125" i="2"/>
  <c r="B125" i="2" s="1"/>
  <c r="T6" i="56"/>
  <c r="R6" i="56"/>
  <c r="P6" i="56"/>
  <c r="N6" i="56"/>
  <c r="L6" i="56"/>
  <c r="J6" i="56"/>
  <c r="H6" i="56"/>
  <c r="F6" i="56"/>
  <c r="D6" i="56"/>
  <c r="B6" i="56"/>
  <c r="T5" i="56"/>
  <c r="R5" i="56"/>
  <c r="P5" i="56"/>
  <c r="N5" i="56"/>
  <c r="L5" i="56"/>
  <c r="J5" i="56"/>
  <c r="H5" i="56"/>
  <c r="F5" i="56"/>
  <c r="D5" i="56"/>
  <c r="B5" i="56"/>
  <c r="T4" i="56"/>
  <c r="R4" i="56"/>
  <c r="P4" i="56"/>
  <c r="N4" i="56"/>
  <c r="L4" i="56"/>
  <c r="J4" i="56"/>
  <c r="H4" i="56"/>
  <c r="F4" i="56"/>
  <c r="D4" i="56"/>
  <c r="B4" i="56"/>
  <c r="T3" i="56"/>
  <c r="R3" i="56"/>
  <c r="P3" i="56"/>
  <c r="N3" i="56"/>
  <c r="L3" i="56"/>
  <c r="J3" i="56"/>
  <c r="H3" i="56"/>
  <c r="F3" i="56"/>
  <c r="D3" i="56"/>
  <c r="B3" i="56"/>
  <c r="A1" i="56"/>
  <c r="A120" i="2"/>
  <c r="B120" i="2" s="1"/>
  <c r="T6" i="55"/>
  <c r="R6" i="55"/>
  <c r="P6" i="55"/>
  <c r="N6" i="55"/>
  <c r="L6" i="55"/>
  <c r="J6" i="55"/>
  <c r="H6" i="55"/>
  <c r="F6" i="55"/>
  <c r="D6" i="55"/>
  <c r="B6" i="55"/>
  <c r="T5" i="55"/>
  <c r="R5" i="55"/>
  <c r="P5" i="55"/>
  <c r="N5" i="55"/>
  <c r="L5" i="55"/>
  <c r="J5" i="55"/>
  <c r="H5" i="55"/>
  <c r="F5" i="55"/>
  <c r="D5" i="55"/>
  <c r="B5" i="55"/>
  <c r="T4" i="55"/>
  <c r="R4" i="55"/>
  <c r="P4" i="55"/>
  <c r="N4" i="55"/>
  <c r="L4" i="55"/>
  <c r="J4" i="55"/>
  <c r="H4" i="55"/>
  <c r="F4" i="55"/>
  <c r="D4" i="55"/>
  <c r="B4" i="55"/>
  <c r="T3" i="55"/>
  <c r="R3" i="55"/>
  <c r="P3" i="55"/>
  <c r="N3" i="55"/>
  <c r="L3" i="55"/>
  <c r="J3" i="55"/>
  <c r="H3" i="55"/>
  <c r="F3" i="55"/>
  <c r="D3" i="55"/>
  <c r="B3" i="55"/>
  <c r="A1" i="55"/>
  <c r="A121" i="2"/>
  <c r="B121" i="2" s="1"/>
  <c r="A118" i="2"/>
  <c r="B118" i="2" s="1"/>
  <c r="A73" i="2"/>
  <c r="B73" i="2" s="1"/>
  <c r="A93" i="2"/>
  <c r="B93" i="2" s="1"/>
  <c r="A92" i="2"/>
  <c r="B92" i="2" s="1"/>
  <c r="T6" i="54"/>
  <c r="R6" i="54"/>
  <c r="P6" i="54"/>
  <c r="N6" i="54"/>
  <c r="L6" i="54"/>
  <c r="J6" i="54"/>
  <c r="H6" i="54"/>
  <c r="F6" i="54"/>
  <c r="D6" i="54"/>
  <c r="B6" i="54"/>
  <c r="T5" i="54"/>
  <c r="R5" i="54"/>
  <c r="P5" i="54"/>
  <c r="N5" i="54"/>
  <c r="L5" i="54"/>
  <c r="J5" i="54"/>
  <c r="H5" i="54"/>
  <c r="F5" i="54"/>
  <c r="D5" i="54"/>
  <c r="B5" i="54"/>
  <c r="T4" i="54"/>
  <c r="R4" i="54"/>
  <c r="P4" i="54"/>
  <c r="N4" i="54"/>
  <c r="L4" i="54"/>
  <c r="J4" i="54"/>
  <c r="H4" i="54"/>
  <c r="F4" i="54"/>
  <c r="D4" i="54"/>
  <c r="B4" i="54"/>
  <c r="T3" i="54"/>
  <c r="R3" i="54"/>
  <c r="P3" i="54"/>
  <c r="N3" i="54"/>
  <c r="L3" i="54"/>
  <c r="J3" i="54"/>
  <c r="H3" i="54"/>
  <c r="F3" i="54"/>
  <c r="D3" i="54"/>
  <c r="B3" i="54"/>
  <c r="A1" i="54"/>
  <c r="T6" i="53"/>
  <c r="R6" i="53"/>
  <c r="P6" i="53"/>
  <c r="N6" i="53"/>
  <c r="L6" i="53"/>
  <c r="J6" i="53"/>
  <c r="H6" i="53"/>
  <c r="F6" i="53"/>
  <c r="D6" i="53"/>
  <c r="B6" i="53"/>
  <c r="T5" i="53"/>
  <c r="R5" i="53"/>
  <c r="P5" i="53"/>
  <c r="N5" i="53"/>
  <c r="L5" i="53"/>
  <c r="J5" i="53"/>
  <c r="H5" i="53"/>
  <c r="F5" i="53"/>
  <c r="D5" i="53"/>
  <c r="B5" i="53"/>
  <c r="T4" i="53"/>
  <c r="R4" i="53"/>
  <c r="P4" i="53"/>
  <c r="N4" i="53"/>
  <c r="L4" i="53"/>
  <c r="J4" i="53"/>
  <c r="H4" i="53"/>
  <c r="F4" i="53"/>
  <c r="D4" i="53"/>
  <c r="B4" i="53"/>
  <c r="T3" i="53"/>
  <c r="R3" i="53"/>
  <c r="P3" i="53"/>
  <c r="N3" i="53"/>
  <c r="L3" i="53"/>
  <c r="J3" i="53"/>
  <c r="H3" i="53"/>
  <c r="F3" i="53"/>
  <c r="D3" i="53"/>
  <c r="B3" i="53"/>
  <c r="A1" i="53"/>
  <c r="T6" i="52"/>
  <c r="R6" i="52"/>
  <c r="P6" i="52"/>
  <c r="N6" i="52"/>
  <c r="L6" i="52"/>
  <c r="J6" i="52"/>
  <c r="H6" i="52"/>
  <c r="F6" i="52"/>
  <c r="D6" i="52"/>
  <c r="B6" i="52"/>
  <c r="T5" i="52"/>
  <c r="R5" i="52"/>
  <c r="P5" i="52"/>
  <c r="N5" i="52"/>
  <c r="L5" i="52"/>
  <c r="J5" i="52"/>
  <c r="H5" i="52"/>
  <c r="F5" i="52"/>
  <c r="D5" i="52"/>
  <c r="B5" i="52"/>
  <c r="T4" i="52"/>
  <c r="R4" i="52"/>
  <c r="P4" i="52"/>
  <c r="N4" i="52"/>
  <c r="L4" i="52"/>
  <c r="J4" i="52"/>
  <c r="H4" i="52"/>
  <c r="F4" i="52"/>
  <c r="D4" i="52"/>
  <c r="B4" i="52"/>
  <c r="T3" i="52"/>
  <c r="R3" i="52"/>
  <c r="P3" i="52"/>
  <c r="N3" i="52"/>
  <c r="L3" i="52"/>
  <c r="J3" i="52"/>
  <c r="H3" i="52"/>
  <c r="F3" i="52"/>
  <c r="D3" i="52"/>
  <c r="B3" i="52"/>
  <c r="A1" i="52"/>
  <c r="T6" i="51"/>
  <c r="R6" i="51"/>
  <c r="P6" i="51"/>
  <c r="N6" i="51"/>
  <c r="L6" i="51"/>
  <c r="J6" i="51"/>
  <c r="H6" i="51"/>
  <c r="F6" i="51"/>
  <c r="D6" i="51"/>
  <c r="B6" i="51"/>
  <c r="T5" i="51"/>
  <c r="R5" i="51"/>
  <c r="P5" i="51"/>
  <c r="N5" i="51"/>
  <c r="L5" i="51"/>
  <c r="J5" i="51"/>
  <c r="H5" i="51"/>
  <c r="F5" i="51"/>
  <c r="D5" i="51"/>
  <c r="B5" i="51"/>
  <c r="T4" i="51"/>
  <c r="R4" i="51"/>
  <c r="P4" i="51"/>
  <c r="N4" i="51"/>
  <c r="L4" i="51"/>
  <c r="J4" i="51"/>
  <c r="H4" i="51"/>
  <c r="F4" i="51"/>
  <c r="D4" i="51"/>
  <c r="B4" i="51"/>
  <c r="T3" i="51"/>
  <c r="R3" i="51"/>
  <c r="P3" i="51"/>
  <c r="N3" i="51"/>
  <c r="L3" i="51"/>
  <c r="J3" i="51"/>
  <c r="H3" i="51"/>
  <c r="F3" i="51"/>
  <c r="D3" i="51"/>
  <c r="B3" i="51"/>
  <c r="A1" i="51"/>
  <c r="T6" i="50"/>
  <c r="R6" i="50"/>
  <c r="P6" i="50"/>
  <c r="N6" i="50"/>
  <c r="L6" i="50"/>
  <c r="J6" i="50"/>
  <c r="H6" i="50"/>
  <c r="F6" i="50"/>
  <c r="D6" i="50"/>
  <c r="B6" i="50"/>
  <c r="T5" i="50"/>
  <c r="R5" i="50"/>
  <c r="P5" i="50"/>
  <c r="N5" i="50"/>
  <c r="L5" i="50"/>
  <c r="J5" i="50"/>
  <c r="H5" i="50"/>
  <c r="F5" i="50"/>
  <c r="D5" i="50"/>
  <c r="B5" i="50"/>
  <c r="T4" i="50"/>
  <c r="R4" i="50"/>
  <c r="P4" i="50"/>
  <c r="N4" i="50"/>
  <c r="L4" i="50"/>
  <c r="J4" i="50"/>
  <c r="H4" i="50"/>
  <c r="F4" i="50"/>
  <c r="D4" i="50"/>
  <c r="B4" i="50"/>
  <c r="T3" i="50"/>
  <c r="R3" i="50"/>
  <c r="P3" i="50"/>
  <c r="N3" i="50"/>
  <c r="L3" i="50"/>
  <c r="J3" i="50"/>
  <c r="H3" i="50"/>
  <c r="F3" i="50"/>
  <c r="D3" i="50"/>
  <c r="B3" i="50"/>
  <c r="A1" i="50"/>
  <c r="A94" i="2"/>
  <c r="B94" i="2" s="1"/>
  <c r="T6" i="49"/>
  <c r="R6" i="49"/>
  <c r="P6" i="49"/>
  <c r="N6" i="49"/>
  <c r="L6" i="49"/>
  <c r="J6" i="49"/>
  <c r="H6" i="49"/>
  <c r="F6" i="49"/>
  <c r="D6" i="49"/>
  <c r="B6" i="49"/>
  <c r="T5" i="49"/>
  <c r="R5" i="49"/>
  <c r="P5" i="49"/>
  <c r="N5" i="49"/>
  <c r="L5" i="49"/>
  <c r="J5" i="49"/>
  <c r="H5" i="49"/>
  <c r="F5" i="49"/>
  <c r="D5" i="49"/>
  <c r="B5" i="49"/>
  <c r="T4" i="49"/>
  <c r="R4" i="49"/>
  <c r="P4" i="49"/>
  <c r="N4" i="49"/>
  <c r="L4" i="49"/>
  <c r="J4" i="49"/>
  <c r="H4" i="49"/>
  <c r="F4" i="49"/>
  <c r="D4" i="49"/>
  <c r="B4" i="49"/>
  <c r="T3" i="49"/>
  <c r="R3" i="49"/>
  <c r="P3" i="49"/>
  <c r="N3" i="49"/>
  <c r="L3" i="49"/>
  <c r="J3" i="49"/>
  <c r="H3" i="49"/>
  <c r="F3" i="49"/>
  <c r="D3" i="49"/>
  <c r="B3" i="49"/>
  <c r="A1" i="49"/>
  <c r="A91" i="2"/>
  <c r="B91" i="2" s="1"/>
  <c r="T6" i="48"/>
  <c r="R6" i="48"/>
  <c r="P6" i="48"/>
  <c r="N6" i="48"/>
  <c r="L6" i="48"/>
  <c r="J6" i="48"/>
  <c r="H6" i="48"/>
  <c r="F6" i="48"/>
  <c r="D6" i="48"/>
  <c r="B6" i="48"/>
  <c r="T5" i="48"/>
  <c r="R5" i="48"/>
  <c r="P5" i="48"/>
  <c r="N5" i="48"/>
  <c r="L5" i="48"/>
  <c r="J5" i="48"/>
  <c r="H5" i="48"/>
  <c r="F5" i="48"/>
  <c r="D5" i="48"/>
  <c r="B5" i="48"/>
  <c r="T4" i="48"/>
  <c r="R4" i="48"/>
  <c r="P4" i="48"/>
  <c r="N4" i="48"/>
  <c r="L4" i="48"/>
  <c r="J4" i="48"/>
  <c r="H4" i="48"/>
  <c r="F4" i="48"/>
  <c r="D4" i="48"/>
  <c r="B4" i="48"/>
  <c r="T3" i="48"/>
  <c r="R3" i="48"/>
  <c r="P3" i="48"/>
  <c r="N3" i="48"/>
  <c r="L3" i="48"/>
  <c r="J3" i="48"/>
  <c r="H3" i="48"/>
  <c r="F3" i="48"/>
  <c r="D3" i="48"/>
  <c r="B3" i="48"/>
  <c r="A1" i="48"/>
  <c r="A22" i="2"/>
  <c r="B22" i="2" s="1"/>
  <c r="T8" i="43"/>
  <c r="R8" i="43"/>
  <c r="Q22" i="2" s="1"/>
  <c r="R22" i="2" s="1"/>
  <c r="N8" i="43"/>
  <c r="M22" i="2" s="1"/>
  <c r="N22" i="2" s="1"/>
  <c r="L8" i="43"/>
  <c r="J8" i="43"/>
  <c r="I22" i="2" s="1"/>
  <c r="J22" i="2" s="1"/>
  <c r="H8" i="43"/>
  <c r="F8" i="43"/>
  <c r="E22" i="2" s="1"/>
  <c r="F22" i="2" s="1"/>
  <c r="D8" i="43"/>
  <c r="C22" i="2" s="1"/>
  <c r="D22" i="2" s="1"/>
  <c r="B8" i="43"/>
  <c r="T10" i="29"/>
  <c r="R10" i="29"/>
  <c r="Q53" i="2" s="1"/>
  <c r="R53" i="2" s="1"/>
  <c r="P10" i="29"/>
  <c r="K53" i="2"/>
  <c r="L53" i="2" s="1"/>
  <c r="I53" i="2"/>
  <c r="J53" i="2" s="1"/>
  <c r="E53" i="2"/>
  <c r="F53" i="2" s="1"/>
  <c r="D10" i="29"/>
  <c r="A53" i="2"/>
  <c r="B53" i="2" s="1"/>
  <c r="T10" i="34"/>
  <c r="T9" i="34"/>
  <c r="T8" i="34"/>
  <c r="R10" i="34"/>
  <c r="R9" i="34"/>
  <c r="R8" i="34"/>
  <c r="P10" i="34"/>
  <c r="P9" i="34"/>
  <c r="O47" i="2" s="1"/>
  <c r="P47" i="2" s="1"/>
  <c r="P8" i="34"/>
  <c r="N10" i="34"/>
  <c r="N9" i="34"/>
  <c r="N8" i="34"/>
  <c r="L10" i="34"/>
  <c r="K48" i="2" s="1"/>
  <c r="L48" i="2" s="1"/>
  <c r="L9" i="34"/>
  <c r="K47" i="2" s="1"/>
  <c r="L47" i="2" s="1"/>
  <c r="L8" i="34"/>
  <c r="J10" i="34"/>
  <c r="I48" i="2" s="1"/>
  <c r="J48" i="2" s="1"/>
  <c r="J9" i="34"/>
  <c r="I47" i="2" s="1"/>
  <c r="J47" i="2" s="1"/>
  <c r="J8" i="34"/>
  <c r="I46" i="2" s="1"/>
  <c r="J46" i="2" s="1"/>
  <c r="H10" i="34"/>
  <c r="H9" i="34"/>
  <c r="H8" i="34"/>
  <c r="F10" i="34"/>
  <c r="E48" i="2" s="1"/>
  <c r="F48" i="2" s="1"/>
  <c r="F9" i="34"/>
  <c r="E47" i="2" s="1"/>
  <c r="F47" i="2" s="1"/>
  <c r="F8" i="34"/>
  <c r="D10" i="34"/>
  <c r="D9" i="34"/>
  <c r="D8" i="34"/>
  <c r="C46" i="2" s="1"/>
  <c r="D46" i="2" s="1"/>
  <c r="B8" i="34"/>
  <c r="A46" i="2" s="1"/>
  <c r="B46" i="2" s="1"/>
  <c r="T7" i="43"/>
  <c r="R7" i="43"/>
  <c r="O52" i="2"/>
  <c r="P52" i="2" s="1"/>
  <c r="K52" i="2"/>
  <c r="L52" i="2" s="1"/>
  <c r="I52" i="2"/>
  <c r="J52" i="2" s="1"/>
  <c r="C52" i="2"/>
  <c r="D52" i="2" s="1"/>
  <c r="B7" i="43"/>
  <c r="A52" i="2" s="1"/>
  <c r="B52" i="2" s="1"/>
  <c r="A54" i="2"/>
  <c r="B54" i="2" s="1"/>
  <c r="T7" i="47"/>
  <c r="R7" i="47"/>
  <c r="Q54" i="2" s="1"/>
  <c r="R54" i="2" s="1"/>
  <c r="O54" i="2"/>
  <c r="P54" i="2" s="1"/>
  <c r="I54" i="2"/>
  <c r="J54" i="2" s="1"/>
  <c r="B7" i="47"/>
  <c r="T6" i="47"/>
  <c r="R6" i="47"/>
  <c r="P6" i="47"/>
  <c r="N6" i="47"/>
  <c r="L6" i="47"/>
  <c r="J6" i="47"/>
  <c r="H6" i="47"/>
  <c r="F6" i="47"/>
  <c r="D6" i="47"/>
  <c r="B6" i="47"/>
  <c r="T5" i="47"/>
  <c r="R5" i="47"/>
  <c r="P5" i="47"/>
  <c r="N5" i="47"/>
  <c r="L5" i="47"/>
  <c r="J5" i="47"/>
  <c r="H5" i="47"/>
  <c r="F5" i="47"/>
  <c r="D5" i="47"/>
  <c r="B5" i="47"/>
  <c r="T4" i="47"/>
  <c r="R4" i="47"/>
  <c r="P4" i="47"/>
  <c r="N4" i="47"/>
  <c r="L4" i="47"/>
  <c r="J4" i="47"/>
  <c r="H4" i="47"/>
  <c r="F4" i="47"/>
  <c r="D4" i="47"/>
  <c r="B4" i="47"/>
  <c r="T3" i="47"/>
  <c r="R3" i="47"/>
  <c r="P3" i="47"/>
  <c r="N3" i="47"/>
  <c r="L3" i="47"/>
  <c r="J3" i="47"/>
  <c r="H3" i="47"/>
  <c r="F3" i="47"/>
  <c r="D3" i="47"/>
  <c r="B3" i="47"/>
  <c r="A1" i="47"/>
  <c r="A70" i="2"/>
  <c r="B70" i="2" s="1"/>
  <c r="A15" i="46"/>
  <c r="T6" i="46"/>
  <c r="R6" i="46"/>
  <c r="P6" i="46"/>
  <c r="N6" i="46"/>
  <c r="L6" i="46"/>
  <c r="J6" i="46"/>
  <c r="H6" i="46"/>
  <c r="F6" i="46"/>
  <c r="D6" i="46"/>
  <c r="B6" i="46"/>
  <c r="T5" i="46"/>
  <c r="R5" i="46"/>
  <c r="P5" i="46"/>
  <c r="N5" i="46"/>
  <c r="L5" i="46"/>
  <c r="J5" i="46"/>
  <c r="H5" i="46"/>
  <c r="F5" i="46"/>
  <c r="D5" i="46"/>
  <c r="B5" i="46"/>
  <c r="T4" i="46"/>
  <c r="R4" i="46"/>
  <c r="P4" i="46"/>
  <c r="N4" i="46"/>
  <c r="L4" i="46"/>
  <c r="J4" i="46"/>
  <c r="H4" i="46"/>
  <c r="F4" i="46"/>
  <c r="D4" i="46"/>
  <c r="B4" i="46"/>
  <c r="T3" i="46"/>
  <c r="R3" i="46"/>
  <c r="P3" i="46"/>
  <c r="N3" i="46"/>
  <c r="L3" i="46"/>
  <c r="J3" i="46"/>
  <c r="H3" i="46"/>
  <c r="F3" i="46"/>
  <c r="D3" i="46"/>
  <c r="B3" i="46"/>
  <c r="A1" i="46"/>
  <c r="A86" i="2"/>
  <c r="B86" i="2" s="1"/>
  <c r="T6" i="45"/>
  <c r="R6" i="45"/>
  <c r="P6" i="45"/>
  <c r="N6" i="45"/>
  <c r="L6" i="45"/>
  <c r="J6" i="45"/>
  <c r="H6" i="45"/>
  <c r="F6" i="45"/>
  <c r="D6" i="45"/>
  <c r="B6" i="45"/>
  <c r="T5" i="45"/>
  <c r="R5" i="45"/>
  <c r="P5" i="45"/>
  <c r="N5" i="45"/>
  <c r="L5" i="45"/>
  <c r="J5" i="45"/>
  <c r="H5" i="45"/>
  <c r="F5" i="45"/>
  <c r="D5" i="45"/>
  <c r="B5" i="45"/>
  <c r="T4" i="45"/>
  <c r="R4" i="45"/>
  <c r="P4" i="45"/>
  <c r="N4" i="45"/>
  <c r="L4" i="45"/>
  <c r="J4" i="45"/>
  <c r="H4" i="45"/>
  <c r="F4" i="45"/>
  <c r="D4" i="45"/>
  <c r="B4" i="45"/>
  <c r="T3" i="45"/>
  <c r="R3" i="45"/>
  <c r="P3" i="45"/>
  <c r="N3" i="45"/>
  <c r="L3" i="45"/>
  <c r="J3" i="45"/>
  <c r="H3" i="45"/>
  <c r="F3" i="45"/>
  <c r="D3" i="45"/>
  <c r="B3" i="45"/>
  <c r="A1" i="45"/>
  <c r="A85" i="2"/>
  <c r="B85" i="2" s="1"/>
  <c r="T6" i="44"/>
  <c r="R6" i="44"/>
  <c r="P6" i="44"/>
  <c r="N6" i="44"/>
  <c r="L6" i="44"/>
  <c r="J6" i="44"/>
  <c r="H6" i="44"/>
  <c r="F6" i="44"/>
  <c r="D6" i="44"/>
  <c r="B6" i="44"/>
  <c r="T5" i="44"/>
  <c r="R5" i="44"/>
  <c r="P5" i="44"/>
  <c r="N5" i="44"/>
  <c r="L5" i="44"/>
  <c r="J5" i="44"/>
  <c r="H5" i="44"/>
  <c r="F5" i="44"/>
  <c r="D5" i="44"/>
  <c r="B5" i="44"/>
  <c r="T4" i="44"/>
  <c r="R4" i="44"/>
  <c r="P4" i="44"/>
  <c r="N4" i="44"/>
  <c r="L4" i="44"/>
  <c r="J4" i="44"/>
  <c r="H4" i="44"/>
  <c r="F4" i="44"/>
  <c r="D4" i="44"/>
  <c r="B4" i="44"/>
  <c r="T3" i="44"/>
  <c r="R3" i="44"/>
  <c r="P3" i="44"/>
  <c r="N3" i="44"/>
  <c r="L3" i="44"/>
  <c r="J3" i="44"/>
  <c r="H3" i="44"/>
  <c r="F3" i="44"/>
  <c r="D3" i="44"/>
  <c r="B3" i="44"/>
  <c r="A1" i="44"/>
  <c r="A84" i="2"/>
  <c r="B84" i="2" s="1"/>
  <c r="T6" i="43"/>
  <c r="R6" i="43"/>
  <c r="P6" i="43"/>
  <c r="N6" i="43"/>
  <c r="L6" i="43"/>
  <c r="J6" i="43"/>
  <c r="H6" i="43"/>
  <c r="F6" i="43"/>
  <c r="D6" i="43"/>
  <c r="B6" i="43"/>
  <c r="T5" i="43"/>
  <c r="R5" i="43"/>
  <c r="P5" i="43"/>
  <c r="N5" i="43"/>
  <c r="L5" i="43"/>
  <c r="J5" i="43"/>
  <c r="H5" i="43"/>
  <c r="F5" i="43"/>
  <c r="D5" i="43"/>
  <c r="B5" i="43"/>
  <c r="T4" i="43"/>
  <c r="R4" i="43"/>
  <c r="P4" i="43"/>
  <c r="N4" i="43"/>
  <c r="L4" i="43"/>
  <c r="J4" i="43"/>
  <c r="H4" i="43"/>
  <c r="F4" i="43"/>
  <c r="D4" i="43"/>
  <c r="B4" i="43"/>
  <c r="T3" i="43"/>
  <c r="R3" i="43"/>
  <c r="P3" i="43"/>
  <c r="N3" i="43"/>
  <c r="L3" i="43"/>
  <c r="J3" i="43"/>
  <c r="H3" i="43"/>
  <c r="F3" i="43"/>
  <c r="D3" i="43"/>
  <c r="B3" i="43"/>
  <c r="A1" i="43"/>
  <c r="A74" i="2"/>
  <c r="B74" i="2" s="1"/>
  <c r="T6" i="42"/>
  <c r="R6" i="42"/>
  <c r="P6" i="42"/>
  <c r="N6" i="42"/>
  <c r="L6" i="42"/>
  <c r="J6" i="42"/>
  <c r="H6" i="42"/>
  <c r="F6" i="42"/>
  <c r="D6" i="42"/>
  <c r="B6" i="42"/>
  <c r="T5" i="42"/>
  <c r="R5" i="42"/>
  <c r="P5" i="42"/>
  <c r="N5" i="42"/>
  <c r="L5" i="42"/>
  <c r="J5" i="42"/>
  <c r="H5" i="42"/>
  <c r="F5" i="42"/>
  <c r="D5" i="42"/>
  <c r="B5" i="42"/>
  <c r="T4" i="42"/>
  <c r="R4" i="42"/>
  <c r="P4" i="42"/>
  <c r="N4" i="42"/>
  <c r="L4" i="42"/>
  <c r="J4" i="42"/>
  <c r="H4" i="42"/>
  <c r="F4" i="42"/>
  <c r="D4" i="42"/>
  <c r="B4" i="42"/>
  <c r="T3" i="42"/>
  <c r="R3" i="42"/>
  <c r="P3" i="42"/>
  <c r="N3" i="42"/>
  <c r="L3" i="42"/>
  <c r="J3" i="42"/>
  <c r="H3" i="42"/>
  <c r="F3" i="42"/>
  <c r="D3" i="42"/>
  <c r="B3" i="42"/>
  <c r="A1" i="42"/>
  <c r="T7" i="30"/>
  <c r="R7" i="30"/>
  <c r="P7" i="30"/>
  <c r="N7" i="30"/>
  <c r="B7" i="30"/>
  <c r="T27" i="41"/>
  <c r="R27" i="41"/>
  <c r="P27" i="41"/>
  <c r="N27" i="41"/>
  <c r="L27" i="41"/>
  <c r="K25" i="2" s="1"/>
  <c r="L25" i="2" s="1"/>
  <c r="J27" i="41"/>
  <c r="I25" i="2" s="1"/>
  <c r="J25" i="2" s="1"/>
  <c r="H27" i="41"/>
  <c r="F27" i="41"/>
  <c r="E25" i="2" s="1"/>
  <c r="F25" i="2" s="1"/>
  <c r="D27" i="41"/>
  <c r="C25" i="2" s="1"/>
  <c r="D25" i="2" s="1"/>
  <c r="B27" i="41"/>
  <c r="A25" i="2" s="1"/>
  <c r="B25" i="2" s="1"/>
  <c r="A28" i="2"/>
  <c r="B28" i="2" s="1"/>
  <c r="T28" i="30"/>
  <c r="R28" i="30"/>
  <c r="P28" i="30"/>
  <c r="O28" i="2" s="1"/>
  <c r="P28" i="2" s="1"/>
  <c r="N28" i="30"/>
  <c r="L28" i="30"/>
  <c r="K28" i="2" s="1"/>
  <c r="L28" i="2" s="1"/>
  <c r="J28" i="30"/>
  <c r="I28" i="2" s="1"/>
  <c r="J28" i="2" s="1"/>
  <c r="H28" i="30"/>
  <c r="F28" i="30"/>
  <c r="D28" i="30"/>
  <c r="C28" i="2" s="1"/>
  <c r="D28" i="2" s="1"/>
  <c r="B28" i="30"/>
  <c r="T7" i="41"/>
  <c r="R7" i="41"/>
  <c r="P7" i="41"/>
  <c r="N7" i="41"/>
  <c r="B7" i="41"/>
  <c r="T6" i="41"/>
  <c r="R6" i="41"/>
  <c r="P6" i="41"/>
  <c r="N6" i="41"/>
  <c r="L6" i="41"/>
  <c r="J6" i="41"/>
  <c r="H6" i="41"/>
  <c r="F6" i="41"/>
  <c r="D6" i="41"/>
  <c r="B6" i="41"/>
  <c r="T5" i="41"/>
  <c r="R5" i="41"/>
  <c r="P5" i="41"/>
  <c r="N5" i="41"/>
  <c r="L5" i="41"/>
  <c r="J5" i="41"/>
  <c r="H5" i="41"/>
  <c r="F5" i="41"/>
  <c r="D5" i="41"/>
  <c r="B5" i="41"/>
  <c r="T4" i="41"/>
  <c r="R4" i="41"/>
  <c r="P4" i="41"/>
  <c r="N4" i="41"/>
  <c r="L4" i="41"/>
  <c r="J4" i="41"/>
  <c r="H4" i="41"/>
  <c r="F4" i="41"/>
  <c r="D4" i="41"/>
  <c r="B4" i="41"/>
  <c r="T3" i="41"/>
  <c r="R3" i="41"/>
  <c r="P3" i="41"/>
  <c r="N3" i="41"/>
  <c r="L3" i="41"/>
  <c r="J3" i="41"/>
  <c r="H3" i="41"/>
  <c r="F3" i="41"/>
  <c r="D3" i="41"/>
  <c r="B3" i="41"/>
  <c r="A1" i="41"/>
  <c r="A72" i="2"/>
  <c r="B72" i="2" s="1"/>
  <c r="T6" i="40"/>
  <c r="R6" i="40"/>
  <c r="P6" i="40"/>
  <c r="N6" i="40"/>
  <c r="L6" i="40"/>
  <c r="J6" i="40"/>
  <c r="H6" i="40"/>
  <c r="F6" i="40"/>
  <c r="D6" i="40"/>
  <c r="B6" i="40"/>
  <c r="T5" i="40"/>
  <c r="R5" i="40"/>
  <c r="P5" i="40"/>
  <c r="N5" i="40"/>
  <c r="L5" i="40"/>
  <c r="J5" i="40"/>
  <c r="H5" i="40"/>
  <c r="F5" i="40"/>
  <c r="D5" i="40"/>
  <c r="B5" i="40"/>
  <c r="T4" i="40"/>
  <c r="R4" i="40"/>
  <c r="P4" i="40"/>
  <c r="N4" i="40"/>
  <c r="L4" i="40"/>
  <c r="J4" i="40"/>
  <c r="H4" i="40"/>
  <c r="F4" i="40"/>
  <c r="D4" i="40"/>
  <c r="B4" i="40"/>
  <c r="T3" i="40"/>
  <c r="R3" i="40"/>
  <c r="P3" i="40"/>
  <c r="N3" i="40"/>
  <c r="L3" i="40"/>
  <c r="J3" i="40"/>
  <c r="H3" i="40"/>
  <c r="F3" i="40"/>
  <c r="D3" i="40"/>
  <c r="B3" i="40"/>
  <c r="A1" i="40"/>
  <c r="A1" i="14"/>
  <c r="A1" i="13"/>
  <c r="A1" i="12"/>
  <c r="A1" i="11"/>
  <c r="A1" i="10"/>
  <c r="A1" i="9"/>
  <c r="A1" i="8"/>
  <c r="A1" i="7"/>
  <c r="A1" i="6"/>
  <c r="A1" i="4"/>
  <c r="A1" i="1"/>
  <c r="A1" i="17"/>
  <c r="A1" i="18"/>
  <c r="A1" i="19"/>
  <c r="A1" i="20"/>
  <c r="A1" i="21"/>
  <c r="A1" i="22"/>
  <c r="A1" i="23"/>
  <c r="A1" i="5"/>
  <c r="A1" i="24"/>
  <c r="A1" i="25"/>
  <c r="A1" i="26"/>
  <c r="A1" i="33"/>
  <c r="A1" i="27"/>
  <c r="A1" i="28"/>
  <c r="A1" i="29"/>
  <c r="A1" i="34"/>
  <c r="A1" i="15"/>
  <c r="A1" i="30"/>
  <c r="A1" i="35"/>
  <c r="A1" i="32"/>
  <c r="A1" i="36"/>
  <c r="A1" i="38"/>
  <c r="A1" i="31"/>
  <c r="A71" i="2"/>
  <c r="B71" i="2" s="1"/>
  <c r="T6" i="38"/>
  <c r="R6" i="38"/>
  <c r="P6" i="38"/>
  <c r="N6" i="38"/>
  <c r="L6" i="38"/>
  <c r="J6" i="38"/>
  <c r="H6" i="38"/>
  <c r="F6" i="38"/>
  <c r="D6" i="38"/>
  <c r="B6" i="38"/>
  <c r="T5" i="38"/>
  <c r="R5" i="38"/>
  <c r="P5" i="38"/>
  <c r="N5" i="38"/>
  <c r="L5" i="38"/>
  <c r="J5" i="38"/>
  <c r="H5" i="38"/>
  <c r="F5" i="38"/>
  <c r="D5" i="38"/>
  <c r="B5" i="38"/>
  <c r="T4" i="38"/>
  <c r="R4" i="38"/>
  <c r="P4" i="38"/>
  <c r="N4" i="38"/>
  <c r="L4" i="38"/>
  <c r="J4" i="38"/>
  <c r="H4" i="38"/>
  <c r="F4" i="38"/>
  <c r="D4" i="38"/>
  <c r="B4" i="38"/>
  <c r="T3" i="38"/>
  <c r="R3" i="38"/>
  <c r="P3" i="38"/>
  <c r="N3" i="38"/>
  <c r="L3" i="38"/>
  <c r="J3" i="38"/>
  <c r="H3" i="38"/>
  <c r="F3" i="38"/>
  <c r="D3" i="38"/>
  <c r="B3" i="38"/>
  <c r="T7" i="15"/>
  <c r="R7" i="15"/>
  <c r="P7" i="15"/>
  <c r="N7" i="15"/>
  <c r="B7" i="15"/>
  <c r="T10" i="15"/>
  <c r="R10" i="15"/>
  <c r="P10" i="15"/>
  <c r="O23" i="2" s="1"/>
  <c r="P23" i="2" s="1"/>
  <c r="N10" i="15"/>
  <c r="L10" i="15"/>
  <c r="K23" i="2" s="1"/>
  <c r="L23" i="2" s="1"/>
  <c r="J10" i="15"/>
  <c r="I23" i="2" s="1"/>
  <c r="J23" i="2" s="1"/>
  <c r="H10" i="15"/>
  <c r="F10" i="15"/>
  <c r="E23" i="2" s="1"/>
  <c r="F23" i="2" s="1"/>
  <c r="D10" i="15"/>
  <c r="C23" i="2" s="1"/>
  <c r="D23" i="2" s="1"/>
  <c r="B10" i="15"/>
  <c r="A23" i="2" s="1"/>
  <c r="B23" i="2" s="1"/>
  <c r="B10" i="29"/>
  <c r="A50" i="2"/>
  <c r="B50" i="2" s="1"/>
  <c r="A124" i="2"/>
  <c r="B124" i="2" s="1"/>
  <c r="A16" i="2"/>
  <c r="B16" i="2" s="1"/>
  <c r="T8" i="30"/>
  <c r="R8" i="30"/>
  <c r="P8" i="30"/>
  <c r="N8" i="30"/>
  <c r="L8" i="30"/>
  <c r="H8" i="30"/>
  <c r="D8" i="30"/>
  <c r="C24" i="2" s="1"/>
  <c r="D24" i="2" s="1"/>
  <c r="T7" i="36"/>
  <c r="R7" i="36"/>
  <c r="Q50" i="2" s="1"/>
  <c r="R50" i="2" s="1"/>
  <c r="P7" i="36"/>
  <c r="N7" i="36"/>
  <c r="L7" i="36"/>
  <c r="J7" i="36"/>
  <c r="I50" i="2" s="1"/>
  <c r="J50" i="2" s="1"/>
  <c r="H7" i="36"/>
  <c r="F7" i="36"/>
  <c r="D7" i="36"/>
  <c r="B7" i="36"/>
  <c r="T6" i="36"/>
  <c r="R6" i="36"/>
  <c r="Q16" i="2" s="1"/>
  <c r="R16" i="2" s="1"/>
  <c r="P6" i="36"/>
  <c r="O16" i="2" s="1"/>
  <c r="P16" i="2" s="1"/>
  <c r="N6" i="36"/>
  <c r="M16" i="2" s="1"/>
  <c r="N16" i="2" s="1"/>
  <c r="L6" i="36"/>
  <c r="K16" i="2" s="1"/>
  <c r="L16" i="2" s="1"/>
  <c r="J6" i="36"/>
  <c r="H6" i="36"/>
  <c r="F6" i="36"/>
  <c r="D6" i="36"/>
  <c r="C16" i="2" s="1"/>
  <c r="D16" i="2" s="1"/>
  <c r="B6" i="36"/>
  <c r="T5" i="36"/>
  <c r="R5" i="36"/>
  <c r="P5" i="36"/>
  <c r="N5" i="36"/>
  <c r="L5" i="36"/>
  <c r="J5" i="36"/>
  <c r="H5" i="36"/>
  <c r="F5" i="36"/>
  <c r="D5" i="36"/>
  <c r="B5" i="36"/>
  <c r="T4" i="36"/>
  <c r="R4" i="36"/>
  <c r="P4" i="36"/>
  <c r="N4" i="36"/>
  <c r="L4" i="36"/>
  <c r="J4" i="36"/>
  <c r="H4" i="36"/>
  <c r="F4" i="36"/>
  <c r="D4" i="36"/>
  <c r="B4" i="36"/>
  <c r="T3" i="36"/>
  <c r="R3" i="36"/>
  <c r="P3" i="36"/>
  <c r="N3" i="36"/>
  <c r="L3" i="36"/>
  <c r="J3" i="36"/>
  <c r="H3" i="36"/>
  <c r="F3" i="36"/>
  <c r="D3" i="36"/>
  <c r="B3" i="36"/>
  <c r="A67" i="2"/>
  <c r="B67" i="2" s="1"/>
  <c r="T6" i="35"/>
  <c r="R6" i="35"/>
  <c r="Q17" i="2" s="1"/>
  <c r="R17" i="2" s="1"/>
  <c r="P6" i="35"/>
  <c r="N6" i="35"/>
  <c r="L6" i="35"/>
  <c r="K17" i="2" s="1"/>
  <c r="L17" i="2" s="1"/>
  <c r="J6" i="35"/>
  <c r="I17" i="2" s="1"/>
  <c r="J17" i="2" s="1"/>
  <c r="H6" i="35"/>
  <c r="F6" i="35"/>
  <c r="D6" i="35"/>
  <c r="B6" i="35"/>
  <c r="A17" i="2" s="1"/>
  <c r="B17" i="2" s="1"/>
  <c r="T5" i="35"/>
  <c r="R5" i="35"/>
  <c r="P5" i="35"/>
  <c r="N5" i="35"/>
  <c r="L5" i="35"/>
  <c r="J5" i="35"/>
  <c r="H5" i="35"/>
  <c r="F5" i="35"/>
  <c r="D5" i="35"/>
  <c r="B5" i="35"/>
  <c r="T4" i="35"/>
  <c r="R4" i="35"/>
  <c r="P4" i="35"/>
  <c r="N4" i="35"/>
  <c r="L4" i="35"/>
  <c r="J4" i="35"/>
  <c r="H4" i="35"/>
  <c r="F4" i="35"/>
  <c r="D4" i="35"/>
  <c r="B4" i="35"/>
  <c r="T3" i="35"/>
  <c r="R3" i="35"/>
  <c r="P3" i="35"/>
  <c r="N3" i="35"/>
  <c r="L3" i="35"/>
  <c r="J3" i="35"/>
  <c r="H3" i="35"/>
  <c r="F3" i="35"/>
  <c r="D3" i="35"/>
  <c r="B3" i="35"/>
  <c r="B10" i="34"/>
  <c r="A48" i="2" s="1"/>
  <c r="B48" i="2" s="1"/>
  <c r="B9" i="34"/>
  <c r="A47" i="2" s="1"/>
  <c r="B47" i="2" s="1"/>
  <c r="T6" i="34"/>
  <c r="R6" i="34"/>
  <c r="P6" i="34"/>
  <c r="N6" i="34"/>
  <c r="L6" i="34"/>
  <c r="J6" i="34"/>
  <c r="H6" i="34"/>
  <c r="F6" i="34"/>
  <c r="D6" i="34"/>
  <c r="B6" i="34"/>
  <c r="T5" i="34"/>
  <c r="R5" i="34"/>
  <c r="P5" i="34"/>
  <c r="N5" i="34"/>
  <c r="L5" i="34"/>
  <c r="J5" i="34"/>
  <c r="H5" i="34"/>
  <c r="F5" i="34"/>
  <c r="D5" i="34"/>
  <c r="B5" i="34"/>
  <c r="T4" i="34"/>
  <c r="R4" i="34"/>
  <c r="P4" i="34"/>
  <c r="N4" i="34"/>
  <c r="L4" i="34"/>
  <c r="J4" i="34"/>
  <c r="H4" i="34"/>
  <c r="F4" i="34"/>
  <c r="D4" i="34"/>
  <c r="B4" i="34"/>
  <c r="A90" i="2" s="1"/>
  <c r="B90" i="2" s="1"/>
  <c r="T3" i="34"/>
  <c r="R3" i="34"/>
  <c r="P3" i="34"/>
  <c r="N3" i="34"/>
  <c r="L3" i="34"/>
  <c r="J3" i="34"/>
  <c r="H3" i="34"/>
  <c r="F3" i="34"/>
  <c r="D3" i="34"/>
  <c r="B3" i="34"/>
  <c r="T11" i="33"/>
  <c r="R11" i="33"/>
  <c r="P11" i="33"/>
  <c r="O21" i="2" s="1"/>
  <c r="P21" i="2" s="1"/>
  <c r="N11" i="33"/>
  <c r="L11" i="33"/>
  <c r="J11" i="33"/>
  <c r="I21" i="2" s="1"/>
  <c r="J21" i="2" s="1"/>
  <c r="H11" i="33"/>
  <c r="F11" i="33"/>
  <c r="D11" i="33"/>
  <c r="B11" i="33"/>
  <c r="A21" i="2" s="1"/>
  <c r="B21" i="2" s="1"/>
  <c r="T6" i="33"/>
  <c r="R6" i="33"/>
  <c r="P6" i="33"/>
  <c r="N6" i="33"/>
  <c r="L6" i="33"/>
  <c r="J6" i="33"/>
  <c r="H6" i="33"/>
  <c r="F6" i="33"/>
  <c r="D6" i="33"/>
  <c r="B6" i="33"/>
  <c r="T5" i="33"/>
  <c r="R5" i="33"/>
  <c r="P5" i="33"/>
  <c r="N5" i="33"/>
  <c r="L5" i="33"/>
  <c r="J5" i="33"/>
  <c r="H5" i="33"/>
  <c r="F5" i="33"/>
  <c r="D5" i="33"/>
  <c r="B5" i="33"/>
  <c r="T4" i="33"/>
  <c r="R4" i="33"/>
  <c r="P4" i="33"/>
  <c r="N4" i="33"/>
  <c r="L4" i="33"/>
  <c r="J4" i="33"/>
  <c r="H4" i="33"/>
  <c r="F4" i="33"/>
  <c r="D4" i="33"/>
  <c r="B4" i="33"/>
  <c r="A75" i="2" s="1"/>
  <c r="B75" i="2" s="1"/>
  <c r="T3" i="33"/>
  <c r="R3" i="33"/>
  <c r="P3" i="33"/>
  <c r="N3" i="33"/>
  <c r="L3" i="33"/>
  <c r="J3" i="33"/>
  <c r="H3" i="33"/>
  <c r="F3" i="33"/>
  <c r="D3" i="33"/>
  <c r="B3" i="33"/>
  <c r="A19" i="2"/>
  <c r="B19" i="2" s="1"/>
  <c r="A66" i="2"/>
  <c r="B66" i="2" s="1"/>
  <c r="T6" i="32"/>
  <c r="R6" i="32"/>
  <c r="Q19" i="2" s="1"/>
  <c r="R19" i="2" s="1"/>
  <c r="P6" i="32"/>
  <c r="O19" i="2" s="1"/>
  <c r="P19" i="2" s="1"/>
  <c r="N6" i="32"/>
  <c r="L6" i="32"/>
  <c r="K19" i="2" s="1"/>
  <c r="L19" i="2" s="1"/>
  <c r="J6" i="32"/>
  <c r="I19" i="2" s="1"/>
  <c r="J19" i="2" s="1"/>
  <c r="H6" i="32"/>
  <c r="F6" i="32"/>
  <c r="D6" i="32"/>
  <c r="C19" i="2" s="1"/>
  <c r="D19" i="2" s="1"/>
  <c r="B6" i="32"/>
  <c r="T5" i="32"/>
  <c r="R5" i="32"/>
  <c r="P5" i="32"/>
  <c r="N5" i="32"/>
  <c r="L5" i="32"/>
  <c r="J5" i="32"/>
  <c r="H5" i="32"/>
  <c r="F5" i="32"/>
  <c r="D5" i="32"/>
  <c r="B5" i="32"/>
  <c r="T4" i="32"/>
  <c r="R4" i="32"/>
  <c r="P4" i="32"/>
  <c r="N4" i="32"/>
  <c r="L4" i="32"/>
  <c r="J4" i="32"/>
  <c r="H4" i="32"/>
  <c r="F4" i="32"/>
  <c r="D4" i="32"/>
  <c r="B4" i="32"/>
  <c r="T3" i="32"/>
  <c r="R3" i="32"/>
  <c r="P3" i="32"/>
  <c r="N3" i="32"/>
  <c r="L3" i="32"/>
  <c r="J3" i="32"/>
  <c r="H3" i="32"/>
  <c r="F3" i="32"/>
  <c r="D3" i="32"/>
  <c r="B3" i="32"/>
  <c r="T6" i="31"/>
  <c r="R6" i="31"/>
  <c r="P6" i="31"/>
  <c r="N6" i="31"/>
  <c r="L6" i="31"/>
  <c r="J6" i="31"/>
  <c r="H6" i="31"/>
  <c r="F6" i="31"/>
  <c r="D6" i="31"/>
  <c r="B6" i="31"/>
  <c r="T5" i="31"/>
  <c r="R5" i="31"/>
  <c r="P5" i="31"/>
  <c r="N5" i="31"/>
  <c r="L5" i="31"/>
  <c r="J5" i="31"/>
  <c r="H5" i="31"/>
  <c r="F5" i="31"/>
  <c r="D5" i="31"/>
  <c r="B5" i="31"/>
  <c r="T4" i="31"/>
  <c r="R4" i="31"/>
  <c r="P4" i="31"/>
  <c r="N4" i="31"/>
  <c r="L4" i="31"/>
  <c r="J4" i="31"/>
  <c r="H4" i="31"/>
  <c r="F4" i="31"/>
  <c r="D4" i="31"/>
  <c r="B4" i="31"/>
  <c r="T3" i="31"/>
  <c r="R3" i="31"/>
  <c r="P3" i="31"/>
  <c r="N3" i="31"/>
  <c r="L3" i="31"/>
  <c r="J3" i="31"/>
  <c r="H3" i="31"/>
  <c r="F3" i="31"/>
  <c r="D3" i="31"/>
  <c r="B3" i="31"/>
  <c r="B8" i="30"/>
  <c r="A24" i="2" s="1"/>
  <c r="B24" i="2" s="1"/>
  <c r="T6" i="30"/>
  <c r="R6" i="30"/>
  <c r="Q18" i="2" s="1"/>
  <c r="R18" i="2" s="1"/>
  <c r="P6" i="30"/>
  <c r="N6" i="30"/>
  <c r="M18" i="2" s="1"/>
  <c r="N18" i="2" s="1"/>
  <c r="L6" i="30"/>
  <c r="K18" i="2" s="1"/>
  <c r="L18" i="2" s="1"/>
  <c r="J6" i="30"/>
  <c r="H6" i="30"/>
  <c r="F6" i="30"/>
  <c r="E18" i="2" s="1"/>
  <c r="F18" i="2" s="1"/>
  <c r="D6" i="30"/>
  <c r="C18" i="2" s="1"/>
  <c r="D18" i="2" s="1"/>
  <c r="B6" i="30"/>
  <c r="A18" i="2" s="1"/>
  <c r="B18" i="2" s="1"/>
  <c r="T5" i="30"/>
  <c r="R5" i="30"/>
  <c r="P5" i="30"/>
  <c r="N5" i="30"/>
  <c r="L5" i="30"/>
  <c r="J5" i="30"/>
  <c r="H5" i="30"/>
  <c r="F5" i="30"/>
  <c r="D5" i="30"/>
  <c r="B5" i="30"/>
  <c r="T4" i="30"/>
  <c r="R4" i="30"/>
  <c r="P4" i="30"/>
  <c r="N4" i="30"/>
  <c r="L4" i="30"/>
  <c r="J4" i="30"/>
  <c r="H4" i="30"/>
  <c r="F4" i="30"/>
  <c r="D4" i="30"/>
  <c r="B4" i="30"/>
  <c r="A88" i="2" s="1"/>
  <c r="B88" i="2" s="1"/>
  <c r="T3" i="30"/>
  <c r="R3" i="30"/>
  <c r="P3" i="30"/>
  <c r="N3" i="30"/>
  <c r="L3" i="30"/>
  <c r="J3" i="30"/>
  <c r="H3" i="30"/>
  <c r="F3" i="30"/>
  <c r="D3" i="30"/>
  <c r="B3" i="30"/>
  <c r="T7" i="29"/>
  <c r="R7" i="29"/>
  <c r="Q45" i="2" s="1"/>
  <c r="R45" i="2" s="1"/>
  <c r="P7" i="29"/>
  <c r="N7" i="29"/>
  <c r="M45" i="2" s="1"/>
  <c r="N45" i="2" s="1"/>
  <c r="L7" i="29"/>
  <c r="K45" i="2" s="1"/>
  <c r="L45" i="2" s="1"/>
  <c r="J7" i="29"/>
  <c r="H7" i="29"/>
  <c r="E45" i="2"/>
  <c r="F45" i="2" s="1"/>
  <c r="D7" i="29"/>
  <c r="C45" i="2" s="1"/>
  <c r="D45" i="2" s="1"/>
  <c r="B7" i="29"/>
  <c r="A45" i="2" s="1"/>
  <c r="B45" i="2" s="1"/>
  <c r="T6" i="29"/>
  <c r="R6" i="29"/>
  <c r="P6" i="29"/>
  <c r="N6" i="29"/>
  <c r="L6" i="29"/>
  <c r="J6" i="29"/>
  <c r="H6" i="29"/>
  <c r="F6" i="29"/>
  <c r="D6" i="29"/>
  <c r="B6" i="29"/>
  <c r="T5" i="29"/>
  <c r="R5" i="29"/>
  <c r="P5" i="29"/>
  <c r="N5" i="29"/>
  <c r="L5" i="29"/>
  <c r="J5" i="29"/>
  <c r="H5" i="29"/>
  <c r="F5" i="29"/>
  <c r="D5" i="29"/>
  <c r="B5" i="29"/>
  <c r="T4" i="29"/>
  <c r="R4" i="29"/>
  <c r="P4" i="29"/>
  <c r="N4" i="29"/>
  <c r="L4" i="29"/>
  <c r="J4" i="29"/>
  <c r="H4" i="29"/>
  <c r="F4" i="29"/>
  <c r="D4" i="29"/>
  <c r="B4" i="29"/>
  <c r="T3" i="29"/>
  <c r="R3" i="29"/>
  <c r="P3" i="29"/>
  <c r="N3" i="29"/>
  <c r="L3" i="29"/>
  <c r="J3" i="29"/>
  <c r="H3" i="29"/>
  <c r="F3" i="29"/>
  <c r="D3" i="29"/>
  <c r="B3" i="29"/>
  <c r="A14" i="2"/>
  <c r="B14" i="2" s="1"/>
  <c r="A119" i="2"/>
  <c r="B119" i="2" s="1"/>
  <c r="T6" i="28"/>
  <c r="R6" i="28"/>
  <c r="P6" i="28"/>
  <c r="O14" i="2" s="1"/>
  <c r="P14" i="2" s="1"/>
  <c r="N6" i="28"/>
  <c r="L6" i="28"/>
  <c r="K14" i="2" s="1"/>
  <c r="L14" i="2" s="1"/>
  <c r="J6" i="28"/>
  <c r="I14" i="2" s="1"/>
  <c r="J14" i="2" s="1"/>
  <c r="H6" i="28"/>
  <c r="F6" i="28"/>
  <c r="D6" i="28"/>
  <c r="C14" i="2" s="1"/>
  <c r="D14" i="2" s="1"/>
  <c r="B6" i="28"/>
  <c r="T5" i="28"/>
  <c r="R5" i="28"/>
  <c r="P5" i="28"/>
  <c r="N5" i="28"/>
  <c r="L5" i="28"/>
  <c r="J5" i="28"/>
  <c r="H5" i="28"/>
  <c r="F5" i="28"/>
  <c r="D5" i="28"/>
  <c r="B5" i="28"/>
  <c r="T4" i="28"/>
  <c r="R4" i="28"/>
  <c r="P4" i="28"/>
  <c r="N4" i="28"/>
  <c r="L4" i="28"/>
  <c r="J4" i="28"/>
  <c r="H4" i="28"/>
  <c r="F4" i="28"/>
  <c r="D4" i="28"/>
  <c r="B4" i="28"/>
  <c r="T3" i="28"/>
  <c r="R3" i="28"/>
  <c r="P3" i="28"/>
  <c r="N3" i="28"/>
  <c r="L3" i="28"/>
  <c r="J3" i="28"/>
  <c r="H3" i="28"/>
  <c r="F3" i="28"/>
  <c r="D3" i="28"/>
  <c r="B3" i="28"/>
  <c r="T6" i="27"/>
  <c r="R6" i="27"/>
  <c r="P6" i="27"/>
  <c r="N6" i="27"/>
  <c r="M15" i="2" s="1"/>
  <c r="N15" i="2" s="1"/>
  <c r="L6" i="27"/>
  <c r="K15" i="2" s="1"/>
  <c r="L15" i="2" s="1"/>
  <c r="J6" i="27"/>
  <c r="I15" i="2" s="1"/>
  <c r="J15" i="2" s="1"/>
  <c r="H6" i="27"/>
  <c r="F6" i="27"/>
  <c r="E15" i="2" s="1"/>
  <c r="F15" i="2" s="1"/>
  <c r="D6" i="27"/>
  <c r="B6" i="27"/>
  <c r="A15" i="2" s="1"/>
  <c r="B15" i="2" s="1"/>
  <c r="T5" i="27"/>
  <c r="R5" i="27"/>
  <c r="P5" i="27"/>
  <c r="N5" i="27"/>
  <c r="L5" i="27"/>
  <c r="J5" i="27"/>
  <c r="H5" i="27"/>
  <c r="F5" i="27"/>
  <c r="D5" i="27"/>
  <c r="B5" i="27"/>
  <c r="T4" i="27"/>
  <c r="R4" i="27"/>
  <c r="P4" i="27"/>
  <c r="N4" i="27"/>
  <c r="L4" i="27"/>
  <c r="J4" i="27"/>
  <c r="H4" i="27"/>
  <c r="F4" i="27"/>
  <c r="D4" i="27"/>
  <c r="B4" i="27"/>
  <c r="A87" i="2" s="1"/>
  <c r="B87" i="2" s="1"/>
  <c r="T3" i="27"/>
  <c r="R3" i="27"/>
  <c r="P3" i="27"/>
  <c r="N3" i="27"/>
  <c r="L3" i="27"/>
  <c r="J3" i="27"/>
  <c r="H3" i="27"/>
  <c r="F3" i="27"/>
  <c r="D3" i="27"/>
  <c r="B3" i="27"/>
  <c r="A81" i="2"/>
  <c r="B81" i="2" s="1"/>
  <c r="T8" i="26"/>
  <c r="R8" i="26"/>
  <c r="Q39" i="2" s="1"/>
  <c r="R39" i="2" s="1"/>
  <c r="P8" i="26"/>
  <c r="O39" i="2" s="1"/>
  <c r="P39" i="2" s="1"/>
  <c r="N8" i="26"/>
  <c r="L8" i="26"/>
  <c r="K39" i="2" s="1"/>
  <c r="L39" i="2" s="1"/>
  <c r="J8" i="26"/>
  <c r="H8" i="26"/>
  <c r="F8" i="26"/>
  <c r="E39" i="2" s="1"/>
  <c r="F39" i="2" s="1"/>
  <c r="D8" i="26"/>
  <c r="C39" i="2" s="1"/>
  <c r="D39" i="2" s="1"/>
  <c r="B8" i="26"/>
  <c r="B39" i="2" s="1"/>
  <c r="T6" i="26"/>
  <c r="R6" i="26"/>
  <c r="P6" i="26"/>
  <c r="N6" i="26"/>
  <c r="L6" i="26"/>
  <c r="J6" i="26"/>
  <c r="H6" i="26"/>
  <c r="F6" i="26"/>
  <c r="D6" i="26"/>
  <c r="B6" i="26"/>
  <c r="T5" i="26"/>
  <c r="R5" i="26"/>
  <c r="P5" i="26"/>
  <c r="N5" i="26"/>
  <c r="L5" i="26"/>
  <c r="J5" i="26"/>
  <c r="H5" i="26"/>
  <c r="F5" i="26"/>
  <c r="D5" i="26"/>
  <c r="B5" i="26"/>
  <c r="T4" i="26"/>
  <c r="R4" i="26"/>
  <c r="P4" i="26"/>
  <c r="N4" i="26"/>
  <c r="L4" i="26"/>
  <c r="J4" i="26"/>
  <c r="H4" i="26"/>
  <c r="F4" i="26"/>
  <c r="D4" i="26"/>
  <c r="B4" i="26"/>
  <c r="T3" i="26"/>
  <c r="R3" i="26"/>
  <c r="P3" i="26"/>
  <c r="N3" i="26"/>
  <c r="L3" i="26"/>
  <c r="J3" i="26"/>
  <c r="H3" i="26"/>
  <c r="F3" i="26"/>
  <c r="D3" i="26"/>
  <c r="B3" i="26"/>
  <c r="A37" i="2"/>
  <c r="B37" i="2" s="1"/>
  <c r="A80" i="2"/>
  <c r="B80" i="2" s="1"/>
  <c r="T9" i="24"/>
  <c r="T8" i="24"/>
  <c r="R9" i="24"/>
  <c r="Q35" i="2" s="1"/>
  <c r="R35" i="2" s="1"/>
  <c r="R8" i="24"/>
  <c r="Q38" i="2" s="1"/>
  <c r="R38" i="2" s="1"/>
  <c r="P9" i="24"/>
  <c r="P8" i="24"/>
  <c r="O38" i="2" s="1"/>
  <c r="P38" i="2" s="1"/>
  <c r="N9" i="24"/>
  <c r="M35" i="2" s="1"/>
  <c r="N35" i="2" s="1"/>
  <c r="N8" i="24"/>
  <c r="M38" i="2" s="1"/>
  <c r="N38" i="2" s="1"/>
  <c r="L9" i="24"/>
  <c r="L8" i="24"/>
  <c r="K38" i="2" s="1"/>
  <c r="L38" i="2" s="1"/>
  <c r="J9" i="24"/>
  <c r="J8" i="24"/>
  <c r="H9" i="24"/>
  <c r="H8" i="24"/>
  <c r="F9" i="24"/>
  <c r="E35" i="2" s="1"/>
  <c r="F35" i="2" s="1"/>
  <c r="F8" i="24"/>
  <c r="E38" i="2" s="1"/>
  <c r="F38" i="2" s="1"/>
  <c r="D9" i="24"/>
  <c r="D8" i="24"/>
  <c r="T8" i="25"/>
  <c r="R8" i="25"/>
  <c r="P8" i="25"/>
  <c r="N8" i="25"/>
  <c r="L8" i="25"/>
  <c r="J8" i="25"/>
  <c r="H8" i="25"/>
  <c r="F8" i="25"/>
  <c r="D8" i="25"/>
  <c r="C37" i="2" s="1"/>
  <c r="D37" i="2" s="1"/>
  <c r="B8" i="25"/>
  <c r="T6" i="25"/>
  <c r="R6" i="25"/>
  <c r="P6" i="25"/>
  <c r="N6" i="25"/>
  <c r="L6" i="25"/>
  <c r="J6" i="25"/>
  <c r="H6" i="25"/>
  <c r="F6" i="25"/>
  <c r="D6" i="25"/>
  <c r="B6" i="25"/>
  <c r="T5" i="25"/>
  <c r="R5" i="25"/>
  <c r="P5" i="25"/>
  <c r="N5" i="25"/>
  <c r="L5" i="25"/>
  <c r="J5" i="25"/>
  <c r="H5" i="25"/>
  <c r="F5" i="25"/>
  <c r="D5" i="25"/>
  <c r="B5" i="25"/>
  <c r="T4" i="25"/>
  <c r="R4" i="25"/>
  <c r="P4" i="25"/>
  <c r="N4" i="25"/>
  <c r="L4" i="25"/>
  <c r="J4" i="25"/>
  <c r="H4" i="25"/>
  <c r="F4" i="25"/>
  <c r="D4" i="25"/>
  <c r="B4" i="25"/>
  <c r="T3" i="25"/>
  <c r="R3" i="25"/>
  <c r="P3" i="25"/>
  <c r="N3" i="25"/>
  <c r="L3" i="25"/>
  <c r="J3" i="25"/>
  <c r="H3" i="25"/>
  <c r="F3" i="25"/>
  <c r="D3" i="25"/>
  <c r="B3" i="25"/>
  <c r="B9" i="24"/>
  <c r="B35" i="2" s="1"/>
  <c r="B8" i="24"/>
  <c r="A38" i="2" s="1"/>
  <c r="B38" i="2" s="1"/>
  <c r="T6" i="24"/>
  <c r="R6" i="24"/>
  <c r="P6" i="24"/>
  <c r="N6" i="24"/>
  <c r="L6" i="24"/>
  <c r="J6" i="24"/>
  <c r="H6" i="24"/>
  <c r="F6" i="24"/>
  <c r="D6" i="24"/>
  <c r="B6" i="24"/>
  <c r="T5" i="24"/>
  <c r="R5" i="24"/>
  <c r="P5" i="24"/>
  <c r="N5" i="24"/>
  <c r="L5" i="24"/>
  <c r="J5" i="24"/>
  <c r="H5" i="24"/>
  <c r="F5" i="24"/>
  <c r="D5" i="24"/>
  <c r="B5" i="24"/>
  <c r="T4" i="24"/>
  <c r="R4" i="24"/>
  <c r="P4" i="24"/>
  <c r="N4" i="24"/>
  <c r="L4" i="24"/>
  <c r="J4" i="24"/>
  <c r="H4" i="24"/>
  <c r="F4" i="24"/>
  <c r="D4" i="24"/>
  <c r="B4" i="24"/>
  <c r="A79" i="2" s="1"/>
  <c r="B79" i="2" s="1"/>
  <c r="T3" i="24"/>
  <c r="R3" i="24"/>
  <c r="P3" i="24"/>
  <c r="N3" i="24"/>
  <c r="L3" i="24"/>
  <c r="J3" i="24"/>
  <c r="H3" i="24"/>
  <c r="F3" i="24"/>
  <c r="D3" i="24"/>
  <c r="B3" i="24"/>
  <c r="A78" i="2"/>
  <c r="B78" i="2" s="1"/>
  <c r="T6" i="23"/>
  <c r="R6" i="23"/>
  <c r="P6" i="23"/>
  <c r="N6" i="23"/>
  <c r="L6" i="23"/>
  <c r="J6" i="23"/>
  <c r="H6" i="23"/>
  <c r="F6" i="23"/>
  <c r="D6" i="23"/>
  <c r="B6" i="23"/>
  <c r="T5" i="23"/>
  <c r="R5" i="23"/>
  <c r="P5" i="23"/>
  <c r="N5" i="23"/>
  <c r="L5" i="23"/>
  <c r="J5" i="23"/>
  <c r="H5" i="23"/>
  <c r="F5" i="23"/>
  <c r="D5" i="23"/>
  <c r="B5" i="23"/>
  <c r="T4" i="23"/>
  <c r="R4" i="23"/>
  <c r="P4" i="23"/>
  <c r="N4" i="23"/>
  <c r="L4" i="23"/>
  <c r="J4" i="23"/>
  <c r="H4" i="23"/>
  <c r="F4" i="23"/>
  <c r="D4" i="23"/>
  <c r="B4" i="23"/>
  <c r="T3" i="23"/>
  <c r="R3" i="23"/>
  <c r="P3" i="23"/>
  <c r="N3" i="23"/>
  <c r="L3" i="23"/>
  <c r="J3" i="23"/>
  <c r="H3" i="23"/>
  <c r="F3" i="23"/>
  <c r="D3" i="23"/>
  <c r="B3" i="23"/>
  <c r="A77" i="2"/>
  <c r="B77" i="2" s="1"/>
  <c r="A29" i="22"/>
  <c r="T6" i="22"/>
  <c r="R6" i="22"/>
  <c r="P6" i="22"/>
  <c r="N6" i="22"/>
  <c r="L6" i="22"/>
  <c r="J6" i="22"/>
  <c r="H6" i="22"/>
  <c r="F6" i="22"/>
  <c r="D6" i="22"/>
  <c r="B6" i="22"/>
  <c r="T5" i="22"/>
  <c r="R5" i="22"/>
  <c r="P5" i="22"/>
  <c r="N5" i="22"/>
  <c r="L5" i="22"/>
  <c r="J5" i="22"/>
  <c r="H5" i="22"/>
  <c r="F5" i="22"/>
  <c r="D5" i="22"/>
  <c r="B5" i="22"/>
  <c r="T4" i="22"/>
  <c r="R4" i="22"/>
  <c r="P4" i="22"/>
  <c r="N4" i="22"/>
  <c r="L4" i="22"/>
  <c r="J4" i="22"/>
  <c r="H4" i="22"/>
  <c r="F4" i="22"/>
  <c r="D4" i="22"/>
  <c r="B4" i="22"/>
  <c r="T3" i="22"/>
  <c r="R3" i="22"/>
  <c r="P3" i="22"/>
  <c r="N3" i="22"/>
  <c r="L3" i="22"/>
  <c r="J3" i="22"/>
  <c r="H3" i="22"/>
  <c r="F3" i="22"/>
  <c r="D3" i="22"/>
  <c r="B3" i="22"/>
  <c r="A82" i="2"/>
  <c r="B82" i="2" s="1"/>
  <c r="T6" i="21"/>
  <c r="R6" i="21"/>
  <c r="P6" i="21"/>
  <c r="N6" i="21"/>
  <c r="L6" i="21"/>
  <c r="J6" i="21"/>
  <c r="H6" i="21"/>
  <c r="F6" i="21"/>
  <c r="D6" i="21"/>
  <c r="B6" i="21"/>
  <c r="T5" i="21"/>
  <c r="R5" i="21"/>
  <c r="P5" i="21"/>
  <c r="N5" i="21"/>
  <c r="L5" i="21"/>
  <c r="J5" i="21"/>
  <c r="H5" i="21"/>
  <c r="F5" i="21"/>
  <c r="D5" i="21"/>
  <c r="B5" i="21"/>
  <c r="T4" i="21"/>
  <c r="R4" i="21"/>
  <c r="P4" i="21"/>
  <c r="N4" i="21"/>
  <c r="L4" i="21"/>
  <c r="J4" i="21"/>
  <c r="H4" i="21"/>
  <c r="F4" i="21"/>
  <c r="D4" i="21"/>
  <c r="B4" i="21"/>
  <c r="T3" i="21"/>
  <c r="R3" i="21"/>
  <c r="P3" i="21"/>
  <c r="N3" i="21"/>
  <c r="L3" i="21"/>
  <c r="J3" i="21"/>
  <c r="H3" i="21"/>
  <c r="F3" i="21"/>
  <c r="D3" i="21"/>
  <c r="B3" i="21"/>
  <c r="A116" i="2"/>
  <c r="B116" i="2" s="1"/>
  <c r="T6" i="20"/>
  <c r="R6" i="20"/>
  <c r="P6" i="20"/>
  <c r="N6" i="20"/>
  <c r="L6" i="20"/>
  <c r="J6" i="20"/>
  <c r="H6" i="20"/>
  <c r="F6" i="20"/>
  <c r="D6" i="20"/>
  <c r="B6" i="20"/>
  <c r="T5" i="20"/>
  <c r="R5" i="20"/>
  <c r="P5" i="20"/>
  <c r="N5" i="20"/>
  <c r="L5" i="20"/>
  <c r="J5" i="20"/>
  <c r="H5" i="20"/>
  <c r="F5" i="20"/>
  <c r="D5" i="20"/>
  <c r="B5" i="20"/>
  <c r="T4" i="20"/>
  <c r="R4" i="20"/>
  <c r="P4" i="20"/>
  <c r="N4" i="20"/>
  <c r="L4" i="20"/>
  <c r="J4" i="20"/>
  <c r="H4" i="20"/>
  <c r="F4" i="20"/>
  <c r="D4" i="20"/>
  <c r="B4" i="20"/>
  <c r="T3" i="20"/>
  <c r="R3" i="20"/>
  <c r="P3" i="20"/>
  <c r="N3" i="20"/>
  <c r="L3" i="20"/>
  <c r="J3" i="20"/>
  <c r="H3" i="20"/>
  <c r="F3" i="20"/>
  <c r="D3" i="20"/>
  <c r="B3" i="20"/>
  <c r="A110" i="2"/>
  <c r="B110" i="2" s="1"/>
  <c r="T6" i="19"/>
  <c r="R6" i="19"/>
  <c r="P6" i="19"/>
  <c r="N6" i="19"/>
  <c r="L6" i="19"/>
  <c r="J6" i="19"/>
  <c r="H6" i="19"/>
  <c r="F6" i="19"/>
  <c r="D6" i="19"/>
  <c r="B6" i="19"/>
  <c r="T5" i="19"/>
  <c r="R5" i="19"/>
  <c r="P5" i="19"/>
  <c r="N5" i="19"/>
  <c r="L5" i="19"/>
  <c r="J5" i="19"/>
  <c r="H5" i="19"/>
  <c r="F5" i="19"/>
  <c r="D5" i="19"/>
  <c r="B5" i="19"/>
  <c r="T4" i="19"/>
  <c r="R4" i="19"/>
  <c r="P4" i="19"/>
  <c r="N4" i="19"/>
  <c r="L4" i="19"/>
  <c r="J4" i="19"/>
  <c r="H4" i="19"/>
  <c r="F4" i="19"/>
  <c r="D4" i="19"/>
  <c r="B4" i="19"/>
  <c r="T3" i="19"/>
  <c r="R3" i="19"/>
  <c r="P3" i="19"/>
  <c r="N3" i="19"/>
  <c r="L3" i="19"/>
  <c r="J3" i="19"/>
  <c r="H3" i="19"/>
  <c r="F3" i="19"/>
  <c r="D3" i="19"/>
  <c r="B3" i="19"/>
  <c r="A108" i="2"/>
  <c r="B108" i="2" s="1"/>
  <c r="T6" i="18"/>
  <c r="R6" i="18"/>
  <c r="P6" i="18"/>
  <c r="N6" i="18"/>
  <c r="L6" i="18"/>
  <c r="J6" i="18"/>
  <c r="H6" i="18"/>
  <c r="F6" i="18"/>
  <c r="D6" i="18"/>
  <c r="B6" i="18"/>
  <c r="T5" i="18"/>
  <c r="R5" i="18"/>
  <c r="P5" i="18"/>
  <c r="N5" i="18"/>
  <c r="L5" i="18"/>
  <c r="J5" i="18"/>
  <c r="H5" i="18"/>
  <c r="F5" i="18"/>
  <c r="D5" i="18"/>
  <c r="B5" i="18"/>
  <c r="T4" i="18"/>
  <c r="R4" i="18"/>
  <c r="P4" i="18"/>
  <c r="N4" i="18"/>
  <c r="L4" i="18"/>
  <c r="J4" i="18"/>
  <c r="H4" i="18"/>
  <c r="F4" i="18"/>
  <c r="D4" i="18"/>
  <c r="B4" i="18"/>
  <c r="T3" i="18"/>
  <c r="R3" i="18"/>
  <c r="P3" i="18"/>
  <c r="N3" i="18"/>
  <c r="L3" i="18"/>
  <c r="J3" i="18"/>
  <c r="H3" i="18"/>
  <c r="F3" i="18"/>
  <c r="D3" i="18"/>
  <c r="B3" i="18"/>
  <c r="A114" i="2"/>
  <c r="B114" i="2" s="1"/>
  <c r="T6" i="17"/>
  <c r="R6" i="17"/>
  <c r="P6" i="17"/>
  <c r="N6" i="17"/>
  <c r="L6" i="17"/>
  <c r="J6" i="17"/>
  <c r="H6" i="17"/>
  <c r="F6" i="17"/>
  <c r="D6" i="17"/>
  <c r="B6" i="17"/>
  <c r="T5" i="17"/>
  <c r="R5" i="17"/>
  <c r="P5" i="17"/>
  <c r="N5" i="17"/>
  <c r="L5" i="17"/>
  <c r="J5" i="17"/>
  <c r="H5" i="17"/>
  <c r="F5" i="17"/>
  <c r="D5" i="17"/>
  <c r="B5" i="17"/>
  <c r="T4" i="17"/>
  <c r="R4" i="17"/>
  <c r="P4" i="17"/>
  <c r="N4" i="17"/>
  <c r="L4" i="17"/>
  <c r="J4" i="17"/>
  <c r="H4" i="17"/>
  <c r="F4" i="17"/>
  <c r="D4" i="17"/>
  <c r="B4" i="17"/>
  <c r="T3" i="17"/>
  <c r="R3" i="17"/>
  <c r="P3" i="17"/>
  <c r="N3" i="17"/>
  <c r="L3" i="17"/>
  <c r="J3" i="17"/>
  <c r="H3" i="17"/>
  <c r="F3" i="17"/>
  <c r="D3" i="17"/>
  <c r="B3" i="17"/>
  <c r="A49" i="2"/>
  <c r="B49" i="2" s="1"/>
  <c r="A27" i="2"/>
  <c r="B27" i="2" s="1"/>
  <c r="A26" i="2"/>
  <c r="B26" i="2" s="1"/>
  <c r="T22" i="5"/>
  <c r="T20" i="5"/>
  <c r="T15" i="5"/>
  <c r="R22" i="5"/>
  <c r="Q27" i="2" s="1"/>
  <c r="R27" i="2" s="1"/>
  <c r="R20" i="5"/>
  <c r="Q26" i="2" s="1"/>
  <c r="R26" i="2" s="1"/>
  <c r="R15" i="5"/>
  <c r="Q49" i="2" s="1"/>
  <c r="R49" i="2" s="1"/>
  <c r="P22" i="5"/>
  <c r="O27" i="2" s="1"/>
  <c r="P27" i="2" s="1"/>
  <c r="P20" i="5"/>
  <c r="P15" i="5"/>
  <c r="N22" i="5"/>
  <c r="M27" i="2" s="1"/>
  <c r="N27" i="2" s="1"/>
  <c r="N20" i="5"/>
  <c r="M26" i="2" s="1"/>
  <c r="N26" i="2" s="1"/>
  <c r="N15" i="5"/>
  <c r="L22" i="5"/>
  <c r="L20" i="5"/>
  <c r="L15" i="5"/>
  <c r="J22" i="5"/>
  <c r="J20" i="5"/>
  <c r="J15" i="5"/>
  <c r="I49" i="2" s="1"/>
  <c r="J49" i="2" s="1"/>
  <c r="H22" i="5"/>
  <c r="H20" i="5"/>
  <c r="H15" i="5"/>
  <c r="F22" i="5"/>
  <c r="F20" i="5"/>
  <c r="F15" i="5"/>
  <c r="E49" i="2" s="1"/>
  <c r="F49" i="2" s="1"/>
  <c r="D22" i="5"/>
  <c r="D20" i="5"/>
  <c r="D15" i="5"/>
  <c r="C49" i="2" s="1"/>
  <c r="D49" i="2" s="1"/>
  <c r="B20" i="5"/>
  <c r="B15" i="5"/>
  <c r="B22" i="5"/>
  <c r="T12" i="5"/>
  <c r="T11" i="5"/>
  <c r="T10" i="5"/>
  <c r="T9" i="5"/>
  <c r="T6" i="5"/>
  <c r="T5" i="5"/>
  <c r="T4" i="5"/>
  <c r="T3" i="5"/>
  <c r="R12" i="5"/>
  <c r="Q42" i="2" s="1"/>
  <c r="R42" i="2" s="1"/>
  <c r="R11" i="5"/>
  <c r="Q43" i="2" s="1"/>
  <c r="R43" i="2" s="1"/>
  <c r="R10" i="5"/>
  <c r="Q30" i="2" s="1"/>
  <c r="R30" i="2" s="1"/>
  <c r="R9" i="5"/>
  <c r="R6" i="5"/>
  <c r="R5" i="5"/>
  <c r="R4" i="5"/>
  <c r="R3" i="5"/>
  <c r="P12" i="5"/>
  <c r="O42" i="2" s="1"/>
  <c r="P42" i="2" s="1"/>
  <c r="P11" i="5"/>
  <c r="P10" i="5"/>
  <c r="O30" i="2" s="1"/>
  <c r="P30" i="2" s="1"/>
  <c r="P9" i="5"/>
  <c r="O29" i="2" s="1"/>
  <c r="P29" i="2" s="1"/>
  <c r="P6" i="5"/>
  <c r="P5" i="5"/>
  <c r="P4" i="5"/>
  <c r="P3" i="5"/>
  <c r="N12" i="5"/>
  <c r="M42" i="2" s="1"/>
  <c r="N42" i="2" s="1"/>
  <c r="N11" i="5"/>
  <c r="M43" i="2" s="1"/>
  <c r="N43" i="2" s="1"/>
  <c r="N10" i="5"/>
  <c r="M30" i="2" s="1"/>
  <c r="N30" i="2" s="1"/>
  <c r="N9" i="5"/>
  <c r="M29" i="2" s="1"/>
  <c r="N29" i="2" s="1"/>
  <c r="N6" i="5"/>
  <c r="N5" i="5"/>
  <c r="N4" i="5"/>
  <c r="N3" i="5"/>
  <c r="L12" i="5"/>
  <c r="K42" i="2" s="1"/>
  <c r="L42" i="2" s="1"/>
  <c r="L11" i="5"/>
  <c r="L10" i="5"/>
  <c r="K30" i="2" s="1"/>
  <c r="L30" i="2" s="1"/>
  <c r="L9" i="5"/>
  <c r="K29" i="2" s="1"/>
  <c r="L29" i="2" s="1"/>
  <c r="L6" i="5"/>
  <c r="L5" i="5"/>
  <c r="L4" i="5"/>
  <c r="L3" i="5"/>
  <c r="J12" i="5"/>
  <c r="I42" i="2" s="1"/>
  <c r="J42" i="2" s="1"/>
  <c r="J11" i="5"/>
  <c r="I43" i="2" s="1"/>
  <c r="J43" i="2" s="1"/>
  <c r="J10" i="5"/>
  <c r="I30" i="2" s="1"/>
  <c r="J30" i="2" s="1"/>
  <c r="J9" i="5"/>
  <c r="J6" i="5"/>
  <c r="J5" i="5"/>
  <c r="J4" i="5"/>
  <c r="J3" i="5"/>
  <c r="H12" i="5"/>
  <c r="H11" i="5"/>
  <c r="H10" i="5"/>
  <c r="H9" i="5"/>
  <c r="H6" i="5"/>
  <c r="H5" i="5"/>
  <c r="H4" i="5"/>
  <c r="H3" i="5"/>
  <c r="F12" i="5"/>
  <c r="E42" i="2" s="1"/>
  <c r="F42" i="2" s="1"/>
  <c r="F11" i="5"/>
  <c r="E43" i="2" s="1"/>
  <c r="F43" i="2" s="1"/>
  <c r="F10" i="5"/>
  <c r="E30" i="2" s="1"/>
  <c r="F30" i="2" s="1"/>
  <c r="F9" i="5"/>
  <c r="E29" i="2" s="1"/>
  <c r="F29" i="2" s="1"/>
  <c r="F6" i="5"/>
  <c r="F5" i="5"/>
  <c r="F4" i="5"/>
  <c r="F3" i="5"/>
  <c r="D12" i="5"/>
  <c r="D11" i="5"/>
  <c r="D10" i="5"/>
  <c r="D9" i="5"/>
  <c r="D6" i="5"/>
  <c r="D5" i="5"/>
  <c r="D4" i="5"/>
  <c r="D3" i="5"/>
  <c r="T6" i="15"/>
  <c r="R6" i="15"/>
  <c r="P6" i="15"/>
  <c r="N6" i="15"/>
  <c r="L6" i="15"/>
  <c r="J6" i="15"/>
  <c r="H6" i="15"/>
  <c r="F6" i="15"/>
  <c r="D6" i="15"/>
  <c r="B6" i="15"/>
  <c r="T5" i="15"/>
  <c r="R5" i="15"/>
  <c r="P5" i="15"/>
  <c r="N5" i="15"/>
  <c r="L5" i="15"/>
  <c r="J5" i="15"/>
  <c r="H5" i="15"/>
  <c r="F5" i="15"/>
  <c r="D5" i="15"/>
  <c r="B5" i="15"/>
  <c r="T4" i="15"/>
  <c r="R4" i="15"/>
  <c r="P4" i="15"/>
  <c r="N4" i="15"/>
  <c r="L4" i="15"/>
  <c r="J4" i="15"/>
  <c r="H4" i="15"/>
  <c r="F4" i="15"/>
  <c r="D4" i="15"/>
  <c r="B4" i="15"/>
  <c r="A89" i="2" s="1"/>
  <c r="B89" i="2" s="1"/>
  <c r="T3" i="15"/>
  <c r="R3" i="15"/>
  <c r="P3" i="15"/>
  <c r="N3" i="15"/>
  <c r="L3" i="15"/>
  <c r="J3" i="15"/>
  <c r="H3" i="15"/>
  <c r="F3" i="15"/>
  <c r="D3" i="15"/>
  <c r="B3" i="15"/>
  <c r="T6" i="14"/>
  <c r="R6" i="14"/>
  <c r="P6" i="14"/>
  <c r="N6" i="14"/>
  <c r="L6" i="14"/>
  <c r="J6" i="14"/>
  <c r="H6" i="14"/>
  <c r="F6" i="14"/>
  <c r="D6" i="14"/>
  <c r="B6" i="14"/>
  <c r="T5" i="14"/>
  <c r="R5" i="14"/>
  <c r="P5" i="14"/>
  <c r="N5" i="14"/>
  <c r="L5" i="14"/>
  <c r="J5" i="14"/>
  <c r="H5" i="14"/>
  <c r="F5" i="14"/>
  <c r="D5" i="14"/>
  <c r="B5" i="14"/>
  <c r="T4" i="14"/>
  <c r="R4" i="14"/>
  <c r="P4" i="14"/>
  <c r="N4" i="14"/>
  <c r="L4" i="14"/>
  <c r="J4" i="14"/>
  <c r="H4" i="14"/>
  <c r="F4" i="14"/>
  <c r="D4" i="14"/>
  <c r="B4" i="14"/>
  <c r="A113" i="2" s="1"/>
  <c r="B113" i="2" s="1"/>
  <c r="T3" i="14"/>
  <c r="R3" i="14"/>
  <c r="P3" i="14"/>
  <c r="N3" i="14"/>
  <c r="L3" i="14"/>
  <c r="J3" i="14"/>
  <c r="H3" i="14"/>
  <c r="F3" i="14"/>
  <c r="D3" i="14"/>
  <c r="B3" i="14"/>
  <c r="T6" i="13"/>
  <c r="R6" i="13"/>
  <c r="P6" i="13"/>
  <c r="N6" i="13"/>
  <c r="L6" i="13"/>
  <c r="J6" i="13"/>
  <c r="H6" i="13"/>
  <c r="F6" i="13"/>
  <c r="D6" i="13"/>
  <c r="B6" i="13"/>
  <c r="T5" i="13"/>
  <c r="R5" i="13"/>
  <c r="P5" i="13"/>
  <c r="N5" i="13"/>
  <c r="L5" i="13"/>
  <c r="J5" i="13"/>
  <c r="H5" i="13"/>
  <c r="F5" i="13"/>
  <c r="D5" i="13"/>
  <c r="B5" i="13"/>
  <c r="T4" i="13"/>
  <c r="R4" i="13"/>
  <c r="P4" i="13"/>
  <c r="N4" i="13"/>
  <c r="L4" i="13"/>
  <c r="J4" i="13"/>
  <c r="H4" i="13"/>
  <c r="F4" i="13"/>
  <c r="D4" i="13"/>
  <c r="B4" i="13"/>
  <c r="A107" i="2" s="1"/>
  <c r="B107" i="2" s="1"/>
  <c r="T3" i="13"/>
  <c r="R3" i="13"/>
  <c r="P3" i="13"/>
  <c r="N3" i="13"/>
  <c r="L3" i="13"/>
  <c r="J3" i="13"/>
  <c r="H3" i="13"/>
  <c r="F3" i="13"/>
  <c r="D3" i="13"/>
  <c r="B3" i="13"/>
  <c r="T6" i="12"/>
  <c r="R6" i="12"/>
  <c r="P6" i="12"/>
  <c r="N6" i="12"/>
  <c r="L6" i="12"/>
  <c r="J6" i="12"/>
  <c r="H6" i="12"/>
  <c r="F6" i="12"/>
  <c r="D6" i="12"/>
  <c r="B6" i="12"/>
  <c r="T5" i="12"/>
  <c r="R5" i="12"/>
  <c r="P5" i="12"/>
  <c r="N5" i="12"/>
  <c r="L5" i="12"/>
  <c r="J5" i="12"/>
  <c r="H5" i="12"/>
  <c r="F5" i="12"/>
  <c r="D5" i="12"/>
  <c r="B5" i="12"/>
  <c r="T4" i="12"/>
  <c r="R4" i="12"/>
  <c r="P4" i="12"/>
  <c r="N4" i="12"/>
  <c r="L4" i="12"/>
  <c r="J4" i="12"/>
  <c r="H4" i="12"/>
  <c r="F4" i="12"/>
  <c r="D4" i="12"/>
  <c r="B4" i="12"/>
  <c r="A112" i="2" s="1"/>
  <c r="B112" i="2" s="1"/>
  <c r="T3" i="12"/>
  <c r="R3" i="12"/>
  <c r="P3" i="12"/>
  <c r="N3" i="12"/>
  <c r="L3" i="12"/>
  <c r="J3" i="12"/>
  <c r="H3" i="12"/>
  <c r="F3" i="12"/>
  <c r="D3" i="12"/>
  <c r="B3" i="12"/>
  <c r="A106" i="2"/>
  <c r="B106" i="2" s="1"/>
  <c r="T6" i="11"/>
  <c r="R6" i="11"/>
  <c r="P6" i="11"/>
  <c r="N6" i="11"/>
  <c r="L6" i="11"/>
  <c r="J6" i="11"/>
  <c r="H6" i="11"/>
  <c r="F6" i="11"/>
  <c r="D6" i="11"/>
  <c r="B6" i="11"/>
  <c r="T5" i="11"/>
  <c r="R5" i="11"/>
  <c r="P5" i="11"/>
  <c r="N5" i="11"/>
  <c r="L5" i="11"/>
  <c r="J5" i="11"/>
  <c r="H5" i="11"/>
  <c r="F5" i="11"/>
  <c r="D5" i="11"/>
  <c r="B5" i="11"/>
  <c r="T4" i="11"/>
  <c r="R4" i="11"/>
  <c r="P4" i="11"/>
  <c r="N4" i="11"/>
  <c r="L4" i="11"/>
  <c r="J4" i="11"/>
  <c r="H4" i="11"/>
  <c r="F4" i="11"/>
  <c r="D4" i="11"/>
  <c r="B4" i="11"/>
  <c r="T3" i="11"/>
  <c r="R3" i="11"/>
  <c r="P3" i="11"/>
  <c r="N3" i="11"/>
  <c r="L3" i="11"/>
  <c r="J3" i="11"/>
  <c r="H3" i="11"/>
  <c r="F3" i="11"/>
  <c r="D3" i="11"/>
  <c r="B3" i="11"/>
  <c r="A111" i="2"/>
  <c r="B111" i="2" s="1"/>
  <c r="T6" i="10"/>
  <c r="R6" i="10"/>
  <c r="P6" i="10"/>
  <c r="N6" i="10"/>
  <c r="L6" i="10"/>
  <c r="J6" i="10"/>
  <c r="H6" i="10"/>
  <c r="F6" i="10"/>
  <c r="D6" i="10"/>
  <c r="B6" i="10"/>
  <c r="T5" i="10"/>
  <c r="R5" i="10"/>
  <c r="P5" i="10"/>
  <c r="N5" i="10"/>
  <c r="L5" i="10"/>
  <c r="J5" i="10"/>
  <c r="H5" i="10"/>
  <c r="F5" i="10"/>
  <c r="D5" i="10"/>
  <c r="B5" i="10"/>
  <c r="T4" i="10"/>
  <c r="R4" i="10"/>
  <c r="P4" i="10"/>
  <c r="N4" i="10"/>
  <c r="L4" i="10"/>
  <c r="J4" i="10"/>
  <c r="H4" i="10"/>
  <c r="F4" i="10"/>
  <c r="D4" i="10"/>
  <c r="B4" i="10"/>
  <c r="T3" i="10"/>
  <c r="R3" i="10"/>
  <c r="P3" i="10"/>
  <c r="N3" i="10"/>
  <c r="L3" i="10"/>
  <c r="J3" i="10"/>
  <c r="H3" i="10"/>
  <c r="F3" i="10"/>
  <c r="D3" i="10"/>
  <c r="B3" i="10"/>
  <c r="A105" i="2"/>
  <c r="B105" i="2" s="1"/>
  <c r="T6" i="9"/>
  <c r="R6" i="9"/>
  <c r="P6" i="9"/>
  <c r="N6" i="9"/>
  <c r="L6" i="9"/>
  <c r="J6" i="9"/>
  <c r="H6" i="9"/>
  <c r="F6" i="9"/>
  <c r="D6" i="9"/>
  <c r="B6" i="9"/>
  <c r="T5" i="9"/>
  <c r="R5" i="9"/>
  <c r="P5" i="9"/>
  <c r="N5" i="9"/>
  <c r="L5" i="9"/>
  <c r="J5" i="9"/>
  <c r="H5" i="9"/>
  <c r="F5" i="9"/>
  <c r="D5" i="9"/>
  <c r="B5" i="9"/>
  <c r="T4" i="9"/>
  <c r="R4" i="9"/>
  <c r="P4" i="9"/>
  <c r="N4" i="9"/>
  <c r="L4" i="9"/>
  <c r="J4" i="9"/>
  <c r="H4" i="9"/>
  <c r="F4" i="9"/>
  <c r="D4" i="9"/>
  <c r="B4" i="9"/>
  <c r="T3" i="9"/>
  <c r="R3" i="9"/>
  <c r="P3" i="9"/>
  <c r="N3" i="9"/>
  <c r="L3" i="9"/>
  <c r="J3" i="9"/>
  <c r="H3" i="9"/>
  <c r="F3" i="9"/>
  <c r="D3" i="9"/>
  <c r="B3" i="9"/>
  <c r="A104" i="2"/>
  <c r="B104" i="2" s="1"/>
  <c r="T6" i="8"/>
  <c r="R6" i="8"/>
  <c r="P6" i="8"/>
  <c r="N6" i="8"/>
  <c r="L6" i="8"/>
  <c r="J6" i="8"/>
  <c r="H6" i="8"/>
  <c r="F6" i="8"/>
  <c r="D6" i="8"/>
  <c r="B6" i="8"/>
  <c r="T5" i="8"/>
  <c r="R5" i="8"/>
  <c r="P5" i="8"/>
  <c r="N5" i="8"/>
  <c r="L5" i="8"/>
  <c r="J5" i="8"/>
  <c r="H5" i="8"/>
  <c r="F5" i="8"/>
  <c r="D5" i="8"/>
  <c r="B5" i="8"/>
  <c r="T4" i="8"/>
  <c r="R4" i="8"/>
  <c r="P4" i="8"/>
  <c r="N4" i="8"/>
  <c r="L4" i="8"/>
  <c r="J4" i="8"/>
  <c r="H4" i="8"/>
  <c r="F4" i="8"/>
  <c r="D4" i="8"/>
  <c r="B4" i="8"/>
  <c r="T3" i="8"/>
  <c r="R3" i="8"/>
  <c r="P3" i="8"/>
  <c r="N3" i="8"/>
  <c r="L3" i="8"/>
  <c r="J3" i="8"/>
  <c r="H3" i="8"/>
  <c r="F3" i="8"/>
  <c r="D3" i="8"/>
  <c r="B3" i="8"/>
  <c r="A103" i="2"/>
  <c r="B103" i="2" s="1"/>
  <c r="A29" i="2"/>
  <c r="B29" i="2" s="1"/>
  <c r="T6" i="7"/>
  <c r="R6" i="7"/>
  <c r="P6" i="7"/>
  <c r="N6" i="7"/>
  <c r="L6" i="7"/>
  <c r="J6" i="7"/>
  <c r="H6" i="7"/>
  <c r="F6" i="7"/>
  <c r="D6" i="7"/>
  <c r="B6" i="7"/>
  <c r="T5" i="7"/>
  <c r="R5" i="7"/>
  <c r="P5" i="7"/>
  <c r="N5" i="7"/>
  <c r="L5" i="7"/>
  <c r="J5" i="7"/>
  <c r="H5" i="7"/>
  <c r="F5" i="7"/>
  <c r="D5" i="7"/>
  <c r="B5" i="7"/>
  <c r="T4" i="7"/>
  <c r="R4" i="7"/>
  <c r="P4" i="7"/>
  <c r="N4" i="7"/>
  <c r="L4" i="7"/>
  <c r="J4" i="7"/>
  <c r="H4" i="7"/>
  <c r="F4" i="7"/>
  <c r="D4" i="7"/>
  <c r="B4" i="7"/>
  <c r="T3" i="7"/>
  <c r="R3" i="7"/>
  <c r="P3" i="7"/>
  <c r="N3" i="7"/>
  <c r="L3" i="7"/>
  <c r="J3" i="7"/>
  <c r="H3" i="7"/>
  <c r="F3" i="7"/>
  <c r="D3" i="7"/>
  <c r="B3" i="7"/>
  <c r="A102" i="2"/>
  <c r="B102" i="2" s="1"/>
  <c r="T6" i="6"/>
  <c r="R6" i="6"/>
  <c r="P6" i="6"/>
  <c r="N6" i="6"/>
  <c r="L6" i="6"/>
  <c r="J6" i="6"/>
  <c r="H6" i="6"/>
  <c r="F6" i="6"/>
  <c r="D6" i="6"/>
  <c r="B6" i="6"/>
  <c r="T5" i="6"/>
  <c r="R5" i="6"/>
  <c r="P5" i="6"/>
  <c r="N5" i="6"/>
  <c r="L5" i="6"/>
  <c r="J5" i="6"/>
  <c r="H5" i="6"/>
  <c r="F5" i="6"/>
  <c r="D5" i="6"/>
  <c r="B5" i="6"/>
  <c r="T4" i="6"/>
  <c r="R4" i="6"/>
  <c r="P4" i="6"/>
  <c r="N4" i="6"/>
  <c r="L4" i="6"/>
  <c r="J4" i="6"/>
  <c r="H4" i="6"/>
  <c r="F4" i="6"/>
  <c r="D4" i="6"/>
  <c r="B4" i="6"/>
  <c r="T3" i="6"/>
  <c r="R3" i="6"/>
  <c r="P3" i="6"/>
  <c r="N3" i="6"/>
  <c r="L3" i="6"/>
  <c r="J3" i="6"/>
  <c r="H3" i="6"/>
  <c r="F3" i="6"/>
  <c r="D3" i="6"/>
  <c r="B3" i="6"/>
  <c r="A115" i="2"/>
  <c r="B115" i="2" s="1"/>
  <c r="B12" i="5"/>
  <c r="A42" i="2" s="1"/>
  <c r="B42" i="2" s="1"/>
  <c r="B11" i="5"/>
  <c r="A43" i="2" s="1"/>
  <c r="B43" i="2" s="1"/>
  <c r="B10" i="5"/>
  <c r="A30" i="2" s="1"/>
  <c r="B30" i="2" s="1"/>
  <c r="B9" i="5"/>
  <c r="B6" i="5"/>
  <c r="B5" i="5"/>
  <c r="B4" i="5"/>
  <c r="B3" i="5"/>
  <c r="B3" i="4"/>
  <c r="B4" i="4"/>
  <c r="A101" i="2" s="1"/>
  <c r="B101" i="2" s="1"/>
  <c r="B5" i="4"/>
  <c r="B6" i="4"/>
  <c r="T6" i="4"/>
  <c r="R6" i="4"/>
  <c r="P6" i="4"/>
  <c r="N6" i="4"/>
  <c r="L6" i="4"/>
  <c r="J6" i="4"/>
  <c r="H6" i="4"/>
  <c r="F6" i="4"/>
  <c r="D6" i="4"/>
  <c r="T5" i="4"/>
  <c r="R5" i="4"/>
  <c r="P5" i="4"/>
  <c r="N5" i="4"/>
  <c r="L5" i="4"/>
  <c r="J5" i="4"/>
  <c r="H5" i="4"/>
  <c r="F5" i="4"/>
  <c r="D5" i="4"/>
  <c r="T4" i="4"/>
  <c r="R4" i="4"/>
  <c r="P4" i="4"/>
  <c r="N4" i="4"/>
  <c r="L4" i="4"/>
  <c r="J4" i="4"/>
  <c r="H4" i="4"/>
  <c r="F4" i="4"/>
  <c r="D4" i="4"/>
  <c r="T3" i="4"/>
  <c r="R3" i="4"/>
  <c r="P3" i="4"/>
  <c r="N3" i="4"/>
  <c r="L3" i="4"/>
  <c r="J3" i="4"/>
  <c r="H3" i="4"/>
  <c r="F3" i="4"/>
  <c r="D3" i="4"/>
  <c r="T6" i="1"/>
  <c r="T5" i="1"/>
  <c r="T4" i="1"/>
  <c r="T3" i="1"/>
  <c r="R6" i="1"/>
  <c r="Q13" i="2" s="1"/>
  <c r="R13" i="2" s="1"/>
  <c r="R5" i="1"/>
  <c r="R4" i="1"/>
  <c r="R3" i="1"/>
  <c r="P6" i="1"/>
  <c r="O13" i="2" s="1"/>
  <c r="P13" i="2" s="1"/>
  <c r="P5" i="1"/>
  <c r="P4" i="1"/>
  <c r="P3" i="1"/>
  <c r="N6" i="1"/>
  <c r="M13" i="2" s="1"/>
  <c r="N13" i="2" s="1"/>
  <c r="N5" i="1"/>
  <c r="N4" i="1"/>
  <c r="N3" i="1"/>
  <c r="L6" i="1"/>
  <c r="L5" i="1"/>
  <c r="L4" i="1"/>
  <c r="L3" i="1"/>
  <c r="J6" i="1"/>
  <c r="I13" i="2" s="1"/>
  <c r="J13" i="2" s="1"/>
  <c r="J5" i="1"/>
  <c r="J4" i="1"/>
  <c r="J3" i="1"/>
  <c r="H6" i="1"/>
  <c r="H5" i="1"/>
  <c r="H4" i="1"/>
  <c r="H3" i="1"/>
  <c r="F6" i="1"/>
  <c r="F5" i="1"/>
  <c r="F4" i="1"/>
  <c r="F3" i="1"/>
  <c r="D6" i="1"/>
  <c r="C13" i="2" s="1"/>
  <c r="D13" i="2" s="1"/>
  <c r="D5" i="1"/>
  <c r="D4" i="1"/>
  <c r="D3" i="1"/>
  <c r="B4" i="1"/>
  <c r="A76" i="2" s="1"/>
  <c r="B76" i="2" s="1"/>
  <c r="B6" i="1"/>
  <c r="A13" i="2" s="1"/>
  <c r="B13" i="2" s="1"/>
  <c r="B5" i="1"/>
  <c r="B3" i="1"/>
  <c r="A65" i="2" s="1"/>
  <c r="B65" i="2" s="1"/>
  <c r="F13" i="39" a="1"/>
  <c r="B8" i="39" a="1"/>
  <c r="F10" i="39" a="1"/>
  <c r="F6" i="39" a="1"/>
  <c r="B13" i="39" a="1"/>
  <c r="F9" i="39" a="1"/>
  <c r="F5" i="39" a="1"/>
  <c r="N7" i="39" a="1"/>
  <c r="J10" i="39" a="1"/>
  <c r="J6" i="39" a="1"/>
  <c r="J2" i="39" a="1"/>
  <c r="F29" i="39" a="1"/>
  <c r="F12" i="39" a="1"/>
  <c r="J22" i="39" a="1"/>
  <c r="F27" i="39" a="1"/>
  <c r="J8" i="39" a="1"/>
  <c r="F26" i="39" a="1"/>
  <c r="J14" i="39" a="1"/>
  <c r="B12" i="39" a="1"/>
  <c r="J12" i="39" a="1"/>
  <c r="J19" i="39" a="1"/>
  <c r="N6" i="39" a="1"/>
  <c r="J11" i="39" a="1"/>
  <c r="J3" i="39" a="1"/>
  <c r="J15" i="39" a="1"/>
  <c r="J7" i="39" a="1"/>
  <c r="B4" i="39" a="1"/>
  <c r="F28" i="39" a="1"/>
  <c r="F24" i="39" a="1"/>
  <c r="J18" i="39" a="1"/>
  <c r="B7" i="39" a="1"/>
  <c r="F25" i="39" a="1"/>
  <c r="N3" i="39" a="1"/>
  <c r="F11" i="39" a="1"/>
  <c r="N4" i="39" a="1"/>
  <c r="F3" i="39" a="1"/>
  <c r="J17" i="39" a="1"/>
  <c r="F14" i="39" a="1"/>
  <c r="B14" i="39" a="1"/>
  <c r="F2" i="39" a="1"/>
  <c r="N2" i="39" a="1"/>
  <c r="J9" i="39" a="1"/>
  <c r="J20" i="39" a="1"/>
  <c r="J16" i="39" a="1"/>
  <c r="J5" i="39" a="1"/>
  <c r="B9" i="39" a="1"/>
  <c r="B15" i="39" a="1"/>
  <c r="J13" i="39" a="1"/>
  <c r="F4" i="39" a="1"/>
  <c r="J4" i="39" a="1"/>
  <c r="N5" i="39" a="1"/>
  <c r="J21" i="39" a="1"/>
  <c r="F6" i="39" l="1"/>
  <c r="G6" i="39" s="1"/>
  <c r="B12" i="39"/>
  <c r="C12" i="39" s="1"/>
  <c r="J22" i="39"/>
  <c r="K22" i="39" s="1"/>
  <c r="N7" i="39"/>
  <c r="O7" i="39" s="1"/>
  <c r="F3" i="39"/>
  <c r="G3" i="39" s="1"/>
  <c r="J20" i="39"/>
  <c r="K20" i="39" s="1"/>
  <c r="F4" i="39"/>
  <c r="G4" i="39" s="1"/>
  <c r="J9" i="39"/>
  <c r="K9" i="39" s="1"/>
  <c r="F26" i="39"/>
  <c r="G26" i="39" s="1"/>
  <c r="J19" i="39"/>
  <c r="K19" i="39" s="1"/>
  <c r="J8" i="39"/>
  <c r="K8" i="39" s="1"/>
  <c r="F25" i="39"/>
  <c r="G25" i="39" s="1"/>
  <c r="J18" i="39"/>
  <c r="K18" i="39" s="1"/>
  <c r="F2" i="39"/>
  <c r="G2" i="39" s="1"/>
  <c r="J7" i="39"/>
  <c r="K7" i="39" s="1"/>
  <c r="B15" i="39"/>
  <c r="C15" i="39" s="1"/>
  <c r="F24" i="39"/>
  <c r="G24" i="39" s="1"/>
  <c r="J17" i="39"/>
  <c r="K17" i="39" s="1"/>
  <c r="J6" i="39"/>
  <c r="K6" i="39" s="1"/>
  <c r="B14" i="39"/>
  <c r="C14" i="39" s="1"/>
  <c r="F14" i="39"/>
  <c r="G14" i="39" s="1"/>
  <c r="J16" i="39"/>
  <c r="K16" i="39" s="1"/>
  <c r="N4" i="39"/>
  <c r="O4" i="39" s="1"/>
  <c r="F11" i="39"/>
  <c r="G11" i="39" s="1"/>
  <c r="J4" i="39"/>
  <c r="K4" i="39" s="1"/>
  <c r="J15" i="39"/>
  <c r="K15" i="39" s="1"/>
  <c r="N5" i="39"/>
  <c r="O5" i="39" s="1"/>
  <c r="J3" i="39"/>
  <c r="K3" i="39" s="1"/>
  <c r="F13" i="39"/>
  <c r="G13" i="39" s="1"/>
  <c r="J11" i="39"/>
  <c r="K11" i="39" s="1"/>
  <c r="F12" i="39"/>
  <c r="G12" i="39" s="1"/>
  <c r="F28" i="39"/>
  <c r="G28" i="39" s="1"/>
  <c r="B4" i="39"/>
  <c r="C4" i="39" s="1"/>
  <c r="F9" i="39"/>
  <c r="G9" i="39" s="1"/>
  <c r="J21" i="39"/>
  <c r="K21" i="39" s="1"/>
  <c r="F5" i="39"/>
  <c r="G5" i="39" s="1"/>
  <c r="B13" i="39"/>
  <c r="C13" i="39" s="1"/>
  <c r="J2" i="39"/>
  <c r="K2" i="39" s="1"/>
  <c r="J10" i="39"/>
  <c r="K10" i="39" s="1"/>
  <c r="J5" i="39"/>
  <c r="K5" i="39" s="1"/>
  <c r="N6" i="39"/>
  <c r="O6" i="39" s="1"/>
  <c r="B9" i="39"/>
  <c r="C9" i="39" s="1"/>
  <c r="J14" i="39"/>
  <c r="K14" i="39" s="1"/>
  <c r="B8" i="39"/>
  <c r="C8" i="39" s="1"/>
  <c r="J13" i="39"/>
  <c r="K13" i="39" s="1"/>
  <c r="B7" i="39"/>
  <c r="C7" i="39" s="1"/>
  <c r="N3" i="39"/>
  <c r="O3" i="39" s="1"/>
  <c r="F10" i="39"/>
  <c r="G10" i="39" s="1"/>
  <c r="J12" i="39"/>
  <c r="K12" i="39" s="1"/>
  <c r="F29" i="39"/>
  <c r="G29" i="39" s="1"/>
  <c r="N2" i="39"/>
  <c r="O2" i="39" s="1"/>
  <c r="F27" i="39"/>
  <c r="G27" i="39"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<sst xmlns="http://schemas.openxmlformats.org/spreadsheetml/2006/main" count="16421" uniqueCount="8006">
  <si>
    <t>Classe d'objet: Ceintures</t>
  </si>
  <si>
    <t>Rareté: Unique</t>
  </si>
  <si>
    <t>Aube de Dyadian</t>
  </si>
  <si>
    <t>Ceinture lourde</t>
  </si>
  <si>
    <t>--------</t>
  </si>
  <si>
    <t>Prérequis::</t>
  </si>
  <si>
    <t>Niveau: 66</t>
  </si>
  <si>
    <t>Niveau de l'objet: 85</t>
  </si>
  <si>
    <t>1% des Dégâts Drainent de la Vie aux Ennemis Frigorifiés</t>
  </si>
  <si>
    <t>Vous n'infligez pas de Dégâts physiques</t>
  </si>
  <si>
    <t>De sa froide résolution</t>
  </si>
  <si>
    <t>Et de son sacrifice par le feu</t>
  </si>
  <si>
    <t>Sont nés les jumeaux éternels.</t>
  </si>
  <si>
    <t>{</t>
  </si>
  <si>
    <t xml:space="preserve">    {</t>
  </si>
  <si>
    <t>}</t>
  </si>
  <si>
    <t>English</t>
  </si>
  <si>
    <t>Unique</t>
  </si>
  <si>
    <t>Rare</t>
  </si>
  <si>
    <t>https://www.pathofexile.com/api/trade/</t>
  </si>
  <si>
    <t>https://web.poecdn.com/</t>
  </si>
  <si>
    <t>en</t>
  </si>
  <si>
    <t>-</t>
  </si>
  <si>
    <t>Class</t>
  </si>
  <si>
    <t>German</t>
  </si>
  <si>
    <t>de</t>
  </si>
  <si>
    <t>Spanish</t>
  </si>
  <si>
    <t>French</t>
  </si>
  <si>
    <t>Japanese</t>
  </si>
  <si>
    <t>Korean</t>
  </si>
  <si>
    <t>Portuguese</t>
  </si>
  <si>
    <t>Russian</t>
  </si>
  <si>
    <t>Thai</t>
  </si>
  <si>
    <t>Traditional Chinese</t>
  </si>
  <si>
    <t>es</t>
  </si>
  <si>
    <t>fr</t>
  </si>
  <si>
    <t>jp</t>
  </si>
  <si>
    <t>kr</t>
  </si>
  <si>
    <t>pt</t>
  </si>
  <si>
    <t>ru</t>
  </si>
  <si>
    <t>th</t>
  </si>
  <si>
    <t>zh</t>
  </si>
  <si>
    <t>https://de.pathofexile.com/api/trade/</t>
  </si>
  <si>
    <t>https://es.pathofexile.com/api/trade/</t>
  </si>
  <si>
    <t>https://fr.pathofexile.com/api/trade/</t>
  </si>
  <si>
    <t>https://jp.pathofexile.com/api/trade/</t>
  </si>
  <si>
    <t>https://poe.game.daum.net/api/trade/</t>
  </si>
  <si>
    <t>https://br.pathofexile.com/api/trade/</t>
  </si>
  <si>
    <t>https://ru.pathofexile.com/api/trade/</t>
  </si>
  <si>
    <t>https://th.pathofexile.com/api/trade/</t>
  </si>
  <si>
    <t>Unidentified</t>
  </si>
  <si>
    <t>Quality</t>
  </si>
  <si>
    <t>Level</t>
  </si>
  <si>
    <t>Corrupted</t>
  </si>
  <si>
    <t>Sockets</t>
  </si>
  <si>
    <t>Experience</t>
  </si>
  <si>
    <t>Armour</t>
  </si>
  <si>
    <t>Requirements</t>
  </si>
  <si>
    <t>Superior</t>
  </si>
  <si>
    <t>Blighted</t>
  </si>
  <si>
    <t>Item Level</t>
  </si>
  <si>
    <t>Physical Damage</t>
  </si>
  <si>
    <t>Elemental Damage</t>
  </si>
  <si>
    <t>Energy Shield</t>
  </si>
  <si>
    <t>Evasion Rating</t>
  </si>
  <si>
    <t>Chance to Block</t>
  </si>
  <si>
    <t>Attacks per Second</t>
  </si>
  <si>
    <t>Critical Strike Chance</t>
  </si>
  <si>
    <t>Map Tier</t>
  </si>
  <si>
    <t>Item Quantity</t>
  </si>
  <si>
    <t>Item Rarity</t>
  </si>
  <si>
    <t>Monster Pack Size</t>
  </si>
  <si>
    <t>Area Level</t>
  </si>
  <si>
    <t>Heist</t>
  </si>
  <si>
    <t>Gloves</t>
  </si>
  <si>
    <t>Boots</t>
  </si>
  <si>
    <t>Helmets</t>
  </si>
  <si>
    <t>Shields</t>
  </si>
  <si>
    <t>Quivers</t>
  </si>
  <si>
    <t>Item Class: Belts</t>
  </si>
  <si>
    <t>Rarity: Unique</t>
  </si>
  <si>
    <t>Requirements:</t>
  </si>
  <si>
    <t>Item Level: 81</t>
  </si>
  <si>
    <t>0.4% of Physical Attack Damage Leeched as Mana</t>
  </si>
  <si>
    <t>Values</t>
  </si>
  <si>
    <t>Dyadian Dawn</t>
  </si>
  <si>
    <t>Heavy Belt</t>
  </si>
  <si>
    <t>Level: 52</t>
  </si>
  <si>
    <t>Item Level: 84</t>
  </si>
  <si>
    <t>+25 to Strength (implicit)</t>
  </si>
  <si>
    <t>+73 to maximum Life</t>
  </si>
  <si>
    <t>+29% to Fire Resistance</t>
  </si>
  <si>
    <t>+32% to Cold Resistance</t>
  </si>
  <si>
    <t>1% of Attack Damage Leeched as Life against Chilled Enemies</t>
  </si>
  <si>
    <t>Ignites you inflict with Attacks deal Damage 35% faster</t>
  </si>
  <si>
    <t>Deal no Physical Damage</t>
  </si>
  <si>
    <t>With her cold resolve</t>
  </si>
  <si>
    <t>And burning sacrifice</t>
  </si>
  <si>
    <t>The Eternal twins arose.</t>
  </si>
  <si>
    <t>Item Class: Claws</t>
  </si>
  <si>
    <t>Bloodseeker</t>
  </si>
  <si>
    <t>Hellion's Paw</t>
  </si>
  <si>
    <t>Claw</t>
  </si>
  <si>
    <t>Physical Damage: 99-171 (augmented)</t>
  </si>
  <si>
    <t>Critical Strike Chance: 6.00%</t>
  </si>
  <si>
    <t>Attacks per Second: 1.68 (augmented)</t>
  </si>
  <si>
    <t>Weapon Range: 1.1 metres</t>
  </si>
  <si>
    <t>Level: 62</t>
  </si>
  <si>
    <t>Dex: 131</t>
  </si>
  <si>
    <t>Int: 95</t>
  </si>
  <si>
    <t xml:space="preserve">Sockets: G-B </t>
  </si>
  <si>
    <t>1.6% of Physical Attack Damage Leeched as Life (implicit)</t>
  </si>
  <si>
    <t>155% increased Physical Damage</t>
  </si>
  <si>
    <t>Adds 10 to 12 Physical Damage</t>
  </si>
  <si>
    <t>5% increased Attack Speed</t>
  </si>
  <si>
    <t>1.2% of Physical Attack Damage Leeched as Life</t>
  </si>
  <si>
    <t>5% increased Movement Speed</t>
  </si>
  <si>
    <t>Life Leech from Hits with this Weapon is instant</t>
  </si>
  <si>
    <t>For the life of the flesh will always be in the blood.</t>
  </si>
  <si>
    <t>- Atalui, Vaal Priestess</t>
  </si>
  <si>
    <t>Item Class: Rune Daggers</t>
  </si>
  <si>
    <t>White Wind</t>
  </si>
  <si>
    <t>Imperial Skean</t>
  </si>
  <si>
    <t>Rune Dagger</t>
  </si>
  <si>
    <t>Physical Damage: 18-73</t>
  </si>
  <si>
    <t>Elemental Damage: 167-304 (augmented)</t>
  </si>
  <si>
    <t>Critical Strike Chance: 6.30%</t>
  </si>
  <si>
    <t>Weapon Range: 1 metre</t>
  </si>
  <si>
    <t>Level: 66</t>
  </si>
  <si>
    <t>Dex: 95</t>
  </si>
  <si>
    <t>Int: 131</t>
  </si>
  <si>
    <t xml:space="preserve">Sockets: B </t>
  </si>
  <si>
    <t>30% increased Global Critical Strike Chance (implicit)</t>
  </si>
  <si>
    <t>Adds 167 to 304 Cold Damage</t>
  </si>
  <si>
    <t>12% increased Attack Speed</t>
  </si>
  <si>
    <t>+368 to Evasion Rating</t>
  </si>
  <si>
    <t>100% increased Cold Damage while your Off Hand is empty</t>
  </si>
  <si>
    <t>+20% chance to Suppress Spell Damage while your Off Hand is empty</t>
  </si>
  <si>
    <t xml:space="preserve">The Maraketh fear very little, </t>
  </si>
  <si>
    <t>but they dare not whisper the name</t>
  </si>
  <si>
    <t>of the demon that flies on Winter's gales.</t>
  </si>
  <si>
    <t>Item Class: Daggers</t>
  </si>
  <si>
    <t>Goredrill</t>
  </si>
  <si>
    <t>Skinning Knife</t>
  </si>
  <si>
    <t>Dagger</t>
  </si>
  <si>
    <t>Physical Damage: 8-31 (augmented)</t>
  </si>
  <si>
    <t>Critical Strike Chance: 7.80% (augmented)</t>
  </si>
  <si>
    <t>Attacks per Second: 1.45</t>
  </si>
  <si>
    <t>Level: 5</t>
  </si>
  <si>
    <t>Dex: 16</t>
  </si>
  <si>
    <t xml:space="preserve">Sockets: G-G </t>
  </si>
  <si>
    <t>+14 to Dexterity</t>
  </si>
  <si>
    <t>57% increased Physical Damage</t>
  </si>
  <si>
    <t>Adds 1 to 3 Physical Damage</t>
  </si>
  <si>
    <t>30% increased Critical Strike Chance</t>
  </si>
  <si>
    <t>40% increased Attack Damage against Bleeding Enemies</t>
  </si>
  <si>
    <t>50% chance to cause Bleeding on Critical Strike</t>
  </si>
  <si>
    <t>A tap on the shoulder</t>
  </si>
  <si>
    <t>A peck on the cheek</t>
  </si>
  <si>
    <t>A sip of your wine</t>
  </si>
  <si>
    <t>So red and so sleek</t>
  </si>
  <si>
    <t>Item Class: Wands</t>
  </si>
  <si>
    <t>Lifesprig</t>
  </si>
  <si>
    <t>Driftwood Wand</t>
  </si>
  <si>
    <t>Wand</t>
  </si>
  <si>
    <t>Physical Damage: 5-9</t>
  </si>
  <si>
    <t>Critical Strike Chance: 7.00%</t>
  </si>
  <si>
    <t>Attacks per Second: 1.40</t>
  </si>
  <si>
    <t xml:space="preserve">Sockets: G </t>
  </si>
  <si>
    <t>Item Level: 80</t>
  </si>
  <si>
    <t>12% increased Spell Damage (implicit)</t>
  </si>
  <si>
    <t>+1 to Level of Socketed Spell Gems</t>
  </si>
  <si>
    <t>26% increased Spell Damage</t>
  </si>
  <si>
    <t>6% increased Cast Speed</t>
  </si>
  <si>
    <t>+16 to maximum Life</t>
  </si>
  <si>
    <t>+19 to maximum Mana</t>
  </si>
  <si>
    <t>Regenerate 7 Life over 1 second when you Cast a Spell</t>
  </si>
  <si>
    <t>From the smallest seeds</t>
  </si>
  <si>
    <t>To the tallest redwoods,</t>
  </si>
  <si>
    <t>Life endures in Wraeclast.</t>
  </si>
  <si>
    <t>Item Class: One Hand Swords</t>
  </si>
  <si>
    <t>Ichimonji</t>
  </si>
  <si>
    <t>Corsair Sword</t>
  </si>
  <si>
    <t>One Handed Sword</t>
  </si>
  <si>
    <t>Physical Damage: 55-183 (augmented)</t>
  </si>
  <si>
    <t>Critical Strike Chance: 5.00%</t>
  </si>
  <si>
    <t>Attacks per Second: 1.91 (augmented)</t>
  </si>
  <si>
    <t>Level: 58</t>
  </si>
  <si>
    <t>Str: 81</t>
  </si>
  <si>
    <t>Dex: 117</t>
  </si>
  <si>
    <t xml:space="preserve">Sockets: R B G </t>
  </si>
  <si>
    <t>Item Level: 78</t>
  </si>
  <si>
    <t>40% increased Global Accuracy Rating (implicit)</t>
  </si>
  <si>
    <t>85% increased Physical Damage</t>
  </si>
  <si>
    <t>Adds 10 to 19 Physical Damage</t>
  </si>
  <si>
    <t>23% increased Attack Speed</t>
  </si>
  <si>
    <t>10% increased Effect of Buffs on you</t>
  </si>
  <si>
    <t>10% increased Mana Reservation Efficiency of Skills</t>
  </si>
  <si>
    <t>Allies' Aura Buffs do not affect you</t>
  </si>
  <si>
    <t>Your Aura Buffs do not affect allies</t>
  </si>
  <si>
    <t>Master yourself before you seek to master others.</t>
  </si>
  <si>
    <t>Item Class: Thrusting One Hand Swords</t>
  </si>
  <si>
    <t>Aurumvorax</t>
  </si>
  <si>
    <t>Basket Rapier</t>
  </si>
  <si>
    <t>Physical Damage: 27-62 (augmented)</t>
  </si>
  <si>
    <t>Critical Strike Chance: 5.50%</t>
  </si>
  <si>
    <t>Attacks per Second: 1.55</t>
  </si>
  <si>
    <t>Weapon Range: 1.4 metres</t>
  </si>
  <si>
    <t>Level: 17</t>
  </si>
  <si>
    <t>Dex: 62</t>
  </si>
  <si>
    <t xml:space="preserve">Sockets: G R-G </t>
  </si>
  <si>
    <t>Item Level: 73</t>
  </si>
  <si>
    <t>+25% to Global Critical Strike Multiplier (implicit)</t>
  </si>
  <si>
    <t>149% increased Physical Damage</t>
  </si>
  <si>
    <t>20% reduced Rarity of Items found</t>
  </si>
  <si>
    <t>+57% to all Elemental Resistances</t>
  </si>
  <si>
    <t>Grants 3 Life per Enemy Hit</t>
  </si>
  <si>
    <t>Many a collector of rarities discovered to his dismay</t>
  </si>
  <si>
    <t>that the intelligent spirit in this sword</t>
  </si>
  <si>
    <t>does not like to share its master's attention</t>
  </si>
  <si>
    <t>Item Class: Two Hand Swords</t>
  </si>
  <si>
    <t>Terminus Est</t>
  </si>
  <si>
    <t>Tiger Sword</t>
  </si>
  <si>
    <t>Two Handed Sword</t>
  </si>
  <si>
    <t>Physical Damage: 192-316 (augmented)</t>
  </si>
  <si>
    <t>Critical Strike Chance: 7.90% (augmented)</t>
  </si>
  <si>
    <t>Weapon Range: 1.3 metres</t>
  </si>
  <si>
    <t>Level: 51</t>
  </si>
  <si>
    <t>Str: 80</t>
  </si>
  <si>
    <t>Dex: 96</t>
  </si>
  <si>
    <t xml:space="preserve">Sockets: G R </t>
  </si>
  <si>
    <t>Item Level: 70</t>
  </si>
  <si>
    <t>+360 to Accuracy Rating (implicit)</t>
  </si>
  <si>
    <t>255% increased Physical Damage</t>
  </si>
  <si>
    <t>20% increased Attack Speed</t>
  </si>
  <si>
    <t>58% increased Critical Strike Chance</t>
  </si>
  <si>
    <t>Gain 10 Mana per Enemy Killed</t>
  </si>
  <si>
    <t>10% increased Movement Speed</t>
  </si>
  <si>
    <t>Gain a Frenzy Charge on Critical Strike</t>
  </si>
  <si>
    <t>His final sensation was of the executioner's blade.</t>
  </si>
  <si>
    <t>It was not cold, instead warm and reassuring,</t>
  </si>
  <si>
    <t>murmuring a promise of better times ahead.</t>
  </si>
  <si>
    <t>Smiling, he returned death's embrace.</t>
  </si>
  <si>
    <t>Item Class: One Hand Axes</t>
  </si>
  <si>
    <t>Dyadus</t>
  </si>
  <si>
    <t>Infernal Axe</t>
  </si>
  <si>
    <t>One Handed Axe</t>
  </si>
  <si>
    <t>Physical Damage: 51-85</t>
  </si>
  <si>
    <t>Elemental Damage: 276-323 (augmented), 282-315 (augmented)</t>
  </si>
  <si>
    <t>Attacks per Second: 1.45 (augmented)</t>
  </si>
  <si>
    <t>Level: 69</t>
  </si>
  <si>
    <t>Str: 158</t>
  </si>
  <si>
    <t>Dex: 76</t>
  </si>
  <si>
    <t xml:space="preserve">Sockets: R-G </t>
  </si>
  <si>
    <t>Item Level: 83</t>
  </si>
  <si>
    <t>Adds 276 to 323 Fire Damage in Main Hand</t>
  </si>
  <si>
    <t>Adds 282 to 315 Cold Damage in Off Hand</t>
  </si>
  <si>
    <t>11% increased Attack Speed</t>
  </si>
  <si>
    <t>25% chance to Ignite when in Main Hand</t>
  </si>
  <si>
    <t>100% increased Damage with Ignite inflicted on Chilled Enemies</t>
  </si>
  <si>
    <t>Chill Enemies for 1 second on Hit with this Weapon when in Off Hand</t>
  </si>
  <si>
    <t>Born of love, forged in blood</t>
  </si>
  <si>
    <t>He burned as a torch in the blackest night</t>
  </si>
  <si>
    <t>She shone as ice in the winter sun</t>
  </si>
  <si>
    <t>Proudly, fiercely</t>
  </si>
  <si>
    <t>At their mother's side, forever.</t>
  </si>
  <si>
    <t>Item Class: Two Hand Axes</t>
  </si>
  <si>
    <t>Limbsplit</t>
  </si>
  <si>
    <t>Woodsplitter</t>
  </si>
  <si>
    <t>Two Handed Axe</t>
  </si>
  <si>
    <t>Physical Damage: 45-91 (augmented)</t>
  </si>
  <si>
    <t>Attacks per Second: 1.30</t>
  </si>
  <si>
    <t>Level: 13</t>
  </si>
  <si>
    <t>Str: 36</t>
  </si>
  <si>
    <t>Dex: 17</t>
  </si>
  <si>
    <t>+1 to Level of Socketed Strength Gems</t>
  </si>
  <si>
    <t>+27 to Strength</t>
  </si>
  <si>
    <t>86% increased Physical Damage</t>
  </si>
  <si>
    <t>Adds 5 to 10 Physical Damage</t>
  </si>
  <si>
    <t>Culling Strike</t>
  </si>
  <si>
    <t>Swinging through the air, it sings</t>
  </si>
  <si>
    <t>of sundered, severed, missing things.</t>
  </si>
  <si>
    <t>Item Class: One Hand Maces</t>
  </si>
  <si>
    <t>Frostbreath</t>
  </si>
  <si>
    <t>Ornate Mace</t>
  </si>
  <si>
    <t>One Handed Mace</t>
  </si>
  <si>
    <t>Physical Damage: 83-105 (augmented)</t>
  </si>
  <si>
    <t>Elemental Damage: 31-40 (augmented)</t>
  </si>
  <si>
    <t>Attacks per Second: 1.36 (augmented)</t>
  </si>
  <si>
    <t>Level: 50</t>
  </si>
  <si>
    <t>Str: 161</t>
  </si>
  <si>
    <t xml:space="preserve">Sockets: R </t>
  </si>
  <si>
    <t>Item Level: 77</t>
  </si>
  <si>
    <t>15% reduced Enemy Stun Threshold (implicit)</t>
  </si>
  <si>
    <t>Adds 30 to 38 Physical Damage</t>
  </si>
  <si>
    <t>Adds 31 to 40 Cold Damage</t>
  </si>
  <si>
    <t>13% increased Attack Speed</t>
  </si>
  <si>
    <t>+50% to Fire Resistance</t>
  </si>
  <si>
    <t>39% increased Chill Duration on Enemies</t>
  </si>
  <si>
    <t>Attacks with this Weapon deal Double Damage to Chilled Enemies</t>
  </si>
  <si>
    <t>A merciful murderer swept through the streets of Sarn</t>
  </si>
  <si>
    <t>Robbing breath from the weak and worthless.</t>
  </si>
  <si>
    <t>Item Class: Two Hand Maces</t>
  </si>
  <si>
    <t>Voidhome</t>
  </si>
  <si>
    <t>Dread Maul</t>
  </si>
  <si>
    <t>Two Handed Mace</t>
  </si>
  <si>
    <t>Physical Damage: 193-260 (augmented)</t>
  </si>
  <si>
    <t>Attacks per Second: 1.88 (augmented)</t>
  </si>
  <si>
    <t>Level: 54</t>
  </si>
  <si>
    <t>Str: 173</t>
  </si>
  <si>
    <t xml:space="preserve">Sockets: R R-R </t>
  </si>
  <si>
    <t>Item Level: 79</t>
  </si>
  <si>
    <t>30% increased Stun Duration on Enemies (implicit)</t>
  </si>
  <si>
    <t>150% increased Physical Damage</t>
  </si>
  <si>
    <t>50% increased Attack Speed</t>
  </si>
  <si>
    <t>50% reduced Rarity of Items found</t>
  </si>
  <si>
    <t>35% reduced Experience gain</t>
  </si>
  <si>
    <t>Cursed is the star whence it came.</t>
  </si>
  <si>
    <t>Item Class: Sceptres</t>
  </si>
  <si>
    <t>Bitterdream</t>
  </si>
  <si>
    <t>Shadow Sceptre</t>
  </si>
  <si>
    <t>Sceptre</t>
  </si>
  <si>
    <t>Physical Damage: 29-44</t>
  </si>
  <si>
    <t>Critical Strike Chance: 6.20%</t>
  </si>
  <si>
    <t>Attacks per Second: 1.25</t>
  </si>
  <si>
    <t>Level: 32</t>
  </si>
  <si>
    <t>Str: 52</t>
  </si>
  <si>
    <t>Int: 62</t>
  </si>
  <si>
    <t xml:space="preserve">Sockets: B-R </t>
  </si>
  <si>
    <t>22% increased Elemental Damage (implicit)</t>
  </si>
  <si>
    <t>Socketed Gems are Supported by Level 1 Hypothermia</t>
  </si>
  <si>
    <t>Socketed Gems are Supported by Level 1 Ice Bite</t>
  </si>
  <si>
    <t>Socketed Gems are Supported by Level 1 Cold Penetration</t>
  </si>
  <si>
    <t>Socketed Gems are Supported by Level 1 Mana Leech</t>
  </si>
  <si>
    <t>Socketed Gems are Supported by Level 10 Added Cold Damage</t>
  </si>
  <si>
    <t>Socketed Gems are Supported by Level 1 Inspiration</t>
  </si>
  <si>
    <t>Fight not the cold</t>
  </si>
  <si>
    <t>Forsake hope</t>
  </si>
  <si>
    <t>Be still.</t>
  </si>
  <si>
    <t>Item Class: Bows</t>
  </si>
  <si>
    <t>Storm Cloud</t>
  </si>
  <si>
    <t>Long Bow</t>
  </si>
  <si>
    <t>Bow</t>
  </si>
  <si>
    <t>Elemental Damage: 1-85 (augmented)</t>
  </si>
  <si>
    <t>Attacks per Second: 1.93 (augmented)</t>
  </si>
  <si>
    <t>Level: 9</t>
  </si>
  <si>
    <t>Dex: 38</t>
  </si>
  <si>
    <t>No Physical Damage</t>
  </si>
  <si>
    <t>Adds 1 to 85 Lightning Damage</t>
  </si>
  <si>
    <t>48% increased Attack Speed</t>
  </si>
  <si>
    <t>Centuries of development in steel armoursmithing</t>
  </si>
  <si>
    <t>turned the armies of the Eternal Empire</t>
  </si>
  <si>
    <t>into very effective lightning rods.</t>
  </si>
  <si>
    <t>Item Class: Staves</t>
  </si>
  <si>
    <t>Fencoil</t>
  </si>
  <si>
    <t>Gnarled Branch</t>
  </si>
  <si>
    <t>Staff</t>
  </si>
  <si>
    <t>Physical Damage: 9-19</t>
  </si>
  <si>
    <t xml:space="preserve">Sockets: B-B </t>
  </si>
  <si>
    <t>+18% Chance to Block Attack Damage while wielding a Staff (implicit)</t>
  </si>
  <si>
    <t>Socketed Gems are Supported by Level 8 Trap</t>
  </si>
  <si>
    <t>45% increased Global Damage</t>
  </si>
  <si>
    <t>18% increased maximum Life</t>
  </si>
  <si>
    <t>11% increased maximum Mana</t>
  </si>
  <si>
    <t>You've no reason for fear when you're a root in a fen</t>
  </si>
  <si>
    <t>- Old Ezomyte saying.</t>
  </si>
  <si>
    <t>Item Class: Warstaves</t>
  </si>
  <si>
    <t>Realmshaper</t>
  </si>
  <si>
    <t>Iron Staff</t>
  </si>
  <si>
    <t>Warstaff</t>
  </si>
  <si>
    <t>Physical Damage: 14-42</t>
  </si>
  <si>
    <t>Elemental Damage: 13-25 (augmented), 13-24 (augmented)</t>
  </si>
  <si>
    <t>Critical Strike Chance: 6.40%</t>
  </si>
  <si>
    <t>Str: 27</t>
  </si>
  <si>
    <t>Int: 27</t>
  </si>
  <si>
    <t xml:space="preserve">Sockets: R-R </t>
  </si>
  <si>
    <t>+1 to Level of Socketed Fire Gems</t>
  </si>
  <si>
    <t>+1 to Level of Socketed Cold Gems</t>
  </si>
  <si>
    <t>Socketed Gems are Supported by Level 5 Cold to Fire</t>
  </si>
  <si>
    <t>Adds 13 to 25 Fire Damage</t>
  </si>
  <si>
    <t>Adds 13 to 24 Cold Damage</t>
  </si>
  <si>
    <t>48% increased Elemental Damage</t>
  </si>
  <si>
    <t>God's creations always begin and end_x000D_
with flames and ice._x000D_
We should count ourselves lucky when we see neither.</t>
  </si>
  <si>
    <t>- Archbishop Geofri</t>
  </si>
  <si>
    <t>Item Class: Quivers</t>
  </si>
  <si>
    <t>Rearguard</t>
  </si>
  <si>
    <t>Broadhead Arrow Quiver</t>
  </si>
  <si>
    <t>Level: 28</t>
  </si>
  <si>
    <t>Item Level: 82</t>
  </si>
  <si>
    <t>6 to 12 Added Physical Damage with Bow Attacks (implicit)</t>
  </si>
  <si>
    <t>24% Chance to Block Attack Damage</t>
  </si>
  <si>
    <t>15% Chance to Block Spell Damage</t>
  </si>
  <si>
    <t>+421 to Armour</t>
  </si>
  <si>
    <t>20% increased Projectile Speed</t>
  </si>
  <si>
    <t>50% increased Stun and Block Recovery</t>
  </si>
  <si>
    <t>19% increased Projectile Damage</t>
  </si>
  <si>
    <t>It's a rare man that has eyes in the back of his head.</t>
  </si>
  <si>
    <t>- Kiravi, Vaal Archer</t>
  </si>
  <si>
    <t>Item Class: Gloves</t>
  </si>
  <si>
    <t>Haemophilia</t>
  </si>
  <si>
    <t>Serpentscale Gauntlets</t>
  </si>
  <si>
    <t>Armour: 78</t>
  </si>
  <si>
    <t>Evasion Rating: 78</t>
  </si>
  <si>
    <t>Level: 43</t>
  </si>
  <si>
    <t>Str: 34</t>
  </si>
  <si>
    <t>Dex: 34</t>
  </si>
  <si>
    <t xml:space="preserve">Sockets: R-R-G </t>
  </si>
  <si>
    <t>+25 to Strength</t>
  </si>
  <si>
    <t>25% increased Damage over Time</t>
  </si>
  <si>
    <t>Attacks have 25% chance to cause Bleeding</t>
  </si>
  <si>
    <t>34% increased Attack Damage against Bleeding Enemies</t>
  </si>
  <si>
    <t>Bleeding Enemies you Kill Explode, dealing 5% of</t>
  </si>
  <si>
    <t>their Maximum Life as Physical Damage</t>
  </si>
  <si>
    <t>25% reduced Bleeding Duration</t>
  </si>
  <si>
    <t>A master artist takes his time when he's painting._x000D_
Unfortunately, my kind doesn't often have that luxury.</t>
  </si>
  <si>
    <t>Item Class: Boots</t>
  </si>
  <si>
    <t>Wanderlust</t>
  </si>
  <si>
    <t>Wool Shoes</t>
  </si>
  <si>
    <t>Energy Shield: 22 (augmented)</t>
  </si>
  <si>
    <t xml:space="preserve">Sockets: G-B-B B </t>
  </si>
  <si>
    <t>Item Level: 85</t>
  </si>
  <si>
    <t>+5 to Dexterity</t>
  </si>
  <si>
    <t>+17 to maximum Energy Shield</t>
  </si>
  <si>
    <t>37% increased Mana Regeneration Rate</t>
  </si>
  <si>
    <t>20% increased Movement Speed</t>
  </si>
  <si>
    <t>Cannot be Frozen</t>
  </si>
  <si>
    <t>All the world is my home.</t>
  </si>
  <si>
    <t>Item Class: Body Armours</t>
  </si>
  <si>
    <t>Carcass Jack</t>
  </si>
  <si>
    <t>Varnished Coat</t>
  </si>
  <si>
    <t>Evasion Rating: 964 (augmented)</t>
  </si>
  <si>
    <t>Energy Shield: 197 (augmented)</t>
  </si>
  <si>
    <t>Int: 96</t>
  </si>
  <si>
    <t>Item Level: 76</t>
  </si>
  <si>
    <t>149% increased Evasion and Energy Shield</t>
  </si>
  <si>
    <t>+51 to maximum Life</t>
  </si>
  <si>
    <t>+11% to all Elemental Resistances</t>
  </si>
  <si>
    <t>47% increased Area of Effect</t>
  </si>
  <si>
    <t>42% increased Area Damage</t>
  </si>
  <si>
    <t>Extra gore</t>
  </si>
  <si>
    <t>...The discomfort shown by the others is amusing, but none_x000D_
can deny that my work has made quite the splash...</t>
  </si>
  <si>
    <t>- Maligaro's Journal</t>
  </si>
  <si>
    <t>Item Class: Helmets</t>
  </si>
  <si>
    <t>Abyssus</t>
  </si>
  <si>
    <t>Ezomyte Burgonet</t>
  </si>
  <si>
    <t>Armour: 702 (augmented)</t>
  </si>
  <si>
    <t>Level: 60</t>
  </si>
  <si>
    <t>Str: 138</t>
  </si>
  <si>
    <t>+21 to all Attributes</t>
  </si>
  <si>
    <t>Adds 40 to 60 Physical Damage to Attacks</t>
  </si>
  <si>
    <t>+112% to Melee Critical Strike Multiplier</t>
  </si>
  <si>
    <t>103% increased Armour</t>
  </si>
  <si>
    <t>49% increased Physical Damage taken</t>
  </si>
  <si>
    <t>When you have slain all of your enemies,</t>
  </si>
  <si>
    <t>what is left to fear?</t>
  </si>
  <si>
    <t>Item Class: Shields</t>
  </si>
  <si>
    <t>Mistwall</t>
  </si>
  <si>
    <t>Lacquered Buckler</t>
  </si>
  <si>
    <t>Chance to Block: 24%</t>
  </si>
  <si>
    <t>Evasion Rating: 1154 (augmented)</t>
  </si>
  <si>
    <t>Dex: 154</t>
  </si>
  <si>
    <t>6% increased Movement Speed (implicit)</t>
  </si>
  <si>
    <t>142% increased Evasion Rating</t>
  </si>
  <si>
    <t>+16% to Fire and Cold Resistances</t>
  </si>
  <si>
    <t>+10% chance to Avoid Elemental Damage from Hits while Phasing</t>
  </si>
  <si>
    <t>You are at Maximum Chance to Block Attack Damage if you have not Blocked Recently</t>
  </si>
  <si>
    <t>You have Phasing if you have Blocked Recently</t>
  </si>
  <si>
    <t>Light as a board,</t>
  </si>
  <si>
    <t>Stiff as a feather.</t>
  </si>
  <si>
    <t>Item Class: Utility Flasks</t>
  </si>
  <si>
    <t>Rarity: Magic</t>
  </si>
  <si>
    <t>Quality: +20% (augmented)</t>
  </si>
  <si>
    <t>Currently has 0 Charges</t>
  </si>
  <si>
    <t>Right click to drink. Can only hold charges while in belt. Refills as you kill monsters.</t>
  </si>
  <si>
    <t>Scholar's Silver Flask of the Pangolin</t>
  </si>
  <si>
    <t>Quality: +2% (augmented)</t>
  </si>
  <si>
    <t>Lasts 6.10 (augmented) Seconds</t>
  </si>
  <si>
    <t>Consumes 32 (augmented) of 60 Charges on use</t>
  </si>
  <si>
    <t>Onslaught</t>
  </si>
  <si>
    <t>Level: 46</t>
  </si>
  <si>
    <t>Item Level: 63</t>
  </si>
  <si>
    <t>18% reduced Charges per use</t>
  </si>
  <si>
    <t>53% increased Armour during Effect</t>
  </si>
  <si>
    <t>Item Class: Heist Brooches</t>
  </si>
  <si>
    <t>Rarity: Rare</t>
  </si>
  <si>
    <t>Horror Gorget</t>
  </si>
  <si>
    <t>Silver Brooch</t>
  </si>
  <si>
    <t>Any Heist member can equip this item.</t>
  </si>
  <si>
    <t>Level 2 in Any Job</t>
  </si>
  <si>
    <t>14% increased Rarity of Items dropped in Heists (implicit)</t>
  </si>
  <si>
    <t>38% increased Damage</t>
  </si>
  <si>
    <t>Heist Chests have a 7% chance to Duplicate contained Delirium Orbs and Splinters</t>
  </si>
  <si>
    <t>7% reduced Hiring Fee</t>
  </si>
  <si>
    <t>23% increased Rarity of Items dropped in Heists</t>
  </si>
  <si>
    <t>Can only be equipped to Heist members.</t>
  </si>
  <si>
    <t>Item Class: Maps</t>
  </si>
  <si>
    <t>Rarity: Normal</t>
  </si>
  <si>
    <t>Area is infested with Fungal Growths (implicit)</t>
  </si>
  <si>
    <t>Map's Item Quantity Modifiers also affect Blight Chest count at 25% value (implicit)</t>
  </si>
  <si>
    <t>Can be Anointed up to 3 times (implicit)</t>
  </si>
  <si>
    <t>Natural inhabitants of this area have been removed (implicit)</t>
  </si>
  <si>
    <t>Travel to this Map by using it in a personal Map Device. Maps can only be used once.</t>
  </si>
  <si>
    <t>Item Class: Skill Gems</t>
  </si>
  <si>
    <t>Rarity: Gem</t>
  </si>
  <si>
    <t>Place into an item socket of the right colour to gain this skill. Right click to remove from a socket.</t>
  </si>
  <si>
    <t>Item Class: Support Gems</t>
  </si>
  <si>
    <t>Level: 16</t>
  </si>
  <si>
    <t>This is a Support Gem. It does not grant a bonus to your character, but to skills in sockets connected to it. Place into an item socket connected to a socket containing the Skill Gem you wish to augment. Right click to remove from a socket.</t>
  </si>
  <si>
    <t>Item Class: Divination Cards</t>
  </si>
  <si>
    <t>Rarity: Divination Card</t>
  </si>
  <si>
    <t>Chaotic Disposition</t>
  </si>
  <si>
    <t>5x Chaos Orb</t>
  </si>
  <si>
    <t>Life isn't what you make of it, it's already been made for you.</t>
  </si>
  <si>
    <t>Item Class: Rings</t>
  </si>
  <si>
    <t>Paua Ring</t>
  </si>
  <si>
    <t>+24 to maximum Mana (implicit)</t>
  </si>
  <si>
    <t>Test</t>
  </si>
  <si>
    <t>Magic</t>
  </si>
  <si>
    <t>Gem</t>
  </si>
  <si>
    <t>Divination Card</t>
  </si>
  <si>
    <t>Item Class</t>
  </si>
  <si>
    <t>Divination Cards</t>
  </si>
  <si>
    <t>Rings</t>
  </si>
  <si>
    <t>Belts</t>
  </si>
  <si>
    <t>Body Armours</t>
  </si>
  <si>
    <t>Utility Flasks</t>
  </si>
  <si>
    <t>Skill Gems</t>
  </si>
  <si>
    <t>Support Gems</t>
  </si>
  <si>
    <t>Claws</t>
  </si>
  <si>
    <t>Daggers</t>
  </si>
  <si>
    <t>Wands</t>
  </si>
  <si>
    <t>One Hand Swords</t>
  </si>
  <si>
    <t>Thrusting One Hand Swords</t>
  </si>
  <si>
    <t>One Hand Axes</t>
  </si>
  <si>
    <t>One Hand Maces</t>
  </si>
  <si>
    <t>Bows</t>
  </si>
  <si>
    <t>Staves</t>
  </si>
  <si>
    <t>Two Hand Swords</t>
  </si>
  <si>
    <t>Two Hand Axes</t>
  </si>
  <si>
    <t>Two Hand Maces</t>
  </si>
  <si>
    <t>Sceptres</t>
  </si>
  <si>
    <t>Rune Daggers</t>
  </si>
  <si>
    <t>Warstaves</t>
  </si>
  <si>
    <t>Heist Brooches</t>
  </si>
  <si>
    <t>Fleet Atoll Map</t>
  </si>
  <si>
    <t>Map Tier: 16</t>
  </si>
  <si>
    <t>Item Quantity: +19% (augmented)</t>
  </si>
  <si>
    <t>Item Rarity: +11% (augmented)</t>
  </si>
  <si>
    <t>Monster Pack Size: +7% (augmented)</t>
  </si>
  <si>
    <t>26% increased Monster Movement Speed</t>
  </si>
  <si>
    <t>43% increased Monster Attack Speed</t>
  </si>
  <si>
    <t>38% increased Monster Cast Speed</t>
  </si>
  <si>
    <t>Item Class: Stackable Currency</t>
  </si>
  <si>
    <t>Rarity: Currency</t>
  </si>
  <si>
    <t>Chaos Orb</t>
  </si>
  <si>
    <t>Stack Size: 1/20</t>
  </si>
  <si>
    <t>Reforges a rare item with new random modifiers</t>
  </si>
  <si>
    <t>Right click this item then left click a rare item to apply it.</t>
  </si>
  <si>
    <t>Item Class: Expedition Logbooks</t>
  </si>
  <si>
    <t>Expedition Logbook</t>
  </si>
  <si>
    <t>Area Level: 76</t>
  </si>
  <si>
    <t>Desert Ruins</t>
  </si>
  <si>
    <t>Order of the Chalice</t>
  </si>
  <si>
    <t>10% increased quantity of Artifacts dropped by Monsters (implicit)</t>
  </si>
  <si>
    <t>Area contains 23% increased number of Remnants (implicit)</t>
  </si>
  <si>
    <t>Karui Wargraves</t>
  </si>
  <si>
    <t>40% increased number of Explosives (implicit)</t>
  </si>
  <si>
    <t>Area contains 15% increased number of Monster Markers (implicit)</t>
  </si>
  <si>
    <t>Take this item to Dannig in your Hideout to open portals to an expedition.</t>
  </si>
  <si>
    <t>Divergent Divine Blessing Support</t>
  </si>
  <si>
    <t>Support, Aura, Duration, Blessing</t>
  </si>
  <si>
    <t>Level: 20 (Max)</t>
  </si>
  <si>
    <t>Alternate Quality</t>
  </si>
  <si>
    <t>Level: 70</t>
  </si>
  <si>
    <t>Str: 70</t>
  </si>
  <si>
    <t>Int: 48</t>
  </si>
  <si>
    <t>Supports aura skills that create permanent auras around you, changing their reservation to a cost and making them temporary. Cannot support banner or stance skills.</t>
  </si>
  <si>
    <t>Supported Skills have 5% reduced Mana Cost</t>
  </si>
  <si>
    <t>Supported Skills have 29% increased Aura effect</t>
  </si>
  <si>
    <t>Supported Skills Cost +233 Mana</t>
  </si>
  <si>
    <t>Supported Skills also count as Blessing Skills</t>
  </si>
  <si>
    <t>You can only have one Aura on you from your Blessing Skills</t>
  </si>
  <si>
    <t>Auras from Supported Skills have a base duration of 10.90 seconds</t>
  </si>
  <si>
    <t>Item Class: Delve Stackable Socketable Currency</t>
  </si>
  <si>
    <t>Primitive Chaotic Resonator</t>
  </si>
  <si>
    <t>Stack Size: 1/10</t>
  </si>
  <si>
    <t>Requires 1 (unmet) Socketed Fossil</t>
  </si>
  <si>
    <t xml:space="preserve">Sockets: D </t>
  </si>
  <si>
    <t>All sockets must be filled with Fossils before this item can be used.</t>
  </si>
  <si>
    <t>Item Class: Metamorph Samples</t>
  </si>
  <si>
    <t>Captain Clayborne, The Accursed's Brain</t>
  </si>
  <si>
    <t>Uses: Soul Bolt</t>
  </si>
  <si>
    <t>Drops additional Currency Items</t>
  </si>
  <si>
    <t>Drops additional Quality Gems</t>
  </si>
  <si>
    <t>Drops a 5-linked Rare Weapon</t>
  </si>
  <si>
    <t>Combine this with four other different samples in Tane's Laboratory.</t>
  </si>
  <si>
    <t>Anomalous Barrage</t>
  </si>
  <si>
    <t>Attack, Projectile, Bow</t>
  </si>
  <si>
    <t>Cost: 11 Mana</t>
  </si>
  <si>
    <t>Attack Damage: 54.6% of base</t>
  </si>
  <si>
    <t>Effectiveness of Added Damage: 55%</t>
  </si>
  <si>
    <t>Quality: +11% (augmented)</t>
  </si>
  <si>
    <t>Dex: 155</t>
  </si>
  <si>
    <t>After a short preparation time, you attack repeatedly with a ranged weapon. These attacks have a small randomised spread. Only works with Bows and Wands. This skill cannot be Triggered.</t>
  </si>
  <si>
    <t>11% chance to Knock Enemies Back on hit</t>
  </si>
  <si>
    <t>Fires 4 additional Projectiles</t>
  </si>
  <si>
    <t>Fires Projectiles sequentially</t>
  </si>
  <si>
    <t>Phantasmal Tectonic Slam</t>
  </si>
  <si>
    <t>Fire, Attack, AoE, Slam, Melee</t>
  </si>
  <si>
    <t>Cost: 10 Mana</t>
  </si>
  <si>
    <t>Attack Speed: 80% of base</t>
  </si>
  <si>
    <t>Attack Damage: 255% of base</t>
  </si>
  <si>
    <t>Effectiveness of Added Damage: 255%</t>
  </si>
  <si>
    <t>Slam the ground, unleashing a fiery fissure in front of you, dealing area damage and randomly releasing a number of smaller fissures branching off from it. Consume an Endurance Charge every third time you slam the ground with this skill. Requires a Mace, Sceptre, Sword, Axe, Staff, or Unarmed.</t>
  </si>
  <si>
    <t>60% of Physical Damage Converted to Fire Damage</t>
  </si>
  <si>
    <t>11% increased Fire Damage</t>
  </si>
  <si>
    <t>5% more Area of Effect per Endurance Charge</t>
  </si>
  <si>
    <t>+5% fissure branching chance per Endurance Charge</t>
  </si>
  <si>
    <t>30% fissure branching chance</t>
  </si>
  <si>
    <t>Experience: 4,897,423/15,138,193</t>
  </si>
  <si>
    <t>Item Class: Amulets</t>
  </si>
  <si>
    <t>Bisco's Collar</t>
  </si>
  <si>
    <t>Gold Amulet</t>
  </si>
  <si>
    <t>Level: 30</t>
  </si>
  <si>
    <t>Item Level: 75</t>
  </si>
  <si>
    <t>20% increased Rarity of Items found (implicit)</t>
  </si>
  <si>
    <t>146% increased Rarity of Items Dropped by Slain Magic Enemies</t>
  </si>
  <si>
    <t>39% increased Quantity of Items Dropped by Slain Normal Enemies</t>
  </si>
  <si>
    <t>Friendship worth its weight in gold,</t>
  </si>
  <si>
    <t>a treasure every day.</t>
  </si>
  <si>
    <t>I thought together we'd grow old,</t>
  </si>
  <si>
    <t>until fate pulled you away.</t>
  </si>
  <si>
    <t>Foil Unique (Sunset)</t>
  </si>
  <si>
    <t>Item Class: Life Flasks</t>
  </si>
  <si>
    <t>Superior Eternal Life Flask</t>
  </si>
  <si>
    <t>Quality: +8% (augmented)</t>
  </si>
  <si>
    <t>Recovers 2246 (augmented) Life over 2 Seconds</t>
  </si>
  <si>
    <t>Consumes 15 of 45 Charges on use</t>
  </si>
  <si>
    <t>Level: 65</t>
  </si>
  <si>
    <t>Item Level: 68</t>
  </si>
  <si>
    <t>Item Class: Mana Flasks</t>
  </si>
  <si>
    <t>Superior Eternal Mana Flask</t>
  </si>
  <si>
    <t>Quality: +15% (augmented)</t>
  </si>
  <si>
    <t>Recovers 2070 (augmented) Mana over 7 Seconds</t>
  </si>
  <si>
    <t>Consumes 8 of 42 Charges on use</t>
  </si>
  <si>
    <t>Item Class: Hybrid Flasks</t>
  </si>
  <si>
    <t>Superior Sacred Hybrid Flask</t>
  </si>
  <si>
    <t>Quality: +18% (augmented)</t>
  </si>
  <si>
    <t>Recovers 1699 (augmented) Life over 5 Seconds</t>
  </si>
  <si>
    <t>Recovers 472 (augmented) Mana over 5 Seconds</t>
  </si>
  <si>
    <t>Consumes 20 of 40 Charges on use</t>
  </si>
  <si>
    <t>Item Class: Jewels</t>
  </si>
  <si>
    <t>Brawn</t>
  </si>
  <si>
    <t>Crimson Jewel</t>
  </si>
  <si>
    <t>5% increased Strength</t>
  </si>
  <si>
    <t>6% increased Dexterity</t>
  </si>
  <si>
    <t>15% reduced Intelligence</t>
  </si>
  <si>
    <t>Take your time, make all your plans. _x000D_
Then tell me which plan_x000D_
pulls my axe from your ribs.</t>
  </si>
  <si>
    <t>Place into an allocated Jewel Socket on the Passive Skill Tree. Right click to remove from the Socket.</t>
  </si>
  <si>
    <t>Blight-ravaged Cells Map</t>
  </si>
  <si>
    <t>Map Tier: 15</t>
  </si>
  <si>
    <t>Monster Level: 85 (implicit)</t>
  </si>
  <si>
    <t>200% more Monster Life (implicit)</t>
  </si>
  <si>
    <t>20% increased Monster Movement Speed (implicit)</t>
  </si>
  <si>
    <t>Map's Item Quantity Modifiers also affect Blight Chest count at 50% value (implicit)</t>
  </si>
  <si>
    <t>Can be Anointed up to 9 times (implicit)</t>
  </si>
  <si>
    <t>Blighted Geode Map</t>
  </si>
  <si>
    <t>Map Tier: 13</t>
  </si>
  <si>
    <t>Item Class: Map Fragments</t>
  </si>
  <si>
    <t>Sacrifice at Dusk</t>
  </si>
  <si>
    <t>The Vaal shall never fear the setting of our sun.</t>
  </si>
  <si>
    <t>Can be used in a personal Map Device.</t>
  </si>
  <si>
    <t>Item Class: Misc Map Items</t>
  </si>
  <si>
    <t>Writhing Invitation</t>
  </si>
  <si>
    <t>Modifiers to Item Quantity affect the amount of rewards dropped by the boss (implicit)</t>
  </si>
  <si>
    <t>The Infinite Hunger awaits in a cosmic stomach where</t>
  </si>
  <si>
    <t>whole civilisations are digested - but do not die.</t>
  </si>
  <si>
    <t>Open portals to Seething Chyme by using this item in a personal Map Device.</t>
  </si>
  <si>
    <t>Item Class: Blueprints</t>
  </si>
  <si>
    <t>Blueprint: Repository</t>
  </si>
  <si>
    <t>Heist Target: Unusual Gems</t>
  </si>
  <si>
    <t>Area Level: 74</t>
  </si>
  <si>
    <t>Wings Revealed: 1/3</t>
  </si>
  <si>
    <t>Escape Routes Revealed: 1/6</t>
  </si>
  <si>
    <t>Reward Rooms Revealed: 2/15</t>
  </si>
  <si>
    <t>Requires Demolition (Level 2)</t>
  </si>
  <si>
    <t>Requires Trap Disarmament (Level 1)</t>
  </si>
  <si>
    <t>Requires Agility (Level 1)</t>
  </si>
  <si>
    <t>Item Level: 74</t>
  </si>
  <si>
    <t>Use Intelligence to Reveal additional Wings and Rooms by talking to certain NPCs in the Rogue Harbour. Give this Blueprint to Adiyah to embark on the Grand Heist.</t>
  </si>
  <si>
    <t>Item Class: Contracts</t>
  </si>
  <si>
    <t>Impeding Contract: Bunker</t>
  </si>
  <si>
    <t>Client: Marcine Clavus</t>
  </si>
  <si>
    <t>Heist Target: Enigmatic Assembly C5 (Moderate Value)</t>
  </si>
  <si>
    <t>Area Level: 6</t>
  </si>
  <si>
    <t>Requires Engineering (Level 1)</t>
  </si>
  <si>
    <t>Item Quantity: +13% (augmented)</t>
  </si>
  <si>
    <t>Item Rarity: +8% (augmented)</t>
  </si>
  <si>
    <t>Alert Level Reduction: +5% (augmented)</t>
  </si>
  <si>
    <t>Time Before Lockdown: +5% (augmented)</t>
  </si>
  <si>
    <t>Maximum Alive Reinforcements: +5% (augmented)</t>
  </si>
  <si>
    <t>Item Level: 6</t>
  </si>
  <si>
    <t>14% reduced Job speed</t>
  </si>
  <si>
    <t>I have spent my family's entire fortune in the pursuit of this device._x000D_
Assembling it and turning it on is all I have left.</t>
  </si>
  <si>
    <t>Give this Contract to Adiyah in the Rogue Harbour to embark on the Heist.</t>
  </si>
  <si>
    <t>Item Class: Heist Tools</t>
  </si>
  <si>
    <t>Torment Material</t>
  </si>
  <si>
    <t>Essential Keyring</t>
  </si>
  <si>
    <t>This item can be equipped by:</t>
  </si>
  <si>
    <t>Vinderi, the Dismantler</t>
  </si>
  <si>
    <t>Tullina, the Catburglar</t>
  </si>
  <si>
    <t>Isla, the Engineer</t>
  </si>
  <si>
    <t>Level 2 in Trap Disarmament</t>
  </si>
  <si>
    <t>4% increased Trap Disarmament speed (implicit)</t>
  </si>
  <si>
    <t>The Ring's Cut reduced by 9%</t>
  </si>
  <si>
    <t>+2 seconds to Lockdown Timer</t>
  </si>
  <si>
    <t>3% increased Job Experience gain</t>
  </si>
  <si>
    <t>Item Class: Heist Gear</t>
  </si>
  <si>
    <t>Phoenix Gear</t>
  </si>
  <si>
    <t>Rough Sharpening Stone</t>
  </si>
  <si>
    <t>Item Level: 71</t>
  </si>
  <si>
    <t>14% increased Melee Damage (implicit)</t>
  </si>
  <si>
    <t>12 to 20 added Cold Damage</t>
  </si>
  <si>
    <t>Players and their Minions have 12 to 20 added Cold Damage</t>
  </si>
  <si>
    <t>6% reduced Hiring Fee</t>
  </si>
  <si>
    <t>Grants Level 5 Pride Skill</t>
  </si>
  <si>
    <t>Item Class: Heist Cloaks</t>
  </si>
  <si>
    <t>Corpse Shroud</t>
  </si>
  <si>
    <t>Tattered Cloak</t>
  </si>
  <si>
    <t>Level 3 in Any Job</t>
  </si>
  <si>
    <t>3% reduced raising of Alert Level (implicit)</t>
  </si>
  <si>
    <t>23% increased Damage while area is not in Lockdown</t>
  </si>
  <si>
    <t>Players deal 23% increased Damage while area is not in Lockdown</t>
  </si>
  <si>
    <t>3% reduced raising of Alert Level from opening Chests</t>
  </si>
  <si>
    <t>Item Class: Heist Targets</t>
  </si>
  <si>
    <t>Tusked Hominid Skull</t>
  </si>
  <si>
    <t>Item Level: 27</t>
  </si>
  <si>
    <t>If the skull is real, and not a forgery, then it may show that my people are not the_x000D_
abominations others believe us to be. The word 'human' may have a broader meaning.</t>
  </si>
  <si>
    <t>Can be exchanged with Faustus, the Fence in The Rogue Harbour</t>
  </si>
  <si>
    <t>Normal</t>
  </si>
  <si>
    <t>Currency</t>
  </si>
  <si>
    <t>Blight-ravaged</t>
  </si>
  <si>
    <t>Stackable Currency</t>
  </si>
  <si>
    <t>Jewels</t>
  </si>
  <si>
    <t>Delve Stackable Socketable Currency</t>
  </si>
  <si>
    <t>Metamorph Samples</t>
  </si>
  <si>
    <t>Heist Tools</t>
  </si>
  <si>
    <t>Amulets</t>
  </si>
  <si>
    <t>Life Flasks</t>
  </si>
  <si>
    <t>Mana Flasks</t>
  </si>
  <si>
    <t>Hybrid Flasks</t>
  </si>
  <si>
    <t>Maps</t>
  </si>
  <si>
    <t>Map Fragments</t>
  </si>
  <si>
    <t>Contracts</t>
  </si>
  <si>
    <t>Blueprints</t>
  </si>
  <si>
    <t>Misc Map Items</t>
  </si>
  <si>
    <t>Heist Gear</t>
  </si>
  <si>
    <t>Heist Targets</t>
  </si>
  <si>
    <t>Heist Cloaks</t>
  </si>
  <si>
    <t>Expedition Logbooks</t>
  </si>
  <si>
    <t>Item Class: Memories</t>
  </si>
  <si>
    <t>Niko's Memory of Chasms</t>
  </si>
  <si>
    <t>Areas contain additional Abysses</t>
  </si>
  <si>
    <t>Abysses have already fully opened</t>
  </si>
  <si>
    <t>Abysses contain monsters from Beyond this realm</t>
  </si>
  <si>
    <t>Right-click on this, then left click on a completed Map on your Atlas to apply this Memory.</t>
  </si>
  <si>
    <t>Unmodifiable</t>
  </si>
  <si>
    <t>Spiny Astral Plate of the Conquest</t>
  </si>
  <si>
    <t>Quality: +30% (augmented)</t>
  </si>
  <si>
    <t>Armour: 924 (augmented)</t>
  </si>
  <si>
    <t>Str: 180 (unmet)</t>
  </si>
  <si>
    <t xml:space="preserve">Sockets: W-W-W-W-W-W </t>
  </si>
  <si>
    <t>Item Level: 100</t>
  </si>
  <si>
    <t>+12% to all Elemental Resistances (implicit)</t>
  </si>
  <si>
    <t>Item sells for much more to vendors (implicit)</t>
  </si>
  <si>
    <t>+17% to all Elemental Resistances</t>
  </si>
  <si>
    <t>Reflects 6 Physical Damage to Melee Attackers</t>
  </si>
  <si>
    <t>Warlord Item</t>
  </si>
  <si>
    <t>Archon Kite Shield</t>
  </si>
  <si>
    <t>Chance to Block: 22%</t>
  </si>
  <si>
    <t>Armour: 156</t>
  </si>
  <si>
    <t>Energy Shield: 32</t>
  </si>
  <si>
    <t>Str: 85</t>
  </si>
  <si>
    <t>Int: 85</t>
  </si>
  <si>
    <t xml:space="preserve">Sockets: R R R </t>
  </si>
  <si>
    <t>Shaper Item</t>
  </si>
  <si>
    <t>Pain Dash</t>
  </si>
  <si>
    <t>Shagreen Boots</t>
  </si>
  <si>
    <t>Evasion Rating: 195</t>
  </si>
  <si>
    <t>Level: 55</t>
  </si>
  <si>
    <t>Dex: 97</t>
  </si>
  <si>
    <t xml:space="preserve">Sockets: B G </t>
  </si>
  <si>
    <t>+19 to Dexterity</t>
  </si>
  <si>
    <t>+85 to maximum Life</t>
  </si>
  <si>
    <t>25% increased Movement Speed</t>
  </si>
  <si>
    <t>Bleeding you inflict deals Damage 9% faster</t>
  </si>
  <si>
    <t>Hunter Item</t>
  </si>
  <si>
    <t>Beast Spur</t>
  </si>
  <si>
    <t>Carnal Boots</t>
  </si>
  <si>
    <t>Evasion Rating: 129 (augmented)</t>
  </si>
  <si>
    <t>Energy Shield: 31 (augmented)</t>
  </si>
  <si>
    <t>Dex: 35 (augmented)</t>
  </si>
  <si>
    <t>Int: 35 (augmented)</t>
  </si>
  <si>
    <t xml:space="preserve">Sockets: G-B-B-G </t>
  </si>
  <si>
    <t>Socketed Gems are Supported by Level 20 Fortify</t>
  </si>
  <si>
    <t>32% reduced Attribute Requirements</t>
  </si>
  <si>
    <t>+22 to Evasion Rating</t>
  </si>
  <si>
    <t>+9 to maximum Energy Shield</t>
  </si>
  <si>
    <t>Regenerate 59.2 Life per second</t>
  </si>
  <si>
    <t>14% increased Rarity of Items found</t>
  </si>
  <si>
    <t>Elder Item</t>
  </si>
  <si>
    <t>Sorrow Loop</t>
  </si>
  <si>
    <t>Topaz Ring</t>
  </si>
  <si>
    <t>Level: 67</t>
  </si>
  <si>
    <t>+21% to Lightning Resistance (implicit)</t>
  </si>
  <si>
    <t>32% increased Mana Regeneration Rate</t>
  </si>
  <si>
    <t>27% increased Rarity of Items found</t>
  </si>
  <si>
    <t>+44% to Fire Resistance</t>
  </si>
  <si>
    <t>Curse Enemies with Frostbite on Hit</t>
  </si>
  <si>
    <t>+50 to maximum Mana (crafted)</t>
  </si>
  <si>
    <t>Redeemer Item</t>
  </si>
  <si>
    <t>Bramble Charm</t>
  </si>
  <si>
    <t>Amber Amulet</t>
  </si>
  <si>
    <t>+22 to Strength (implicit)</t>
  </si>
  <si>
    <t>+8 to Intelligence</t>
  </si>
  <si>
    <t>6% increased Intelligence</t>
  </si>
  <si>
    <t>Adds 3 to 6 Physical Damage to Attacks</t>
  </si>
  <si>
    <t>+13% to Lightning Resistance</t>
  </si>
  <si>
    <t>Crusader Item</t>
  </si>
  <si>
    <t>Item Class: Abyss Jewels</t>
  </si>
  <si>
    <t>Hollow Sphere</t>
  </si>
  <si>
    <t>Murderous Eye Jewel</t>
  </si>
  <si>
    <t>Abyss</t>
  </si>
  <si>
    <t>30% increased Evasion Rating while moving (fractured)</t>
  </si>
  <si>
    <t>Adds 11 to 20 Chaos Damage to Attacks</t>
  </si>
  <si>
    <t>+35 to maximum Mana</t>
  </si>
  <si>
    <t>Place into an Abyssal Socket on an Item or into an allocated Jewel Socket on the Passive Skill Tree. Right click to remove from the Socket.</t>
  </si>
  <si>
    <t>Fractured Item</t>
  </si>
  <si>
    <t>Item Class: Sanctum Research</t>
  </si>
  <si>
    <t>Forbidden Tome</t>
  </si>
  <si>
    <t>Area Level: 81</t>
  </si>
  <si>
    <t>Mundus noster cecidit. Daemones ubique sunt. Librum</t>
  </si>
  <si>
    <t>hunc in sacrarium conicio, ut forte alius viam inveniat...</t>
  </si>
  <si>
    <t>Take this item to the Relic Altar in the Forbidden Sanctum to enter.</t>
  </si>
  <si>
    <t>Abyss Jewels</t>
  </si>
  <si>
    <t>Memories</t>
  </si>
  <si>
    <t>Sanctum Research</t>
  </si>
  <si>
    <t>Classe d'objet: Objets monétaires empilables</t>
  </si>
  <si>
    <t>Rareté: Objet monétaire</t>
  </si>
  <si>
    <t>Orbe du chaos</t>
  </si>
  <si>
    <t>Taille de l'ensemble: 1/20</t>
  </si>
  <si>
    <t>Remodèle un objet rare en lui donnant de nouveaux modificateurs au hasard</t>
  </si>
  <si>
    <t>Effectuez un clic droit sur cet objet, puis appliquez-le avec un clic gauche sur un objet rare.</t>
  </si>
  <si>
    <t>Classe d'objet: Gemmes d'aptitude</t>
  </si>
  <si>
    <t>Rareté: Gemme</t>
  </si>
  <si>
    <t>Fracas tectonique fantasmatique</t>
  </si>
  <si>
    <t>Feu, Attaque, Zone, Fracas, Mêlée</t>
  </si>
  <si>
    <t>Niveau: 16</t>
  </si>
  <si>
    <t>Coût: 10 de Mana</t>
  </si>
  <si>
    <t>Vitesse d'attaque: 80% de base</t>
  </si>
  <si>
    <t>Dégâts d'Attaque: 255% de base</t>
  </si>
  <si>
    <t>Efficacité des Dégâts supplémentaires: 255%</t>
  </si>
  <si>
    <t>Qualité: +11% (augmented)</t>
  </si>
  <si>
    <t>Qualité alternative</t>
  </si>
  <si>
    <t>Niveau: 62</t>
  </si>
  <si>
    <t>For: 138</t>
  </si>
  <si>
    <t>Fracasse le sol, liébrant ainsi une fissure ardente face à vous qui inflige des dégâts de zone et libère un nombre aléatoire de fissures plus petites qui se ramifient à partir de la première. Consomme une Charge d'endurance toutes les trois attaques que vous faites avec cette aptitude. Fonctionne uniquement avec les bâtons, épées, haches, masses, sceptres ou à mains nues.</t>
  </si>
  <si>
    <t>60% des Dégâts physiques sont Convertis en Dégâts de feu</t>
  </si>
  <si>
    <t>11% d'Augmentation des Dégâts de feu</t>
  </si>
  <si>
    <t>5% Davantage de Zone d'effet par Charge d'endurance</t>
  </si>
  <si>
    <t>+5% de chances de ramification des fissures par Charge d'endurance</t>
  </si>
  <si>
    <t>30% de chances de ramification des fissures</t>
  </si>
  <si>
    <t>Expérience: 4,897,423/15,138,193</t>
  </si>
  <si>
    <t>Insérez cette Gemme dans une châsse de la même couleur pour acquérir cette Aptitude. Retirez-la à l'aide d'un clic droit.</t>
  </si>
  <si>
    <t>Tir de barrage anormal</t>
  </si>
  <si>
    <t>Attaque, Projectile, Arc</t>
  </si>
  <si>
    <t>Niveau: 20 (Maxi)</t>
  </si>
  <si>
    <t>Coût: 11 de Mana</t>
  </si>
  <si>
    <t>Dégâts d'Attaque: 54.6% de base</t>
  </si>
  <si>
    <t>Efficacité des Dégâts supplémentaires: 55%</t>
  </si>
  <si>
    <t>Niveau: 70</t>
  </si>
  <si>
    <t>Une succession d'attaques à distance qui nécessite un bref instant de préparation. Ces attaques ont une légère dispersion aléatoire. Fonctionne uniquement avec les arcs et les baguettes. Cette Aptitude ne peut être Déclenchée.</t>
  </si>
  <si>
    <t>11% de chances de Repousser les Ennemis au Toucher</t>
  </si>
  <si>
    <t>Tire 4 Projectiles supplémentaires</t>
  </si>
  <si>
    <t>Tire des Projectiles de manière séquencée</t>
  </si>
  <si>
    <t>Corrompu</t>
  </si>
  <si>
    <t>Classe d'objet: Gemmes de soutien</t>
  </si>
  <si>
    <t>Soutien : Bénédiction divine divergente</t>
  </si>
  <si>
    <t>Soutien, Aura, Durée, Bénédiction</t>
  </si>
  <si>
    <t>Qualité: +20% (augmented)</t>
  </si>
  <si>
    <t>For: 70</t>
  </si>
  <si>
    <t>Modifie les aptitudes d'aura qui créent une aura permanente autour de vous. Remplace leur réservation par un coût à payer, mais rend leur effet temporaire. Ne fonctionne pas avec les aptitudes d'Étendard ou de Posture.</t>
  </si>
  <si>
    <t>Les Aptitudes modifiées ont 5% de Réduction du Coût en Mana</t>
  </si>
  <si>
    <t>Les Aptitudes modifiées ont 29% d'Augmentation de l'Effet de leurs Auras</t>
  </si>
  <si>
    <t>Les Aptitudes modifiées Coûtent +233 de Mana</t>
  </si>
  <si>
    <t>Les Aptitudes modifiées sont aussi considérées comme des Aptitudes de Bénédiction</t>
  </si>
  <si>
    <t>Vous ne pouvez bénéficier que d'une Aura émanant de vos Aptitudes de Bénédiction</t>
  </si>
  <si>
    <t>Les Auras émanant des Aptitudes modifiées ont une durée de base de 10.90 secondes</t>
  </si>
  <si>
    <t>Ceci est une Gemme de Soutien : plutôt que de donner un bonus à votre personnage, elle modifie les Aptitudes auxquelles elle est liée. Insérez-la dans une châsse reliée à une autre châsse qui contient la Gemme d'Aptitude que vous souhaitez modifier. Retirez-la à l'aide d'un clic droit.</t>
  </si>
  <si>
    <t>Classe d'objet: Objets enchâssables et empilables Delve</t>
  </si>
  <si>
    <t>Résonateur chaotique primitif</t>
  </si>
  <si>
    <t>Taille de l'ensemble: 1/10</t>
  </si>
  <si>
    <t>Prérequis : 1 (unmet) Fossile enchâssé</t>
  </si>
  <si>
    <t xml:space="preserve">Châsses: D </t>
  </si>
  <si>
    <t>Insérez des Fossiles dans toutes les châsses de cet objet pour pouvoir l'utiliser.</t>
  </si>
  <si>
    <t>Classe d'objet: Cartes divinatoires</t>
  </si>
  <si>
    <t>Rareté: Carte divinatoire</t>
  </si>
  <si>
    <t>Tempérament chaotique</t>
  </si>
  <si>
    <t>Orbe du chaos x5</t>
  </si>
  <si>
    <t>La vie n'est pas ce que tu en fais, elle a déjà été faite pour toi.</t>
  </si>
  <si>
    <t>Classe d'objet: Organes de Métamorphe</t>
  </si>
  <si>
    <t>Cerveau (Capitaine Poindreglaise, le Maudit)</t>
  </si>
  <si>
    <t>Aptitude : Trait d'âme</t>
  </si>
  <si>
    <t>Niveau de l'objet: 80</t>
  </si>
  <si>
    <t>Cède des Objets monétaires supplémentaires</t>
  </si>
  <si>
    <t>Cède des Gemmes de qualité supplémentaires</t>
  </si>
  <si>
    <t>Cède une Arme rare avec 5 châsses reliées</t>
  </si>
  <si>
    <t>Mélangez-le avec quatre autres échantillons différents dans le Laboratoire de Tane.</t>
  </si>
  <si>
    <t>Classe d'objet: Cartes</t>
  </si>
  <si>
    <t>Rareté: Normal</t>
  </si>
  <si>
    <t>Géode, Carte infestée</t>
  </si>
  <si>
    <t>Palier de Carte: 13</t>
  </si>
  <si>
    <t>La Zone est infestée d'Excroissances fongiques (implicit)</t>
  </si>
  <si>
    <t>Les Modificateurs de Quantité d'Objets affectent également les Coffres de l'Infestation à 20% de leurs valeurs (implicit)</t>
  </si>
  <si>
    <t>Peut avoir jusqu'à 3 Onctions (implicit)</t>
  </si>
  <si>
    <t>Les habitants naturels de cette zone ont disparu (implicit)</t>
  </si>
  <si>
    <t>Rendez-vous dans cette Carte en l'utilisant dans votre Dispositif cartographique. Les Cartes se consomment à l'utilisation.</t>
  </si>
  <si>
    <t>Cellules, Carte ravagée par l'Infestation</t>
  </si>
  <si>
    <t>Palier de Carte: 15</t>
  </si>
  <si>
    <t>Niveau de l'objet: 81</t>
  </si>
  <si>
    <t>Niveau des Monstres : 85 (implicit)</t>
  </si>
  <si>
    <t>200% Davantage de Vie des Monstres (implicit)</t>
  </si>
  <si>
    <t>20% d'Augmentation de la Vitesse de déplacement des Monstres (implicit)</t>
  </si>
  <si>
    <t>Les Modificateurs de Quantité d'Objets affectent également les Coffres de l'Infestation à 40% de leurs valeurs (implicit)</t>
  </si>
  <si>
    <t>Peut avoir jusqu'à 9 Onctions (implicit)</t>
  </si>
  <si>
    <t>Classe d'objet: Plans</t>
  </si>
  <si>
    <t>Plan : Entrepôt</t>
  </si>
  <si>
    <t>Objectif du Casse : Gemmes inhabituelles</t>
  </si>
  <si>
    <t>Niveau de la zone : 74</t>
  </si>
  <si>
    <t>Ailes révélées: 1/3</t>
  </si>
  <si>
    <t>Échappatoires révélées: 1/6</t>
  </si>
  <si>
    <t>Salles de récompenses révélées: 2/15</t>
  </si>
  <si>
    <t>Prérequis : Démolition au niv. 2</t>
  </si>
  <si>
    <t>Prérequis : Désamorçage de pièges au niv. 1</t>
  </si>
  <si>
    <t>Prérequis : Agilité au niv. 1</t>
  </si>
  <si>
    <t>Niveau de l'objet: 74</t>
  </si>
  <si>
    <t>Servez-vous de Renseignements afin de découvrir des Ailes et des Salles supplémentaires en parlant à certains PNJ au Port des Malfaiteurs. Donnez ce Plan à Adiyah pour entreprendre le Casse du siècle.</t>
  </si>
  <si>
    <t>Classe d'objet: Contrats</t>
  </si>
  <si>
    <t>Rareté: Magique</t>
  </si>
  <si>
    <t>Contrat : Bunker Entravant</t>
  </si>
  <si>
    <t>Client : Marcine Clavus</t>
  </si>
  <si>
    <t>Objectif du Casse : Assemblage énigmatique C5 (valeur : moyenne)</t>
  </si>
  <si>
    <t>Niveau de la zone : 6</t>
  </si>
  <si>
    <t>Prérequis : Ingénierie au niv. 1</t>
  </si>
  <si>
    <t>Quantité d'objets: +13% (augmented)</t>
  </si>
  <si>
    <t>Rareté des objets: +8% (augmented)</t>
  </si>
  <si>
    <t>Réduction du Niveau d'alerte : +5% (augmented)</t>
  </si>
  <si>
    <t>Temps avant le Verrouillage : +5% (augmented)</t>
  </si>
  <si>
    <t>Renforts maximaux en vie: +5% (augmented)</t>
  </si>
  <si>
    <t>Niveau de l'objet: 6</t>
  </si>
  <si>
    <t>14% de Réduction de la Vitesse des Compétences</t>
  </si>
  <si>
    <t>« J'ai dilapidé toute la fortune familiale dans ma poursuite de cet appareil.</t>
  </si>
  <si>
    <t>L'assembler et le mettre en marche est tout ce qu'il me reste. »</t>
  </si>
  <si>
    <t>Donnez ce contrat à Adiyah au Port des Malfaiteurs afin d'entamer un Casse.</t>
  </si>
  <si>
    <t>Classe d'objet: Journaux de bord d'Expédition</t>
  </si>
  <si>
    <t>Journal de bord de l'Expédition</t>
  </si>
  <si>
    <t>Niveau de la zone : 76</t>
  </si>
  <si>
    <t>Niveau de l'objet: 76</t>
  </si>
  <si>
    <t>Ruines du désert</t>
  </si>
  <si>
    <t>Ordre du Calice</t>
  </si>
  <si>
    <t>10% d'Augmentation de la Quantité d'Artéfacts cédés par les Monstres (implicit)</t>
  </si>
  <si>
    <t>La Zone a 23% d'Augmentation du nombre de Vestiges qu'elle contient (implicit)</t>
  </si>
  <si>
    <t>Tombes militaires karuies</t>
  </si>
  <si>
    <t>40% d'Augmentation du nombre d'Explosifs (implicit)</t>
  </si>
  <si>
    <t>15% d'Augmentation du nombre de Marqueurs de Monstre dans la Zone (implicit)</t>
  </si>
  <si>
    <t>Apportez cet objet à Dannig dans votre Repaire afin qu'il vous ouvre des portails vers une Expédition.</t>
  </si>
  <si>
    <t>Atoll, Carte Dégourdie</t>
  </si>
  <si>
    <t>Palier de Carte: 16</t>
  </si>
  <si>
    <t>Quantité d'objets: +19% (augmented)</t>
  </si>
  <si>
    <t>Rareté des objets: +11% (augmented)</t>
  </si>
  <si>
    <t>Taille des groupes de monstres: +7% (augmented)</t>
  </si>
  <si>
    <t>Niveau de l'objet: 84</t>
  </si>
  <si>
    <t>26% d'Augmentation de la Vitesse de déplacement des Monstres</t>
  </si>
  <si>
    <t>43% d'Augmentation de la Vitesse d'Attaque des Monstres</t>
  </si>
  <si>
    <t>38% d'Augmentation de la Vitesse d'incantation des Monstres</t>
  </si>
  <si>
    <t>Classe d'objet: Fragments de carte</t>
  </si>
  <si>
    <t>Sacrifice au crépuscule</t>
  </si>
  <si>
    <t>Les Vaal ne craindront jamais le coucher de notre soleil.</t>
  </si>
  <si>
    <t>À utiliser dans votre Dispositif cartographique.</t>
  </si>
  <si>
    <t>Classe d'objet: Souvenirs</t>
  </si>
  <si>
    <t>Souvenir de Niko de Gouffres</t>
  </si>
  <si>
    <t>Les Zones contiennent des Abysses supplémentaires</t>
  </si>
  <si>
    <t>Les Abysses sont déjà totalement ouverts</t>
  </si>
  <si>
    <t>Les Abysses contiennent des monstres d'Ailleurs</t>
  </si>
  <si>
    <t>Effectuez un clic droit sur cet objet, puis un clic gauche sur une Carte terminée sur votre Atlas pour appliquer ce Souvenir.</t>
  </si>
  <si>
    <t>Non modifiable</t>
  </si>
  <si>
    <t>Classe d'objet: Objets de Carte divers</t>
  </si>
  <si>
    <t>Invitation tortillante</t>
  </si>
  <si>
    <t>Niveau de l'objet: 83</t>
  </si>
  <si>
    <t>Les Modificateurs affectant la Quantité d'Objets affectent la quantité de récompenses cédées par le Boss (implicit)</t>
  </si>
  <si>
    <t>La Faim infinie attend dans un ventre cosmique</t>
  </si>
  <si>
    <t>dans lequel des civilisations entières sont digérées — sans mourir pour autant.</t>
  </si>
  <si>
    <t>Utilisez cet objet dans votre Dispositif cartographique afin d'ouvrir des portails vers le Chyme bouillonnant.</t>
  </si>
  <si>
    <t>Classe d'objet: Flacons hybrides</t>
  </si>
  <si>
    <t>Flacon sacré hybride supérieur</t>
  </si>
  <si>
    <t>Qualité: +18% (augmented)</t>
  </si>
  <si>
    <t>Rend 1699 (augmented) Vie sur 5 secondes</t>
  </si>
  <si>
    <t>Rend 472 (augmented) Mana sur 5 secondes</t>
  </si>
  <si>
    <t>Consomme 20 charges sur 40 par utilisation</t>
  </si>
  <si>
    <t>Contient actuellement 0 charges</t>
  </si>
  <si>
    <t>Niveau: 50</t>
  </si>
  <si>
    <t>Niveau de l'objet: 77</t>
  </si>
  <si>
    <t>Clic droit pour boire ce Flacon. Il doit être équipé pour pouvoir contenir des charges, et se remplit à chaque monstre tué.</t>
  </si>
  <si>
    <t>Classe d'objet: Flacons de Mana</t>
  </si>
  <si>
    <t>Flacon éternel de mana supérieur</t>
  </si>
  <si>
    <t>Qualité: +15% (augmented)</t>
  </si>
  <si>
    <t>Rend 2070 (augmented) Mana sur 7 secondes</t>
  </si>
  <si>
    <t>Consomme 8 charges sur 42 par utilisation</t>
  </si>
  <si>
    <t>Niveau: 65</t>
  </si>
  <si>
    <t>Niveau de l'objet: 70</t>
  </si>
  <si>
    <t>Classe d'objet: Flacons de Vie</t>
  </si>
  <si>
    <t>Flacon éternel de vie supérieur</t>
  </si>
  <si>
    <t>Qualité: +8% (augmented)</t>
  </si>
  <si>
    <t>Rend 2246 (augmented) Vie sur 2 secondes</t>
  </si>
  <si>
    <t>Consomme 15 charges sur 45 par utilisation</t>
  </si>
  <si>
    <t>Niveau de l'objet: 68</t>
  </si>
  <si>
    <t>Classe d'objet: Flacons utilitaires</t>
  </si>
  <si>
    <t>Flacon d'argent de l'Érudit du Pangolin</t>
  </si>
  <si>
    <t>Qualité: +2% (augmented)</t>
  </si>
  <si>
    <t>Dure 6.10 (augmented) secondes</t>
  </si>
  <si>
    <t>Consomme 32 (augmented) charges sur 60 par utilisation</t>
  </si>
  <si>
    <t>Assaut</t>
  </si>
  <si>
    <t>Niveau: 46</t>
  </si>
  <si>
    <t>Niveau de l'objet: 63</t>
  </si>
  <si>
    <t>18% de Réduction des Charges par utilisation</t>
  </si>
  <si>
    <t>53% d'Augmentation de l'Armure pendant cet Effet</t>
  </si>
  <si>
    <t>Classe d'objet: Amulettes</t>
  </si>
  <si>
    <t>Collier de Bisco</t>
  </si>
  <si>
    <t>Amulette en or</t>
  </si>
  <si>
    <t>Niveau: 30</t>
  </si>
  <si>
    <t>Niveau de l'objet: 75</t>
  </si>
  <si>
    <t>20% d'Augmentation de la Rareté des Objets cédés (implicit)</t>
  </si>
  <si>
    <t>146% d'Augmentation de la Rareté des Objets cédés par les Ennemis Magiques Tués</t>
  </si>
  <si>
    <t>39% d'Augmentation de la Quantité d'Objets cédés par les Ennemis Normaux Tués</t>
  </si>
  <si>
    <t>Une amitié qui vaut son pesant en or,</t>
  </si>
  <si>
    <t>un trésor pour l'éternité.</t>
  </si>
  <si>
    <t>Je nous voyais vieillir ensemble, mais le sort</t>
  </si>
  <si>
    <t>a décidé de t'emporter.</t>
  </si>
  <si>
    <t>Unique en version surbrillante (Soleil couchant)</t>
  </si>
  <si>
    <t>Classe d'objet: Bagues</t>
  </si>
  <si>
    <t>Bague de paua</t>
  </si>
  <si>
    <t>+24 de Mana maximal (implicit)</t>
  </si>
  <si>
    <t>Non identifié</t>
  </si>
  <si>
    <t>Classe d'objet: Casques</t>
  </si>
  <si>
    <t>Bourguignotte ézomyte</t>
  </si>
  <si>
    <t>Armure: 702 (augmented)</t>
  </si>
  <si>
    <t>Niveau: 60</t>
  </si>
  <si>
    <t xml:space="preserve">Châsses: R-R </t>
  </si>
  <si>
    <t>+21 à tous les Attributs</t>
  </si>
  <si>
    <t>Ajoute 40 à 60 Dégâts physiques aux Attaques</t>
  </si>
  <si>
    <t>+112% au Multiplicateur de coup critique en mêlée</t>
  </si>
  <si>
    <t>103% d'Augmentation de l'Armure</t>
  </si>
  <si>
    <t>49% d'Augmentation des Dégâts physiques subis</t>
  </si>
  <si>
    <t>Une fois que vous avez massacré tous vos ennemis,</t>
  </si>
  <si>
    <t>que vous reste-t-il à craindre ?</t>
  </si>
  <si>
    <t>Classe d'objet: Armures</t>
  </si>
  <si>
    <t>Carcasse-jaque</t>
  </si>
  <si>
    <t>Manteau verni</t>
  </si>
  <si>
    <t>Score d'Évasion: 964 (augmented)</t>
  </si>
  <si>
    <t>Bouclier d'énergie: 197 (augmented)</t>
  </si>
  <si>
    <t xml:space="preserve">Châsses: B-B </t>
  </si>
  <si>
    <t>149% d'Augmentation de l'Évasion et du Bouclier d'énergie</t>
  </si>
  <si>
    <t>+51 de Vie maximale</t>
  </si>
  <si>
    <t>+11% à toutes les Résistances élémentaires</t>
  </si>
  <si>
    <t>47% d'Augmentation de Zone d'effet</t>
  </si>
  <si>
    <t>42% d'Augmentation des Dégâts de Zone</t>
  </si>
  <si>
    <t>« ...La gêne des autres est amusante, mais personne</t>
  </si>
  <si>
    <t>ne peut nier que mon travail a fait sensation… »</t>
  </si>
  <si>
    <t>– Journal de Maligaro</t>
  </si>
  <si>
    <t>Classe d'objet: Boucliers</t>
  </si>
  <si>
    <t>Brumuraille</t>
  </si>
  <si>
    <t>Bocle laqué</t>
  </si>
  <si>
    <t>Chances de blocage: 24%</t>
  </si>
  <si>
    <t>Score d'Évasion: 1154 (augmented)</t>
  </si>
  <si>
    <t xml:space="preserve">Châsses: R </t>
  </si>
  <si>
    <t>6% d'Augmentation de la Vitesse de déplacement (implicit)</t>
  </si>
  <si>
    <t>142% d'Augmentation du Score d'Évasion</t>
  </si>
  <si>
    <t>10% d'Augmentation de la Vitesse de déplacement</t>
  </si>
  <si>
    <t>+16% aux Résistances au feu et au froid</t>
  </si>
  <si>
    <t>+10% de chances de ne pas subir de Dégâts élémentaires au Toucher pendant le Déphasage</t>
  </si>
  <si>
    <t>Vos chances de Bloquer les Dégâts d'Attaque sont à leur maximum possible si vous n'avez pas Bloqué Récemment</t>
  </si>
  <si>
    <t>Vous avez Déphasage si vous avez Bloqué Récemment</t>
  </si>
  <si>
    <t>Léger comme une planche,</t>
  </si>
  <si>
    <t>Raide comme une plume.</t>
  </si>
  <si>
    <t>Classe d'objet: Dagues runiques</t>
  </si>
  <si>
    <t>Vent blanc</t>
  </si>
  <si>
    <t>Skiane impérial</t>
  </si>
  <si>
    <t>Dague runique</t>
  </si>
  <si>
    <t>Dégâts physiques: 18-73</t>
  </si>
  <si>
    <t>Dégâts élémentaires: 167-304 (augmented)</t>
  </si>
  <si>
    <t>Chances de coup critique: 6.30%</t>
  </si>
  <si>
    <t>Attaques par seconde: 1.68 (augmented)</t>
  </si>
  <si>
    <t>Allonge : 1 mètre</t>
  </si>
  <si>
    <t xml:space="preserve">Châsses: B </t>
  </si>
  <si>
    <t>30% d'Augmentation des Chances de coup critique Globales (implicit)</t>
  </si>
  <si>
    <t>Ajoute 167 à 304 Dégâts de froid</t>
  </si>
  <si>
    <t>12% d'Augmentation de la Vitesse d'attaque</t>
  </si>
  <si>
    <t>+368 au Score d'Évasion</t>
  </si>
  <si>
    <t>100% d'Augmentation des Dégâts de froid tant que votre main secondaire est vide</t>
  </si>
  <si>
    <t>+20% de chances de Réprimer les Dégâts des Sorts tant que votre main secondaire est vide</t>
  </si>
  <si>
    <t>Les Marakeths redoutent peu de choses,</t>
  </si>
  <si>
    <t>mais ils n'osent pas murmurer le nom</t>
  </si>
  <si>
    <t>du démon qui chevauche les vents d'Hiver.</t>
  </si>
  <si>
    <t>Rareté: Rare</t>
  </si>
  <si>
    <t>Fétiche de ronces</t>
  </si>
  <si>
    <t>Amulette d'ambre</t>
  </si>
  <si>
    <t>Niveau: 54</t>
  </si>
  <si>
    <t>+22 de Force (implicit)</t>
  </si>
  <si>
    <t>+8 d'Intelligence</t>
  </si>
  <si>
    <t>6% d'Augmentation de l'Intelligence</t>
  </si>
  <si>
    <t>Ajoute 3 à 6 Dégâts physiques aux Attaques</t>
  </si>
  <si>
    <t>+13% à la Résistance à la foudre</t>
  </si>
  <si>
    <t>Objet du Croisé</t>
  </si>
  <si>
    <t>Classe d'objet: Bottes</t>
  </si>
  <si>
    <t>Éperons bestiaux</t>
  </si>
  <si>
    <t>Bottes charnelles</t>
  </si>
  <si>
    <t>Score d'Évasion: 129 (augmented)</t>
  </si>
  <si>
    <t>Bouclier d'énergie: 31 (augmented)</t>
  </si>
  <si>
    <t>Niveau: 55</t>
  </si>
  <si>
    <t xml:space="preserve">Châsses: G-B-B-G </t>
  </si>
  <si>
    <t>Les Gemmes enchâssées sont modifiées par Renforcement (Niveau 20)</t>
  </si>
  <si>
    <t>32% de Réduction du prérequis d'Attributs</t>
  </si>
  <si>
    <t>+22 au Score d'Évasion</t>
  </si>
  <si>
    <t>+9 de Bouclier d'énergie maximal</t>
  </si>
  <si>
    <t>59.2 de Vie Régénérée par seconde</t>
  </si>
  <si>
    <t>14% d'Augmentation de la Rareté des Objets cédés</t>
  </si>
  <si>
    <t>Objet de l'Ancien</t>
  </si>
  <si>
    <t>Ruée de la douleur</t>
  </si>
  <si>
    <t>Bottes en chagrin</t>
  </si>
  <si>
    <t>Score d'Évasion: 195</t>
  </si>
  <si>
    <t xml:space="preserve">Châsses: B G </t>
  </si>
  <si>
    <t>Niveau de l'objet: 79</t>
  </si>
  <si>
    <t>+19 de Dextérité</t>
  </si>
  <si>
    <t>+85 de Vie maximale</t>
  </si>
  <si>
    <t>25% d'Augmentation de la Vitesse de déplacement</t>
  </si>
  <si>
    <t>Les Dégâts de vos Saignements sont infligés 9% plus rapidement</t>
  </si>
  <si>
    <t>Objet du Chasseur</t>
  </si>
  <si>
    <t>Maillon triste</t>
  </si>
  <si>
    <t>Bague de topaze</t>
  </si>
  <si>
    <t>Niveau: 67</t>
  </si>
  <si>
    <t>+21% à la Résistance à la foudre (implicit)</t>
  </si>
  <si>
    <t>32% d'Augmentation du Taux de Régénération de Mana</t>
  </si>
  <si>
    <t>27% d'Augmentation de la Rareté des Objets cédés</t>
  </si>
  <si>
    <t>+44% à la Résistance au feu</t>
  </si>
  <si>
    <t>Inflige Frilosité au Toucher aux Ennemis</t>
  </si>
  <si>
    <t>+50 de Mana maximal (crafted)</t>
  </si>
  <si>
    <t>Objet de la Rédemptrice</t>
  </si>
  <si>
    <t>Écu d'archonte</t>
  </si>
  <si>
    <t>Chances de blocage: 22%</t>
  </si>
  <si>
    <t>Armure: 156</t>
  </si>
  <si>
    <t>Bouclier d'énergie: 32</t>
  </si>
  <si>
    <t>For: 85</t>
  </si>
  <si>
    <t xml:space="preserve">Châsses: R R R </t>
  </si>
  <si>
    <t>+12% à toutes les Résistances élémentaires (implicit)</t>
  </si>
  <si>
    <t>Objet du Façonneur</t>
  </si>
  <si>
    <t>Cuirasse astrale Piquante de la Conquête</t>
  </si>
  <si>
    <t>Qualité: +30% (augmented)</t>
  </si>
  <si>
    <t>Armure: 924 (augmented)</t>
  </si>
  <si>
    <t>For: 180 (unmet)</t>
  </si>
  <si>
    <t xml:space="preserve">Châsses: W-W-W-W-W-W </t>
  </si>
  <si>
    <t>Niveau de l'objet: 100</t>
  </si>
  <si>
    <t>L'Objet se vend pour beaucoup plus cher (implicit)</t>
  </si>
  <si>
    <t>+17% à toutes les Résistances élémentaires</t>
  </si>
  <si>
    <t>Renvoie 6 Dégâts physiques aux Attaquants en mêlée</t>
  </si>
  <si>
    <t>Objet du Seigneur de guerre</t>
  </si>
  <si>
    <t>Classe d'objet: Joyaux abyssaux</t>
  </si>
  <si>
    <t>Sphère vide</t>
  </si>
  <si>
    <t>Joyau œil funeste</t>
  </si>
  <si>
    <t>Abysse</t>
  </si>
  <si>
    <t>30% d'Augmentation du Score d'Évasion pendant le déplacement (fractured)</t>
  </si>
  <si>
    <t>Ajoute 11 à 20 Dégâts de chaos aux Attaques</t>
  </si>
  <si>
    <t>+35 de Mana maximal</t>
  </si>
  <si>
    <t>Insérez ce Joyau dans une Châsse abyssale présente sur un objet, ou dans une Châsse de Joyau attribuée dans l'Arbre des Talents passifs. Retirez-le à l'aide d'un clic droit.</t>
  </si>
  <si>
    <t>Objet fissuré</t>
  </si>
  <si>
    <t>Niveau: 52</t>
  </si>
  <si>
    <t>+25 de Force (implicit)</t>
  </si>
  <si>
    <t>+73 de Vie maximale</t>
  </si>
  <si>
    <t>+29% à la Résistance au feu</t>
  </si>
  <si>
    <t>+32% à la Résistance au froid</t>
  </si>
  <si>
    <t>Les Dégâts des Embrasements infligés par vos Attaques sont infligés 35% plus rapidement</t>
  </si>
  <si>
    <t>Pérambulations</t>
  </si>
  <si>
    <t>Chaussures en laine</t>
  </si>
  <si>
    <t>Bouclier d'énergie: 22 (augmented)</t>
  </si>
  <si>
    <t xml:space="preserve">Châsses: G-B-B B </t>
  </si>
  <si>
    <t>+5 de Dextérité</t>
  </si>
  <si>
    <t>+17 de Bouclier d'énergie maximal</t>
  </si>
  <si>
    <t>37% d'Augmentation du Taux de Régénération de Mana</t>
  </si>
  <si>
    <t>20% d'Augmentation de la Vitesse de déplacement</t>
  </si>
  <si>
    <t>Immunité au Gel</t>
  </si>
  <si>
    <t>Le monde entier est ma demeure.</t>
  </si>
  <si>
    <t>Classe d'objet: Gants</t>
  </si>
  <si>
    <t>Hémophilie</t>
  </si>
  <si>
    <t>Gantelets en écailles de serpent</t>
  </si>
  <si>
    <t>Armure: 78</t>
  </si>
  <si>
    <t>Score d'Évasion: 78</t>
  </si>
  <si>
    <t>Niveau: 43</t>
  </si>
  <si>
    <t>For: 34</t>
  </si>
  <si>
    <t xml:space="preserve">Châsses: R-R-G </t>
  </si>
  <si>
    <t>+25 de Force</t>
  </si>
  <si>
    <t>25% d'Augmentation des Dégâts sur la durée</t>
  </si>
  <si>
    <t>Les Attaques ont 25% de chances d'infliger le Saignement</t>
  </si>
  <si>
    <t>34% d'Augmentation des Dégâts d'Attaque contre les Ennemis qui Saignent</t>
  </si>
  <si>
    <t>Les Ennemis affectés par Saignement Explosent, infligeant</t>
  </si>
  <si>
    <t>5% de leur Vie Maximale sous forme de Dégâts Physiques</t>
  </si>
  <si>
    <t>25% de Réduction de la Durée du Saignement</t>
  </si>
  <si>
    <t>« Lorsqu'il exerce son art, un maître-peintre prend son temps.</t>
  </si>
  <si>
    <t>Malheureusement, le genre de maître que je suis ne dispose pas de ce genre de luxe. »</t>
  </si>
  <si>
    <t>– Coralito, de la Confrérie du Silence</t>
  </si>
  <si>
    <t>Classe d'objet: Arcs</t>
  </si>
  <si>
    <t>Nuage orageux</t>
  </si>
  <si>
    <t>Arc long</t>
  </si>
  <si>
    <t>Arc</t>
  </si>
  <si>
    <t>Dégâts élémentaires: 1-85 (augmented)</t>
  </si>
  <si>
    <t>Chances de coup critique: 6.00%</t>
  </si>
  <si>
    <t>Attaques par seconde: 1.93 (augmented)</t>
  </si>
  <si>
    <t>Niveau: 9</t>
  </si>
  <si>
    <t xml:space="preserve">Châsses: G </t>
  </si>
  <si>
    <t>Niveau de l'objet: 73</t>
  </si>
  <si>
    <t>Pas de Dégâts physiques</t>
  </si>
  <si>
    <t>Ajoute 1 à 85 Dégâts de foudre</t>
  </si>
  <si>
    <t>48% d'Augmentation de la Vitesse d'attaque</t>
  </si>
  <si>
    <t>Des siècles d'évolution dans la fabrication d'armures</t>
  </si>
  <si>
    <t>en acier ont fait des armées de l'Empire éternel</t>
  </si>
  <si>
    <t>des paratonnerres très efficaces.</t>
  </si>
  <si>
    <t>Classe d'objet: Griffes</t>
  </si>
  <si>
    <t>Traqueur de sang</t>
  </si>
  <si>
    <t>Patte d'infernaire</t>
  </si>
  <si>
    <t>Griffe</t>
  </si>
  <si>
    <t>Dégâts physiques: 99-171 (augmented)</t>
  </si>
  <si>
    <t>Allonge : 1.1 mètres</t>
  </si>
  <si>
    <t xml:space="preserve">Châsses: G-B </t>
  </si>
  <si>
    <t>1.6% des Dégâts physiques des Attaques Drainent de la Vie (implicit)</t>
  </si>
  <si>
    <t>155% d'Augmentation des Dégâts physiques</t>
  </si>
  <si>
    <t>Ajoute 10 à 12 Dégâts physiques</t>
  </si>
  <si>
    <t>5% d'Augmentation de la Vitesse d'attaque</t>
  </si>
  <si>
    <t>1.2% des Dégâts physiques des Attaques Drainent de la Vie</t>
  </si>
  <si>
    <t>5% d'Augmentation de la Vitesse de déplacement</t>
  </si>
  <si>
    <t>Le Drain de vie au Toucher avec cette arme est instantané</t>
  </si>
  <si>
    <t>« Car la vie de la chair sera toujours dans le sang. »</t>
  </si>
  <si>
    <t>– Atalui, prêtresse vaal</t>
  </si>
  <si>
    <t>Classe d'objet: Dagues</t>
  </si>
  <si>
    <t>Persang</t>
  </si>
  <si>
    <t>Couteau à dépecer</t>
  </si>
  <si>
    <t>Dague</t>
  </si>
  <si>
    <t>Dégâts physiques: 8-31 (augmented)</t>
  </si>
  <si>
    <t>Chances de coup critique: 7.80% (augmented)</t>
  </si>
  <si>
    <t>Attaques par seconde: 1.45</t>
  </si>
  <si>
    <t>Niveau: 5</t>
  </si>
  <si>
    <t xml:space="preserve">Châsses: G-G </t>
  </si>
  <si>
    <t>+14 de Dextérité</t>
  </si>
  <si>
    <t>57% d'Augmentation des Dégâts physiques</t>
  </si>
  <si>
    <t>Ajoute 1 à 3 Dégâts physiques</t>
  </si>
  <si>
    <t>30% d'Augmentation des Chances de coup critique</t>
  </si>
  <si>
    <t>40% d'Augmentation des Dégâts d'Attaque contre les Ennemis qui Saignent</t>
  </si>
  <si>
    <t>50% de chances d'infliger le Saignement sur un Coup critique</t>
  </si>
  <si>
    <t>Une tape sur l'épaule</t>
  </si>
  <si>
    <t>Un baiser sur la joue</t>
  </si>
  <si>
    <t>Une gorgée de ton vin</t>
  </si>
  <si>
    <t>Si rouge et si goûteux</t>
  </si>
  <si>
    <t>Classe d'objet: Joyaux</t>
  </si>
  <si>
    <t>Muscle</t>
  </si>
  <si>
    <t>Joyau pourpre</t>
  </si>
  <si>
    <t>5% d'Augmentation de la Force</t>
  </si>
  <si>
    <t>6% d'Augmentation de la Dextérité</t>
  </si>
  <si>
    <t>15% de Réduction de l'Intelligence</t>
  </si>
  <si>
    <t>« Prends ton temps, prépare tous tes plans.</t>
  </si>
  <si>
    <t>Ensuite, dis-moi lequel d'entre eux</t>
  </si>
  <si>
    <t>va retirer ma hache de tes côtes. »</t>
  </si>
  <si>
    <t>Insérez ce Joyau dans une Châsse attribuée dans l'Arbre des Talents passifs. Retirez-le à l'aide d'un clic droit.</t>
  </si>
  <si>
    <t>Classe d'objet: Carquois</t>
  </si>
  <si>
    <t>Garde arrière</t>
  </si>
  <si>
    <t>Carquois de flèches à pointe large</t>
  </si>
  <si>
    <t>Niveau: 28</t>
  </si>
  <si>
    <t>Niveau de l'objet: 82</t>
  </si>
  <si>
    <t>Ajoute 6 à 12 Dégâts physiques aux Attaques à l'arc (implicit)</t>
  </si>
  <si>
    <t>24% de Chances de Bloquer les Dégâts d'Attaque</t>
  </si>
  <si>
    <t>15% de Chances de Bloquer les Dégâts des Sorts</t>
  </si>
  <si>
    <t>+421 à l'Armure</t>
  </si>
  <si>
    <t>20% d'Augmentation de la Vitesse des Projectiles</t>
  </si>
  <si>
    <t>50% d'Augmentation de la Récupération de Blocage et d'Étourdissement</t>
  </si>
  <si>
    <t>19% d'Augmentation des Dégâts des Projectiles</t>
  </si>
  <si>
    <t>« Rares sont les hommes qui ont des yeux derrière la tête. »</t>
  </si>
  <si>
    <t>Classe d'objet: Sceptres</t>
  </si>
  <si>
    <t>Rêve algide</t>
  </si>
  <si>
    <t>Sceptre de l'ombre</t>
  </si>
  <si>
    <t>Dégâts physiques: 29-44</t>
  </si>
  <si>
    <t>Chances de coup critique: 6.20%</t>
  </si>
  <si>
    <t>Attaques par seconde: 1.25</t>
  </si>
  <si>
    <t>Niveau: 32</t>
  </si>
  <si>
    <t>For: 52</t>
  </si>
  <si>
    <t xml:space="preserve">Châsses: B-R </t>
  </si>
  <si>
    <t>22% d'Augmentation des Dégâts élémentaires (implicit)</t>
  </si>
  <si>
    <t>Les Gemmes Enchâssées sont modifiées par Hypothermie (Niveau 1)</t>
  </si>
  <si>
    <t>Les Gemmes Enchâssées sont modifiées par Morsure du froid (Niveau 1)</t>
  </si>
  <si>
    <t>Les Gemmes enchâssées sont modifiées par Pénétration du froid (Niveau 1)</t>
  </si>
  <si>
    <t>Les Gemmes Enchâssées sont modifiées par Drain de Mana (Niveau 1)</t>
  </si>
  <si>
    <t>Les Gemmes Enchâssées sont modifiées par Dégâts de froid supplémentaires (Niveau 10)</t>
  </si>
  <si>
    <t>Les Gemmes Enchâssées sont modifiées par Inspiration (Niveau 1)</t>
  </si>
  <si>
    <t>Ne combats pas le froid</t>
  </si>
  <si>
    <t>Renonce à l'espoir</t>
  </si>
  <si>
    <t>Sans geste.</t>
  </si>
  <si>
    <t>Classe d'objet: Bâtons</t>
  </si>
  <si>
    <t>Bourberacine</t>
  </si>
  <si>
    <t>Branche noueuse</t>
  </si>
  <si>
    <t>Bâton</t>
  </si>
  <si>
    <t>Dégâts physiques: 9-19</t>
  </si>
  <si>
    <t>Attaques par seconde: 1.30</t>
  </si>
  <si>
    <t>Allonge : 1.3 mètres</t>
  </si>
  <si>
    <t>+18% de Chances de Bloquer les Dégâts d'Attaque en maniant un bâton (implicit)</t>
  </si>
  <si>
    <t>Les Gemmes Enchâssées sont modifiées par Piège (Niveau 8)</t>
  </si>
  <si>
    <t>45% d'Augmentation des Dégâts Globaux</t>
  </si>
  <si>
    <t>18% d'Augmentation de la Vie maximale</t>
  </si>
  <si>
    <t>11% d'Augmentation du Mana maximal</t>
  </si>
  <si>
    <t>Vous n'avez rien à craindre quand vous êtes une racine dans un marécage</t>
  </si>
  <si>
    <t>Classe d'objet: Baguettes</t>
  </si>
  <si>
    <t>Bourgeon de vie</t>
  </si>
  <si>
    <t>Baguette en bois flotté</t>
  </si>
  <si>
    <t>Baguette</t>
  </si>
  <si>
    <t>Dégâts physiques: 5-9</t>
  </si>
  <si>
    <t>Chances de coup critique: 7.00%</t>
  </si>
  <si>
    <t>Attaques par seconde: 1.40</t>
  </si>
  <si>
    <t>12% d'Augmentation des Dégâts des Sorts (implicit)</t>
  </si>
  <si>
    <t>+1 au Niveau des Gemmes de Sorts enchâssées</t>
  </si>
  <si>
    <t>26% d'Augmentation des Dégâts des Sorts</t>
  </si>
  <si>
    <t>6% d'Augmentation de la Vitesse d'incantation</t>
  </si>
  <si>
    <t>+16 de Vie maximale</t>
  </si>
  <si>
    <t>+19 de Mana maximal</t>
  </si>
  <si>
    <t>Régénérez 7 de Vie sur une période de 1 seconde lorsque vous Lancez un Sort</t>
  </si>
  <si>
    <t>Des plus petites graines</t>
  </si>
  <si>
    <t>Aux plus grands séquoias,</t>
  </si>
  <si>
    <t>La vie perdure à Wraeclast.</t>
  </si>
  <si>
    <t>Classe d'objet: Bâtons de guerre</t>
  </si>
  <si>
    <t>Sculpte-royaumes</t>
  </si>
  <si>
    <t>Bâton en fer</t>
  </si>
  <si>
    <t>Bâton de guerre</t>
  </si>
  <si>
    <t>Dégâts physiques: 14-42</t>
  </si>
  <si>
    <t>Dégâts élémentaires: 13-25 (augmented), 13-24 (augmented)</t>
  </si>
  <si>
    <t>Chances de coup critique: 6.40%</t>
  </si>
  <si>
    <t>Niveau: 13</t>
  </si>
  <si>
    <t>For: 27</t>
  </si>
  <si>
    <t>+1 au Niveau des Gemmes de Feu enchâssées</t>
  </si>
  <si>
    <t>+1 au Niveau des Gemmes de froid enchâssées</t>
  </si>
  <si>
    <t>Les Gemmes Enchâssées sont modifiées par Froid converti en feu (Niveau 5)</t>
  </si>
  <si>
    <t>Ajoute 13 à 25 Dégâts de feu</t>
  </si>
  <si>
    <t>Ajoute 13 à 24 Dégâts de froid</t>
  </si>
  <si>
    <t>48% d'Augmentation des Dégâts élémentaires</t>
  </si>
  <si>
    <t>« Les créations de Dieu naissent et se terminent</t>
  </si>
  <si>
    <t>toujours dans le feu et dans la glace.</t>
  </si>
  <si>
    <t>Estimons-nous heureux de ne voir ni l'un ni l'autre. »</t>
  </si>
  <si>
    <t>– Archevêque Geofri</t>
  </si>
  <si>
    <t>Classe d'objet: Épées à une main</t>
  </si>
  <si>
    <t>Épée de corsaire</t>
  </si>
  <si>
    <t>Épée à une main</t>
  </si>
  <si>
    <t>Dégâts physiques: 55-183 (augmented)</t>
  </si>
  <si>
    <t>Chances de coup critique: 5.00%</t>
  </si>
  <si>
    <t>Attaques par seconde: 1.91 (augmented)</t>
  </si>
  <si>
    <t>Niveau: 58</t>
  </si>
  <si>
    <t>For: 81</t>
  </si>
  <si>
    <t xml:space="preserve">Châsses: R B G </t>
  </si>
  <si>
    <t>Niveau de l'objet: 78</t>
  </si>
  <si>
    <t>40% d'Augmentation du Score de Précision Global (implicit)</t>
  </si>
  <si>
    <t>85% d'Augmentation des Dégâts physiques</t>
  </si>
  <si>
    <t>Ajoute 10 à 19 Dégâts physiques</t>
  </si>
  <si>
    <t>23% d'Augmentation de la Vitesse d'attaque</t>
  </si>
  <si>
    <t>10% d'Augmentation de l'Effet des Effets bénéfiques vous affectant</t>
  </si>
  <si>
    <t>10% d'Augmentation de l'Efficacité de la Réservation de Mana des Aptitudes</t>
  </si>
  <si>
    <t>Les Effets bénéfiques des Auras de vos Alliés ne vous affectent pas</t>
  </si>
  <si>
    <t>Les Effets bénéfiques de vos Auras n'affectent pas vos Alliés</t>
  </si>
  <si>
    <t>Maîtrise-toi avant de chercher à maîtriser les autres.</t>
  </si>
  <si>
    <t>Classe d'objet: Épées d'estoc à une main</t>
  </si>
  <si>
    <t>Rapière à panier</t>
  </si>
  <si>
    <t>Dégâts physiques: 27-62 (augmented)</t>
  </si>
  <si>
    <t>Chances de coup critique: 5.50%</t>
  </si>
  <si>
    <t>Attaques par seconde: 1.55</t>
  </si>
  <si>
    <t>Allonge : 1.4 mètres</t>
  </si>
  <si>
    <t>Niveau: 17</t>
  </si>
  <si>
    <t xml:space="preserve">Châsses: G R-G </t>
  </si>
  <si>
    <t>+25% au Multiplicateur de coup critique Global (implicit)</t>
  </si>
  <si>
    <t>149% d'Augmentation des Dégâts physiques</t>
  </si>
  <si>
    <t>20% de Réduction de la Rareté des Objets cédés</t>
  </si>
  <si>
    <t>+57% à toutes les Résistances élémentaires</t>
  </si>
  <si>
    <t>Octroie 3 de Vie par Ennemi Touché</t>
  </si>
  <si>
    <t>De nombreux collectionneurs de raretés ont découvert</t>
  </si>
  <si>
    <t>avec désarroi que l'esprit intelligent enfermé dans cette épée</t>
  </si>
  <si>
    <t>n'aime pas partager l'attention de son maître</t>
  </si>
  <si>
    <t>Classe d'objet: Épées à deux mains</t>
  </si>
  <si>
    <t>Épée du tigre</t>
  </si>
  <si>
    <t>Épée à deux mains</t>
  </si>
  <si>
    <t>Dégâts physiques: 192-316 (augmented)</t>
  </si>
  <si>
    <t>Chances de coup critique: 7.90% (augmented)</t>
  </si>
  <si>
    <t>Niveau: 51</t>
  </si>
  <si>
    <t>For: 80</t>
  </si>
  <si>
    <t xml:space="preserve">Châsses: G R </t>
  </si>
  <si>
    <t>+360 au Score de Précision (implicit)</t>
  </si>
  <si>
    <t>255% d'Augmentation des Dégâts physiques</t>
  </si>
  <si>
    <t>20% d'Augmentation de la Vitesse d'attaque</t>
  </si>
  <si>
    <t>58% d'Augmentation des Chances de coup critique</t>
  </si>
  <si>
    <t>Vous gagnez 10 de Mana par Ennemi Tué</t>
  </si>
  <si>
    <t>Gagnez une Charge de frénésie sur un Coup critique</t>
  </si>
  <si>
    <t>La dernière chose qu'il sentit fut la lame du bourreau.</t>
  </si>
  <si>
    <t>Elle n'était pas froide, mais chaleureuse et rassurante,</t>
  </si>
  <si>
    <t>murmurant la promesse de jours meilleurs.</t>
  </si>
  <si>
    <t>Souriant, il accepta l'étreinte de la mort.</t>
  </si>
  <si>
    <t>Classe d'objet: Haches à une main</t>
  </si>
  <si>
    <t>Hache infernale</t>
  </si>
  <si>
    <t>Hache à une main</t>
  </si>
  <si>
    <t>Dégâts physiques: 51-85</t>
  </si>
  <si>
    <t>Dégâts élémentaires: 276-323 (augmented), 282-315 (augmented)</t>
  </si>
  <si>
    <t>Attaques par seconde: 1.45 (augmented)</t>
  </si>
  <si>
    <t>Niveau: 69</t>
  </si>
  <si>
    <t>For: 158</t>
  </si>
  <si>
    <t xml:space="preserve">Châsses: R-G </t>
  </si>
  <si>
    <t>Ajoute 276 à 323 Dégâts de feu en main principale</t>
  </si>
  <si>
    <t>Ajoute 282 à 315 Dégâts de froid en main secondaire</t>
  </si>
  <si>
    <t>11% d'Augmentation de la Vitesse d'attaque</t>
  </si>
  <si>
    <t>25% de chances d'Embraser en étant dans la main principale</t>
  </si>
  <si>
    <t>100% d'Augmentation des Dégâts avec l'Embrasement infligé aux Ennemis Frigorifiés</t>
  </si>
  <si>
    <t>Lorsque cette arme est équipée dans la main secondaire, elle Frigorifie les Ennemis au Toucher pendant 1 secondes</t>
  </si>
  <si>
    <t>Né de l'amour, forgé dans le sang</t>
  </si>
  <si>
    <t>Il brûlait comme une torche dans les ténèbres</t>
  </si>
  <si>
    <t>Elle étincelait comme la glace sous le soleil hivernal</t>
  </si>
  <si>
    <t>Fièrement, ardemment</t>
  </si>
  <si>
    <t>Aux côtés de leur mère, pour toujours.</t>
  </si>
  <si>
    <t>Classe d'objet: Haches à deux mains</t>
  </si>
  <si>
    <t>Tranche-membres</t>
  </si>
  <si>
    <t>Fendeuse</t>
  </si>
  <si>
    <t>Hache à deux mains</t>
  </si>
  <si>
    <t>Dégâts physiques: 45-91 (augmented)</t>
  </si>
  <si>
    <t>For: 36</t>
  </si>
  <si>
    <t>+1 au Niveau des Gemmes de Force enchâssées</t>
  </si>
  <si>
    <t>+27 de Force</t>
  </si>
  <si>
    <t>86% d'Augmentation des Dégâts physiques</t>
  </si>
  <si>
    <t>Ajoute 5 à 10 Dégâts physiques</t>
  </si>
  <si>
    <t>Coup de grâce</t>
  </si>
  <si>
    <t>Oscillant dans les airs, elle chante le refrain</t>
  </si>
  <si>
    <t>De morceaux tranchés, déchiquetés, perdus dans le lointain.</t>
  </si>
  <si>
    <t>Classe d'objet: Masses à une main</t>
  </si>
  <si>
    <t>Souffle de givre</t>
  </si>
  <si>
    <t>Masse ornée</t>
  </si>
  <si>
    <t>Masse à une main</t>
  </si>
  <si>
    <t>Dégâts physiques: 83-105 (augmented)</t>
  </si>
  <si>
    <t>Dégâts élémentaires: 31-40 (augmented)</t>
  </si>
  <si>
    <t>Attaques par seconde: 1.36 (augmented)</t>
  </si>
  <si>
    <t>For: 161</t>
  </si>
  <si>
    <t>15% de Réduction du Seuil d'Étourdissement de l'Ennemi (implicit)</t>
  </si>
  <si>
    <t>Ajoute 30 à 38 Dégâts physiques</t>
  </si>
  <si>
    <t>Ajoute 31 à 40 Dégâts de froid</t>
  </si>
  <si>
    <t>13% d'Augmentation de la Vitesse d'attaque</t>
  </si>
  <si>
    <t>+50% à la Résistance au feu</t>
  </si>
  <si>
    <t>39% d'Augmentation de la Durée de la Frigorification sur les Ennemis</t>
  </si>
  <si>
    <t>Les Attaques avec cette Arme infligent des Dégâts doublés aux Ennemis Frigorifiés</t>
  </si>
  <si>
    <t>Un meurtrier miséricordieux parcourut les rues de Sarn</t>
  </si>
  <si>
    <t>Dérobant le souffle des faibles et des minables.</t>
  </si>
  <si>
    <t>Classe d'objet: Masses à deux mains</t>
  </si>
  <si>
    <t>Foyer du Néant</t>
  </si>
  <si>
    <t>Massue de l'épouvante</t>
  </si>
  <si>
    <t>Masse à deux mains</t>
  </si>
  <si>
    <t>Dégâts physiques: 193-260 (augmented)</t>
  </si>
  <si>
    <t>Attaques par seconde: 1.88 (augmented)</t>
  </si>
  <si>
    <t>For: 173</t>
  </si>
  <si>
    <t xml:space="preserve">Châsses: R R-R </t>
  </si>
  <si>
    <t>30% d'Augmentation de la Durée de l'Étourdissement sur les Ennemis (implicit)</t>
  </si>
  <si>
    <t>150% d'Augmentation des Dégâts physiques</t>
  </si>
  <si>
    <t>50% d'Augmentation de la Vitesse d'attaque</t>
  </si>
  <si>
    <t>50% de Réduction de la Rareté des Objets cédés</t>
  </si>
  <si>
    <t>35% de Réduction du gain d'Expérience</t>
  </si>
  <si>
    <t>0.4% des Dégâts physiques des Attaques Drainent du Mana</t>
  </si>
  <si>
    <t>Maudite soit l'étoile d'où elle est venue.</t>
  </si>
  <si>
    <t>Classe d'objet: Broches de Malfaiteur</t>
  </si>
  <si>
    <t>Carcan horrible</t>
  </si>
  <si>
    <t>Broche argentée</t>
  </si>
  <si>
    <t>Peut être équipé par : n'importe quel Malfaiteur</t>
  </si>
  <si>
    <t>Niveau 2 en n'importe quelle Compétence</t>
  </si>
  <si>
    <t>14% d'Augmentation de la Rareté des Objets cédés pendant les Casses (implicit)</t>
  </si>
  <si>
    <t>38% d'Augmentation de Dégâts</t>
  </si>
  <si>
    <t>Les Coffres de Casse ont 7% de chances de dupliquer les Orbes de Délire qu'ils contiennent</t>
  </si>
  <si>
    <t>7% de Réduction du Salaire des Malfaiteurs</t>
  </si>
  <si>
    <t>23% d'Augmentation de la Rareté des Objets cédés pendant les Casses</t>
  </si>
  <si>
    <t>Seuls les Malfaiteurs peuvent s'équiper de cet objet.</t>
  </si>
  <si>
    <t>Classe d'objet: Capes de Malfaiteur</t>
  </si>
  <si>
    <t>Linceul cadavérique</t>
  </si>
  <si>
    <t>Cape déchirée</t>
  </si>
  <si>
    <t>Niveau 3 en n'importe quelle Compétence</t>
  </si>
  <si>
    <t>3% de Réduction de la montée du Niveau d'alerte (implicit)</t>
  </si>
  <si>
    <t>23% d'Augmentation de Dégâts tant que la Zone n'est pas Verrouillée</t>
  </si>
  <si>
    <t>Les joueurs ont 23% d'Augmentation de Dégâts tant que la Zone n'est pas Verrouillée</t>
  </si>
  <si>
    <t>3% de Réduction de la montée du Niveau d'alerte en cas d'ouverture de coffres</t>
  </si>
  <si>
    <t>Classe d'objet: Équipements de Malfaiteur</t>
  </si>
  <si>
    <t>Attirail du phénix</t>
  </si>
  <si>
    <t>Pierre à aiguiser rugueuse</t>
  </si>
  <si>
    <t>Niveau de l'objet: 71</t>
  </si>
  <si>
    <t>14% d'Augmentation des Dégâts de mêlée (implicit)</t>
  </si>
  <si>
    <t>12 à 20 Dégâts de froid supplémentaires</t>
  </si>
  <si>
    <t>Les joueurs et leurs Créatures ont 12 à 20 Dégâts de froid supplémentaires</t>
  </si>
  <si>
    <t>6% de Réduction du Salaire des Malfaiteurs</t>
  </si>
  <si>
    <t>Octroie l'Aptitude Fierté (Niveau 5)</t>
  </si>
  <si>
    <t>Classe d'objet: Objectifs de Casse</t>
  </si>
  <si>
    <t>Crâne d'hominidé à longues dents</t>
  </si>
  <si>
    <t>Niveau de l'objet: 27</t>
  </si>
  <si>
    <t>« Si le crâne est authentique et non un faux, alors il pourrait démontrer que les gens de mon peuple</t>
  </si>
  <si>
    <t>ne sont pas les abominations que tout le monde imagine. Le mot "humain" a peut-être un sens plus large. »</t>
  </si>
  <si>
    <t>Rendez-vous au Port des Malfaiteurs afin de vendre cet objet à Faustus, le Receleur</t>
  </si>
  <si>
    <t>Classe d'objet: Outils de Malfaiteur</t>
  </si>
  <si>
    <t>Matériel tourmenté</t>
  </si>
  <si>
    <t>Porte-clés essentiel</t>
  </si>
  <si>
    <t>Peut être équipé par :</t>
  </si>
  <si>
    <t>Vindéri, le Désamorceur</t>
  </si>
  <si>
    <t>Tullina, la Cambrioleuse</t>
  </si>
  <si>
    <t>Isla, l'Ingénieur</t>
  </si>
  <si>
    <t>Niveau 2 en Désamorçage de pièges</t>
  </si>
  <si>
    <t>4% d'Augmentation de la Vitesse du Désamorçage de pièges (implicit)</t>
  </si>
  <si>
    <t>9% de Réduction de la Part du Cercle</t>
  </si>
  <si>
    <t>+2 secondes au compte à rebours avant le Verrouillage</t>
  </si>
  <si>
    <t>3% d'Augmentation du gain d'expérience des Malfaiteurs</t>
  </si>
  <si>
    <t>Trinkets</t>
  </si>
  <si>
    <t>Fishing Rods</t>
  </si>
  <si>
    <t>Item Class: Trinkets</t>
  </si>
  <si>
    <t>Apocalypse Bead</t>
  </si>
  <si>
    <t>Thief's Trinket</t>
  </si>
  <si>
    <t>Level: 40</t>
  </si>
  <si>
    <t>3% chance to receive additional Breach items when opening a Reward Chest in a Heist</t>
  </si>
  <si>
    <t>15% chance in Heists for Orbs of Alteration to drop as Orbs of Alchemy instead</t>
  </si>
  <si>
    <t>20% chance in Heists for Chromatic Orbs to drop as Orbs of Fusing instead</t>
  </si>
  <si>
    <t>You must find the sculpture The Catch in a Smuggler's Den or Underbelly Blueprint to be able to equip this</t>
  </si>
  <si>
    <t>Item Class: Fishing Rods</t>
  </si>
  <si>
    <t>Reefbane</t>
  </si>
  <si>
    <t>Fishing Rod</t>
  </si>
  <si>
    <t>Physical Damage: 8-15</t>
  </si>
  <si>
    <t>Attacks per Second: 1.20</t>
  </si>
  <si>
    <t>34% increased Cast Speed</t>
  </si>
  <si>
    <t>Thaumaturgical Lure</t>
  </si>
  <si>
    <t>15% increased Quantity of Fish Caught</t>
  </si>
  <si>
    <t>Glows while in an Area containing a Unique Fish</t>
  </si>
  <si>
    <t>He cast far into the ocean</t>
  </si>
  <si>
    <t>And tore out her heart.</t>
  </si>
  <si>
    <t>Classe d'objet: Babioles</t>
  </si>
  <si>
    <t>Perles apocalyptiques</t>
  </si>
  <si>
    <t>Babiole de voleur</t>
  </si>
  <si>
    <t>Niveau: 40</t>
  </si>
  <si>
    <t>3% de chances de recevoir des Objets de Brèche supplémentaires lorsque vous ouvrez un coffre de récompense durant un Casse</t>
  </si>
  <si>
    <t>15% de chances pendant les Casses que les Orbes d'altération cédés deviennent des Orbes d'alchimie</t>
  </si>
  <si>
    <t>20% de chances pendant les Casses que les Orbes chromatiques cédés deviennent des Orbes de fusion</t>
  </si>
  <si>
    <t>Pour pouvoir vous équiper de cet objet, vous devez d'abord trouver la sculpture nommée « La Prise » à partir d'un Plan de Tanière de contrebandier ou un Plan de Bas-fonds</t>
  </si>
  <si>
    <t>Classe d'objet: Cannes à pêche</t>
  </si>
  <si>
    <t>Fléau des Récifs</t>
  </si>
  <si>
    <t>Canne à pêche</t>
  </si>
  <si>
    <t>Dégâts physiques: 8-15</t>
  </si>
  <si>
    <t>Attaques par seconde: 1.20</t>
  </si>
  <si>
    <t>34% d'Augmentation de la Vitesse d'incantation</t>
  </si>
  <si>
    <t>Leurre thaumaturgique</t>
  </si>
  <si>
    <t>15% d'Augmentation de la Quantité de Poissons Pêchés</t>
  </si>
  <si>
    <t>Brille dans une Zone contenant un Poisson Unique</t>
  </si>
  <si>
    <t>Il lança la ligne dans l'océan</t>
  </si>
  <si>
    <t>Et lui arracha le cœur.</t>
  </si>
  <si>
    <t>Main Pages</t>
  </si>
  <si>
    <t>Gems</t>
  </si>
  <si>
    <t>Flasks</t>
  </si>
  <si>
    <t>Items with Properties</t>
  </si>
  <si>
    <t>Influences</t>
  </si>
  <si>
    <t>Items</t>
  </si>
  <si>
    <t>Other</t>
  </si>
  <si>
    <t>Classe d'objet: Recherche du Sanctuaire</t>
  </si>
  <si>
    <t>Tome interdit</t>
  </si>
  <si>
    <t>Niv. de zone: 81</t>
  </si>
  <si>
    <t>Apportez cet objet à l'Autel des Reliques dans le Sanctuaire interdit pour y entrer.</t>
  </si>
  <si>
    <t>/divergente?s?/</t>
  </si>
  <si>
    <t>/anormale?s?/</t>
  </si>
  <si>
    <t>/fantasmatiques?/</t>
  </si>
  <si>
    <t>Gegenstandsklasse: Fertigkeitengemmen</t>
  </si>
  <si>
    <t>Seltenheit: Gemme</t>
  </si>
  <si>
    <t>Tektonischer Hieb (illusorisch)</t>
  </si>
  <si>
    <t>Feuer, Angriff, Wirkungsbereich, Hieb, Nahkampf</t>
  </si>
  <si>
    <t>Stufe: 16</t>
  </si>
  <si>
    <t>Kosten: 10 Mana</t>
  </si>
  <si>
    <t>Angriffsgeschwindigkeit: 80% des Basiswerts</t>
  </si>
  <si>
    <t>Angriffsschaden: 255% des Basiswerts</t>
  </si>
  <si>
    <t>Effektivität zusätzlichen Schadens: 255%</t>
  </si>
  <si>
    <t>Qualität: +11% (augmented)</t>
  </si>
  <si>
    <t>Alternative Qualität</t>
  </si>
  <si>
    <t>Anforderungen:</t>
  </si>
  <si>
    <t>Stufe: 62</t>
  </si>
  <si>
    <t>Schlagt auf den Boden und entfesselt einen feurigen Riss vor Euch, der Flächenschaden verursacht und vom Hauptriss ausgehend eine zufällige Anzahl kleinerer Risse erzeugt. Verbraucht jeden dritten Schlag auf den Boden mit dieser Fertigkeit eine Widerstands-Ladung. Erfordert einen Streitkolben, ein Zepter, ein Schwert, eine Axt, einen Stab oder kann unbewaffnet verwendet werden.</t>
  </si>
  <si>
    <t>60% des physischen Schadens werden in Feuerschaden umgewandelt</t>
  </si>
  <si>
    <t>11% erhöhter Feuerschaden</t>
  </si>
  <si>
    <t>5% mehr Wirkungsbereich pro Widerstands-Ladung</t>
  </si>
  <si>
    <t>+5% Chance auf Nebenrisse pro Widerstands-Ladung</t>
  </si>
  <si>
    <t>30% Chance auf Nebenrisse</t>
  </si>
  <si>
    <t>Erfahrung: 4,897,423/15,138,193</t>
  </si>
  <si>
    <t>Setze die Gemme in eine Fassung mit der richtigen Farbe ein, um diese Fertigkeit zu erhalten. Entferne sie mit Rechtsklick aus der Fassung.</t>
  </si>
  <si>
    <t>Sperrfeuer (anormal)</t>
  </si>
  <si>
    <t>Angriff, Projektil, Bogen</t>
  </si>
  <si>
    <t>Stufe: 20 (max)</t>
  </si>
  <si>
    <t>Kosten: 11 Mana</t>
  </si>
  <si>
    <t>Angriffsschaden: 54.6% des Basiswerts</t>
  </si>
  <si>
    <t>Effektivität zusätzlichen Schadens: 55%</t>
  </si>
  <si>
    <t>Stufe: 70</t>
  </si>
  <si>
    <t>Ges: 155</t>
  </si>
  <si>
    <t>Nach einer kurzen Vorbereitungszeit schießt Ihr mehrfach mit einer Fernkampfwaffe. Diese Angriffe haben einen kleinen zufälligen Radius. Funktioniert nur mit Bögen oder Zauberstäben. Diese Fertigkeit kann nicht ausgelöst werden.</t>
  </si>
  <si>
    <t>11% Chance, Gegner bei Treffer zurückzustoßen</t>
  </si>
  <si>
    <t>Feuert 4 zusätzliche Projektile</t>
  </si>
  <si>
    <t>Feuert Projektile nacheinander</t>
  </si>
  <si>
    <t>Verderbt</t>
  </si>
  <si>
    <t>Gegenstandsklasse: Unterstützungsgemmen</t>
  </si>
  <si>
    <t>Unterstützung: Göttliche Segnung (abweichend)</t>
  </si>
  <si>
    <t>Unterstützung, Aura, Dauer, Segnung</t>
  </si>
  <si>
    <t>Qualität: +20% (augmented)</t>
  </si>
  <si>
    <t>Unterstützt Aura-Fertigkeiten, die permanente Auren um Euch herum erzeugen, ihre Reservierung zu Kosten verändern und sie dadurch temporär machen. Kann keine Banner-Fertigkeiten unterstützen.</t>
  </si>
  <si>
    <t>Unterstützte Fertigkeiten haben 5% verringerte Manakosten</t>
  </si>
  <si>
    <t>Unterstützte Fertigkeiten haben 29% erhöhte Aurawirkung</t>
  </si>
  <si>
    <t>Unterstützte Fertigkeiten kosten +233 Mana</t>
  </si>
  <si>
    <t>Unterstützte Fertigkeiten zählen auch als Segnungs-Fertigkeiten</t>
  </si>
  <si>
    <t>Ihr könnt nur eine Aura von Euren Segnungs-Fertigkeiten benutzen</t>
  </si>
  <si>
    <t>Auren von unterstützten Fertigkeiten haben eine Basisdauer von 10.90 Sekunden</t>
  </si>
  <si>
    <t>Dies ist eine Unterstützungsgemme. Sie gewährt deinem Charakter keinen Bonus, sondern den Fertigkeiten in Fassungen, mit denen sie verbunden ist. Setze sie in eine Gegenstandsfassung ein, die mit einer Fassung verbunden ist, die die aktive Fertigkeitengemme enthält, die du verstärken möchtest. Entferne sie mit Rechtsklick aus ihrer Fassung.</t>
  </si>
  <si>
    <t>Gegenstandsklasse: Stapelbare Währung</t>
  </si>
  <si>
    <t>Seltenheit: Währung</t>
  </si>
  <si>
    <t>Chaossphäre</t>
  </si>
  <si>
    <t>Stapelgröße: 1/20</t>
  </si>
  <si>
    <t>Stattet einen seltenen Gegenstand mit neuen zufälligen Modifikatoren aus.</t>
  </si>
  <si>
    <t>Rechtsklicke auf diesen Gegenstand und linksklicke dann zum Anwenden auf einen seltenen Gegenstand.</t>
  </si>
  <si>
    <t>Gegenstandsklasse: Delve: Stapelbare, einfassbare Währung</t>
  </si>
  <si>
    <t>Primitiver chaotischer Resonator</t>
  </si>
  <si>
    <t>Stapelgröße: 1/10</t>
  </si>
  <si>
    <t>Erfordert 1 (unmet) eingefasstes Fossil</t>
  </si>
  <si>
    <t xml:space="preserve">Fassungen: D </t>
  </si>
  <si>
    <t>Alle Fassungen müssen Fossilien enthalten, damit dieser Gegenstand benutzt werden kann.</t>
  </si>
  <si>
    <t>Gegenstandsklasse: Weissagungskarten</t>
  </si>
  <si>
    <t>Seltenheit: Weissagungskarte</t>
  </si>
  <si>
    <t>Das chaotische Gemüt</t>
  </si>
  <si>
    <t>5x Chaossphäre</t>
  </si>
  <si>
    <t>Leben ist nicht das, was Ihr daraus macht.</t>
  </si>
  <si>
    <t>Es wurde bereits für Euch gemacht.</t>
  </si>
  <si>
    <t>Gegenstandsklasse: Metamorph-Proben</t>
  </si>
  <si>
    <t>Seltenheit: Einzigartig</t>
  </si>
  <si>
    <t>Gehirn von: Kapitän Clayborne, der Verfluchte</t>
  </si>
  <si>
    <t>Verwendet: Seelenblitz</t>
  </si>
  <si>
    <t>Gegenstandsstufe: 80</t>
  </si>
  <si>
    <t>Lässt zusätzliche Währungsgegenstände fallen</t>
  </si>
  <si>
    <t>Lässt zusätzliche Gemmen mit Qualität fallen</t>
  </si>
  <si>
    <t>Lässt eine seltene Waffe mit 5 verbundenen Fassungen fallen</t>
  </si>
  <si>
    <t>Kombiniere dies mit vier anderen unterschiedlichen Proben in Tanes Laboratorium.</t>
  </si>
  <si>
    <t>Gegenstandsklasse: Karten</t>
  </si>
  <si>
    <t>Seltenheit: Normal</t>
  </si>
  <si>
    <t>Befallene 'Geode'-Karte</t>
  </si>
  <si>
    <t>Kartenlevel: 13</t>
  </si>
  <si>
    <t>Gebiet ist von Pilzen befallen (implicit)</t>
  </si>
  <si>
    <t>Karten-Modifikatoren der Gegenstandsmenge wirken sich zu 20% auch auf die Anzahl der Blight-Truhen aus (implicit)</t>
  </si>
  <si>
    <t>Kann bis zu 3 Mal geweiht werden (implicit)</t>
  </si>
  <si>
    <t>Die ursprünglichen Bewohner dieses Gebiets wurden entfernt (implicit)</t>
  </si>
  <si>
    <t>Reise zu dieser Karte, indem du sie in einem persönlichen Kartenapparat verwendest. Karten können nur einmal verwendet werden.</t>
  </si>
  <si>
    <t>Extrem befallene 'Zellen'-Karte</t>
  </si>
  <si>
    <t>Kartenlevel: 15</t>
  </si>
  <si>
    <t>Gegenstandsstufe: 81</t>
  </si>
  <si>
    <t>Monsterstufe: 85 (implicit)</t>
  </si>
  <si>
    <t>200% mehr Monsterleben (implicit)</t>
  </si>
  <si>
    <t>20% erhöhte Monster-Bewegungsgeschwindigkeit (implicit)</t>
  </si>
  <si>
    <t>Karten-Modifikatoren der Gegenstandsmenge wirken sich zu 40% auch auf die Anzahl der Blight-Truhen aus (implicit)</t>
  </si>
  <si>
    <t>Kann bis zu 9 Mal geweiht werden (implicit)</t>
  </si>
  <si>
    <t>Gegenstandsklasse: Grundrisse</t>
  </si>
  <si>
    <t>Grundriss: Repositorium</t>
  </si>
  <si>
    <t>Auftragsziel: Ungewöhnliche Gemmen</t>
  </si>
  <si>
    <t>Gebietsstufe: 74</t>
  </si>
  <si>
    <t>Aufgedeckte Gebäudetrakte: 1/3</t>
  </si>
  <si>
    <t>Aufgedeckte Fluchtwege: 1/6</t>
  </si>
  <si>
    <t>Aufgedeckte Belohnungsräume: 2/15</t>
  </si>
  <si>
    <t>Erfordert Sprengung (Stufe 2)</t>
  </si>
  <si>
    <t>Erfordert Fallenentschärfung (Stufe 1)</t>
  </si>
  <si>
    <t>Erfordert Agilität (Stufe 1)</t>
  </si>
  <si>
    <t>Gegenstandsstufe: 74</t>
  </si>
  <si>
    <t>Sprecht mit bestimmten NSCs im Hafen der Abtrünnigen, um Informationen über zusätzliche Gebäudetrakte und geheime Räume zu erhalten. Übergebt diesen Grundriss an Adiyah, um Euch auf den Weg zum großen Coup zu machen.</t>
  </si>
  <si>
    <t>Gegenstandsklasse: Aufträge</t>
  </si>
  <si>
    <t>Seltenheit: Magisch</t>
  </si>
  <si>
    <t>Hindernder Auftrag: Bunker</t>
  </si>
  <si>
    <t>Auftraggeber: Marcine Clavus</t>
  </si>
  <si>
    <t>Auftragsziel: Rätselhafte Konstruktion C5 (Mäßiger Wert)</t>
  </si>
  <si>
    <t>Gebietsstufe: 6</t>
  </si>
  <si>
    <t>Erfordert Ingenieurwesen (Stufe 1)</t>
  </si>
  <si>
    <t>Gegenstandsmenge: +13% (augmented)</t>
  </si>
  <si>
    <t>Gegenstandsseltenheit: +8% (augmented)</t>
  </si>
  <si>
    <t>Reduzierung der Alarmstufe: +5% (augmented)</t>
  </si>
  <si>
    <t>Zeit vor der Abriegelung: +5% (augmented)</t>
  </si>
  <si>
    <t>Maximale Verstärkungen: +5% (augmented)</t>
  </si>
  <si>
    <t>Gegenstandsstufe: 6</t>
  </si>
  <si>
    <t>14% verringerte Job-Geschwindigkeit</t>
  </si>
  <si>
    <t>Ich habe das gesamte Vermögen meiner Familie für die Suche nach diesem Gerät ausgegeben._x000D_
Es zusammenzubauen und einzuschalten ist alles, was ich noch habe.</t>
  </si>
  <si>
    <t>Übergebt diesen Auftrag an Adiyah im Hafen der Abtrünnigen, um Euch auf den Weg zum Raubüberfall zu machen.</t>
  </si>
  <si>
    <t>Gegenstandsklasse: Expeditions-Logbücher</t>
  </si>
  <si>
    <t>Expeditions-Logbuch</t>
  </si>
  <si>
    <t>Gebietsstufe: 76</t>
  </si>
  <si>
    <t>Gegenstandsstufe: 76</t>
  </si>
  <si>
    <t>Wüstenruinen</t>
  </si>
  <si>
    <t>Orden des Kelches</t>
  </si>
  <si>
    <t>10% erhöhte Menge fallen gelassener Artefakte von Monstern (implicit)</t>
  </si>
  <si>
    <t>Gebiet enthält 23% erhöhte Anzahl an Artefakten (implicit)</t>
  </si>
  <si>
    <t>Karui-Kriegsgräber</t>
  </si>
  <si>
    <t>40% erhöhte Anzahl von Sprengkörpern (implicit)</t>
  </si>
  <si>
    <t>Gebiet enthält 15% erhöhte Anzahl an Markierungen für Monster (implicit)</t>
  </si>
  <si>
    <t>Bringt diesen Gegenstand zu Dannig in Eurem Versteck, um Portale zu einer Expedition zu öffnen.</t>
  </si>
  <si>
    <t>Flüchtige 'Atoll'-Karte</t>
  </si>
  <si>
    <t>Kartenlevel: 16</t>
  </si>
  <si>
    <t>Gegenstandsmenge: +19% (augmented)</t>
  </si>
  <si>
    <t>Gegenstandsseltenheit: +11% (augmented)</t>
  </si>
  <si>
    <t>Monstergruppengröße: +7% (augmented)</t>
  </si>
  <si>
    <t>Gegenstandsstufe: 84</t>
  </si>
  <si>
    <t>26% erhöhte Monster-Bewegungsgeschwindigkeit</t>
  </si>
  <si>
    <t>43% erhöhte Monster-Angriffsgeschwindigkeit</t>
  </si>
  <si>
    <t>38% erhöhte Monster-Zaubergeschwindigkeit</t>
  </si>
  <si>
    <t>Gegenstandsklasse: Kartenfragmente</t>
  </si>
  <si>
    <t>Opfergabe bei Abenddämmerung</t>
  </si>
  <si>
    <t>Die Vaal werden niemals die untergehende Sonne fürchten.</t>
  </si>
  <si>
    <t>Kann in einem persönlichen Kartenapparat verwendet werden.</t>
  </si>
  <si>
    <t>Gegenstandsklasse: Erinnerungen</t>
  </si>
  <si>
    <t>Nikos Erinnerung der Abgründe</t>
  </si>
  <si>
    <t>Gebiete enthalten zusätzliche Abgründe</t>
  </si>
  <si>
    <t>Abgründe sind bereits vollständig geöffnet</t>
  </si>
  <si>
    <t>Abgründe enthalten Monster aus dem Jenseits</t>
  </si>
  <si>
    <t>Rechtsklicke auf diesen Gegenstand und linksklicke dann auf eine abgeschlossene Karte in deinem Atlas, um diese Erinnerung anzuwenden.</t>
  </si>
  <si>
    <t>Nicht modifizierbar</t>
  </si>
  <si>
    <t>Gegenstandsklasse: Sonstige Kartengegenstände</t>
  </si>
  <si>
    <t>Windende Einladung</t>
  </si>
  <si>
    <t>Gegenstandsstufe: 83</t>
  </si>
  <si>
    <t>Gegenstandsmenge erhöht die Menge an Belohnungen, die vom Boss gelassen werden (implicit)</t>
  </si>
  <si>
    <t>Der Unendliche Hunger verweilt in einem kosmischen Magen,</t>
  </si>
  <si>
    <t>in dem ganze Zivilisationen verdaut werden – aber nicht sterben.</t>
  </si>
  <si>
    <t>Öffne Portale zum Brodelnden Chymus, indem du diesen Gegenstand in deinem persönlichen Kartenapparat benutzt.</t>
  </si>
  <si>
    <t>Gegenstandsklasse: Hybridfläschchen</t>
  </si>
  <si>
    <t>Heiliges Hybridfläschchen (hochwertig)</t>
  </si>
  <si>
    <t>Qualität: +18% (augmented)</t>
  </si>
  <si>
    <t>Regeneriert 1699 (augmented) Leben über 5 Sekunden</t>
  </si>
  <si>
    <t>Regeneriert 472 (augmented) Mana über 5 Sekunden</t>
  </si>
  <si>
    <t>Verbraucht 20 von 40 Füllungen bei Nutzung</t>
  </si>
  <si>
    <t>Hat derzeit 0 Füllungen</t>
  </si>
  <si>
    <t>Stufe: 50</t>
  </si>
  <si>
    <t>Gegenstandsstufe: 77</t>
  </si>
  <si>
    <t>Trinke mit Rechtsklick. Kann nur Füllungen haben, während es sich im Gürtel befindet. Füllt sich auf, wenn du Monster tötest.</t>
  </si>
  <si>
    <t>Gegenstandsklasse: Manafläschchen</t>
  </si>
  <si>
    <t>Ewiges Manafläschchen (hochwertig)</t>
  </si>
  <si>
    <t>Qualität: +15% (augmented)</t>
  </si>
  <si>
    <t>Regeneriert 2070 (augmented) Mana über 7 Sekunden</t>
  </si>
  <si>
    <t>Verbraucht 8 von 42 Füllungen bei Nutzung</t>
  </si>
  <si>
    <t>Stufe: 65</t>
  </si>
  <si>
    <t>Gegenstandsstufe: 70</t>
  </si>
  <si>
    <t>Gegenstandsklasse: Lebensfläschchen</t>
  </si>
  <si>
    <t>Ewiges Lebensfläschchen (hochwertig)</t>
  </si>
  <si>
    <t>Qualität: +8% (augmented)</t>
  </si>
  <si>
    <t>Regeneriert 2246 (augmented) Leben über 2 Sekunden</t>
  </si>
  <si>
    <t>Verbraucht 15 von 45 Füllungen bei Nutzung</t>
  </si>
  <si>
    <t>Gegenstandsstufe: 68</t>
  </si>
  <si>
    <t>Gegenstandsklasse: Hilfsfläschchen</t>
  </si>
  <si>
    <t>Des Studierten Silberfläschchen des Schuppentiers</t>
  </si>
  <si>
    <t>Qualität: +2% (augmented)</t>
  </si>
  <si>
    <t>Hält 6.10 (augmented) Sekunden an</t>
  </si>
  <si>
    <t>Verbraucht 32 (augmented) von 60 Füllungen bei Nutzung</t>
  </si>
  <si>
    <t>Ansturm</t>
  </si>
  <si>
    <t>Stufe: 46</t>
  </si>
  <si>
    <t>Gegenstandsstufe: 63</t>
  </si>
  <si>
    <t>18% verringerte Füllungen pro Nutzung</t>
  </si>
  <si>
    <t>53% erhöhte Rüstung während der Wirkung</t>
  </si>
  <si>
    <t>Gegenstandsklasse: Amulette</t>
  </si>
  <si>
    <t>Biscos Halskette</t>
  </si>
  <si>
    <t>Goldamulett</t>
  </si>
  <si>
    <t>Stufe: 30</t>
  </si>
  <si>
    <t>Gegenstandsstufe: 75</t>
  </si>
  <si>
    <t>20% erhöhte Seltenheit gefundener Gegenstände (implicit)</t>
  </si>
  <si>
    <t>146% erhöhte Seltenheit fallen gelassener Gegenstände von getöteten magischen Gegnern</t>
  </si>
  <si>
    <t>39% erhöhte Menge fallen gelassener Gegenstände von getöteten normalen Gegnern</t>
  </si>
  <si>
    <t>Der Wert der Freundschaft in Gold gemessen,</t>
  </si>
  <si>
    <t>ein Schatz an jedem Tage, gewiss unvergessen.</t>
  </si>
  <si>
    <t>Ich dachte, gemeinsam werden wir alt,</t>
  </si>
  <si>
    <t>doch das Schicksal war so kalt.</t>
  </si>
  <si>
    <t>Foil-Relikt (Sonnenuntergang)</t>
  </si>
  <si>
    <t>Gegenstandsklasse: Ringe</t>
  </si>
  <si>
    <t>Pauaring</t>
  </si>
  <si>
    <t>+24 zu maximalem Mana (implicit)</t>
  </si>
  <si>
    <t>Nicht identifiziert</t>
  </si>
  <si>
    <t>Gegenstandsklasse: Helme</t>
  </si>
  <si>
    <t>Ezomytische Burgunderhaube</t>
  </si>
  <si>
    <t>Rüstung: 702 (augmented)</t>
  </si>
  <si>
    <t>Stufe: 60</t>
  </si>
  <si>
    <t xml:space="preserve">Fassungen: R-R </t>
  </si>
  <si>
    <t>Gegenstandsstufe: 85</t>
  </si>
  <si>
    <t>+21 zu allen Attributen</t>
  </si>
  <si>
    <t>Fügt Angriffen 40 bis 60 physischen Schaden hinzu</t>
  </si>
  <si>
    <t>+112% zu Multiplikator für kritische Treffer mit Nahkampfangriffen</t>
  </si>
  <si>
    <t>103% erhöhte Rüstung</t>
  </si>
  <si>
    <t>49% erhöhter erlittener physischer Schaden</t>
  </si>
  <si>
    <t xml:space="preserve">Wenn Ihr all Eure Feinde getötet habt, </t>
  </si>
  <si>
    <t>was bleibt dann zu fürchten?</t>
  </si>
  <si>
    <t>Gegenstandsklasse: Körperrüstungen</t>
  </si>
  <si>
    <t>Kadavermantel</t>
  </si>
  <si>
    <t>Lackwams</t>
  </si>
  <si>
    <t>Ausweichwert: 964 (augmented)</t>
  </si>
  <si>
    <t>Energieschild: 197 (augmented)</t>
  </si>
  <si>
    <t>Ges: 96</t>
  </si>
  <si>
    <t xml:space="preserve">Fassungen: B-B </t>
  </si>
  <si>
    <t>149% erhöhter Energieschild und Ausweichen</t>
  </si>
  <si>
    <t>+51 zu maximalem Leben</t>
  </si>
  <si>
    <t>+11% zu allen Elementarwiderständen</t>
  </si>
  <si>
    <t>47% vergrößerter Wirkungsbereich</t>
  </si>
  <si>
    <t>42% erhöhter Flächenschaden</t>
  </si>
  <si>
    <t>Mehr Blut</t>
  </si>
  <si>
    <t xml:space="preserve">... Das Unbehagen der anderen ist amüsant. _x000D_
Doch niemand kann meine Arbeit leugnen, _x000D_
denn sie hat für Aufsehen gesorgt ... </t>
  </si>
  <si>
    <t>– Aus Maligaros Tagebuch</t>
  </si>
  <si>
    <t>Gegenstandsklasse: Schilde</t>
  </si>
  <si>
    <t>Nebelwall</t>
  </si>
  <si>
    <t>Lackierter Faustschild</t>
  </si>
  <si>
    <t>Chance auf Blocken: 24%</t>
  </si>
  <si>
    <t>Ausweichwert: 1154 (augmented)</t>
  </si>
  <si>
    <t>Ges: 154</t>
  </si>
  <si>
    <t xml:space="preserve">Fassungen: R </t>
  </si>
  <si>
    <t>6% erhöhte Bewegungsgeschwindigkeit (implicit)</t>
  </si>
  <si>
    <t>142% erhöhter Ausweichwert</t>
  </si>
  <si>
    <t>10% erhöhte Bewegungsgeschwindigkeit</t>
  </si>
  <si>
    <t>+16% zu Feuer- und Kältewiderstand</t>
  </si>
  <si>
    <t>+10% Chance, während Schemenform Elementarschaden zu vermeiden</t>
  </si>
  <si>
    <t>Ihr habt die maximale Chance, Angriffsschaden zu blocken, wenn Ihr kürzlich nicht geblockt habt</t>
  </si>
  <si>
    <t>Ihr habt 'Schemensprint', wenn Ihr kürzlich geblockt habt</t>
  </si>
  <si>
    <t>Leicht wie ein Brett,</t>
  </si>
  <si>
    <t>Steif wie eine Feder.</t>
  </si>
  <si>
    <t>Gegenstandsklasse: Runendolche</t>
  </si>
  <si>
    <t>Weißer Wind</t>
  </si>
  <si>
    <t>Kaiserliches Dolchmesser</t>
  </si>
  <si>
    <t>Runendolch</t>
  </si>
  <si>
    <t>Physischer Schaden: 18-73</t>
  </si>
  <si>
    <t>Elementarschaden: 167-304 (augmented)</t>
  </si>
  <si>
    <t>Kritische Trefferchance: 6.30%</t>
  </si>
  <si>
    <t>Angriffe pro Sekunde: 1.68 (augmented)</t>
  </si>
  <si>
    <t>Waffenreichweite: 1 Meter</t>
  </si>
  <si>
    <t>Stufe: 66</t>
  </si>
  <si>
    <t>Ges: 95</t>
  </si>
  <si>
    <t xml:space="preserve">Fassungen: B </t>
  </si>
  <si>
    <t>30% erhöhte globale kritische Trefferchance (implicit)</t>
  </si>
  <si>
    <t>Fügt 167 bis 304 Kälteschaden hinzu</t>
  </si>
  <si>
    <t>12% erhöhte Angriffsgeschwindigkeit</t>
  </si>
  <si>
    <t>+368 zu Ausweichwert</t>
  </si>
  <si>
    <t>100% erhöhter Kälteschaden, während Eure Nebenhand frei ist</t>
  </si>
  <si>
    <t>+20% Chance, Zauberschaden zu unterdrücken, während Eure Nebenhand frei ist</t>
  </si>
  <si>
    <t>Die Maraketh fürchten kaum jemanden,</t>
  </si>
  <si>
    <t>doch wagen sie es nicht, den Namen des Dämons zu flüstern,</t>
  </si>
  <si>
    <t>der durch den Sturm des Winters fliegt.</t>
  </si>
  <si>
    <t>Seltenheit: Selten</t>
  </si>
  <si>
    <t>Dornige Berlocke</t>
  </si>
  <si>
    <t>Bernsteinamulett</t>
  </si>
  <si>
    <t>Stufe: 54</t>
  </si>
  <si>
    <t>+22 zu Stärke (implicit)</t>
  </si>
  <si>
    <t>+8 zu Intelligenz</t>
  </si>
  <si>
    <t>6% erhöhte Intelligenz</t>
  </si>
  <si>
    <t>Fügt Angriffen 3 bis 6 physischen Schaden hinzu</t>
  </si>
  <si>
    <t>+13% zu Blitzwiderstand</t>
  </si>
  <si>
    <t>Kreuzritter-Gegenstand</t>
  </si>
  <si>
    <t>Gegenstandsklasse: Stiefel</t>
  </si>
  <si>
    <t>Bestien-Sporn</t>
  </si>
  <si>
    <t>Fleischstiefel</t>
  </si>
  <si>
    <t>Ausweichwert: 129 (augmented)</t>
  </si>
  <si>
    <t>Energieschild: 31 (augmented)</t>
  </si>
  <si>
    <t>Stufe: 55</t>
  </si>
  <si>
    <t>Ges: 35 (augmented)</t>
  </si>
  <si>
    <t xml:space="preserve">Fassungen: G-B-B-G </t>
  </si>
  <si>
    <t>Eingefasste Gemmen werden unterstützt durch 'Verstärken' Stufe 20</t>
  </si>
  <si>
    <t>32% verringerte Attributanforderungen</t>
  </si>
  <si>
    <t>+22 zu Ausweichwert</t>
  </si>
  <si>
    <t>+9 zu maximalem Energieschild</t>
  </si>
  <si>
    <t>Regeneriert 59.2 Leben pro Sekunde</t>
  </si>
  <si>
    <t>14% erhöhte Seltenheit gefundener Gegenstände</t>
  </si>
  <si>
    <t>Ältesten-Gegenstand</t>
  </si>
  <si>
    <t>Schmerz-Sprint</t>
  </si>
  <si>
    <t>Narbenlederstiefel</t>
  </si>
  <si>
    <t>Ausweichwert: 195</t>
  </si>
  <si>
    <t>Ges: 97</t>
  </si>
  <si>
    <t xml:space="preserve">Fassungen: B G </t>
  </si>
  <si>
    <t>Gegenstandsstufe: 79</t>
  </si>
  <si>
    <t>+19 zu Geschick</t>
  </si>
  <si>
    <t>+85 zu maximalem Leben</t>
  </si>
  <si>
    <t>25% erhöhte Bewegungsgeschwindigkeit</t>
  </si>
  <si>
    <t>Durch Euch verursachtes Bluten verursacht den Schaden 9% schneller</t>
  </si>
  <si>
    <t>Jäger-Gegenstand</t>
  </si>
  <si>
    <t>Jammer-Schlaufe</t>
  </si>
  <si>
    <t>Topasring</t>
  </si>
  <si>
    <t>Stufe: 67</t>
  </si>
  <si>
    <t>+21% zu Blitzwiderstand (implicit)</t>
  </si>
  <si>
    <t>32% erhöhte Manaregenerations-Rate</t>
  </si>
  <si>
    <t>27% erhöhte Seltenheit gefundener Gegenstände</t>
  </si>
  <si>
    <t>+44% zu Feuerwiderstand</t>
  </si>
  <si>
    <t>Verflucht Gegner bei Treffer mit 'Schneidende Kälte'</t>
  </si>
  <si>
    <t>+50 zu maximalem Mana (crafted)</t>
  </si>
  <si>
    <t>Erlöserin-Gegenstand</t>
  </si>
  <si>
    <t>Archon-Drachenschild</t>
  </si>
  <si>
    <t>Chance auf Blocken: 22%</t>
  </si>
  <si>
    <t>Rüstung: 156</t>
  </si>
  <si>
    <t>Energieschild: 32</t>
  </si>
  <si>
    <t xml:space="preserve">Fassungen: R R R </t>
  </si>
  <si>
    <t>+12% zu allen Elementarwiderständen (implicit)</t>
  </si>
  <si>
    <t>Schöpfer-Gegenstand</t>
  </si>
  <si>
    <t>Bedornter Astralpanzer der Eroberung</t>
  </si>
  <si>
    <t>Qualität: +30% (augmented)</t>
  </si>
  <si>
    <t>Rüstung: 924 (augmented)</t>
  </si>
  <si>
    <t xml:space="preserve">Fassungen: W-W-W-W-W-W </t>
  </si>
  <si>
    <t>Gegenstandsstufe: 100</t>
  </si>
  <si>
    <t>Gegenstand erzielt beim Händler einen viel höheren Gegenwert (implicit)</t>
  </si>
  <si>
    <t>+17% zu allen Elementarwiderständen</t>
  </si>
  <si>
    <t>Reflektiert 6 physischen Schaden auf Nahkampfangreifer</t>
  </si>
  <si>
    <t>Kriegsfürst-Gegenstand</t>
  </si>
  <si>
    <t>Gegenstandsklasse: Abgrund-Juwelen</t>
  </si>
  <si>
    <t>Hohle Sphäre</t>
  </si>
  <si>
    <t>Juwel der mörderischen Augen</t>
  </si>
  <si>
    <t>Abgrund</t>
  </si>
  <si>
    <t>30% erhöhter Ausweichwert während in Bewegung (fractured)</t>
  </si>
  <si>
    <t>Fügt Angriffen 11 bis 20 Chaosschaden hinzu</t>
  </si>
  <si>
    <t>+35 zu maximalem Mana</t>
  </si>
  <si>
    <t>Kann in eine Abgrund-Fassung eines Gegenstands oder in eine zugewiesene Fassung im Fertigkeitenbaum eingesetzt werden. Mit Rechtsklick kannst du es aus der Fassung entfernen.</t>
  </si>
  <si>
    <t>Brüchiger Gegenstand</t>
  </si>
  <si>
    <t>Gegenstandsklasse: Gürtel</t>
  </si>
  <si>
    <t>Dämmerung der Dyade</t>
  </si>
  <si>
    <t>Robuster Gürtel</t>
  </si>
  <si>
    <t>Stufe: 52</t>
  </si>
  <si>
    <t>+25 zu Stärke (implicit)</t>
  </si>
  <si>
    <t>+73 zu maximalem Leben</t>
  </si>
  <si>
    <t>+29% zu Feuerwiderstand</t>
  </si>
  <si>
    <t>+32% zu Kältewiderstand</t>
  </si>
  <si>
    <t>1% des Angriffsschadens gegen unterkühlte Gegner werden als Leben geraubt</t>
  </si>
  <si>
    <t>Durch Euch verursachte Entzündungen mit Angriffen verursachen den Schaden 35% schneller</t>
  </si>
  <si>
    <t>Verursacht keinen physischen Schaden</t>
  </si>
  <si>
    <t xml:space="preserve">Mit kühler Entschlossenheit </t>
  </si>
  <si>
    <t xml:space="preserve">und glühender Aufopferung </t>
  </si>
  <si>
    <t>erhoben sich die ewigen Zwillinge.</t>
  </si>
  <si>
    <t>Wollschuhe</t>
  </si>
  <si>
    <t>Energieschild: 22 (augmented)</t>
  </si>
  <si>
    <t xml:space="preserve">Fassungen: G-B-B B </t>
  </si>
  <si>
    <t>+5 zu Geschick</t>
  </si>
  <si>
    <t>+17 zu maximalem Energieschild</t>
  </si>
  <si>
    <t>37% erhöhte Manaregenerations-Rate</t>
  </si>
  <si>
    <t>20% erhöhte Bewegungsgeschwindigkeit</t>
  </si>
  <si>
    <t>Kann nicht eingefroren werden</t>
  </si>
  <si>
    <t>Meine Heimat ist die Welt.</t>
  </si>
  <si>
    <t>Gegenstandsklasse: Handschuhe</t>
  </si>
  <si>
    <t>Hämophilie</t>
  </si>
  <si>
    <t>Schlangenschuppen-Panzerhandschuhe</t>
  </si>
  <si>
    <t>Rüstung: 78</t>
  </si>
  <si>
    <t>Ausweichwert: 78</t>
  </si>
  <si>
    <t>Stufe: 43</t>
  </si>
  <si>
    <t>Ges: 34</t>
  </si>
  <si>
    <t xml:space="preserve">Fassungen: R-R-G </t>
  </si>
  <si>
    <t>+25 zu Stärke</t>
  </si>
  <si>
    <t>25% erhöhter Schaden über Zeit</t>
  </si>
  <si>
    <t>Angriffe haben 25% Chance, Bluten zu verursachen</t>
  </si>
  <si>
    <t>34% erhöhter Angriffsschaden gegen blutende Gegner</t>
  </si>
  <si>
    <t>Getötete blutende Gegner explodieren und verursachen 5% ihres</t>
  </si>
  <si>
    <t>maximalen Lebens als physischen Schaden</t>
  </si>
  <si>
    <t>25% verkürzte Blutungsdauer</t>
  </si>
  <si>
    <t>Gut Kunst will Weile haben. Zeit ist ein Luxus, _x000D_
der unserem Stand nur zu oft verwehrt ist.</t>
  </si>
  <si>
    <t>– Coralito, Bruderschaft des Schweigens</t>
  </si>
  <si>
    <t>Gegenstandsklasse: Bögen</t>
  </si>
  <si>
    <t>Sturmwolke</t>
  </si>
  <si>
    <t>Langbogen</t>
  </si>
  <si>
    <t>Bogen</t>
  </si>
  <si>
    <t>Elementarschaden: 1-85 (augmented)</t>
  </si>
  <si>
    <t>Kritische Trefferchance: 6.00%</t>
  </si>
  <si>
    <t>Angriffe pro Sekunde: 1.93 (augmented)</t>
  </si>
  <si>
    <t>Stufe: 9</t>
  </si>
  <si>
    <t>Ges: 38</t>
  </si>
  <si>
    <t xml:space="preserve">Fassungen: G </t>
  </si>
  <si>
    <t>Gegenstandsstufe: 73</t>
  </si>
  <si>
    <t>Kein physischer Schaden</t>
  </si>
  <si>
    <t>Fügt 1 bis 85 Blitzschaden hinzu</t>
  </si>
  <si>
    <t>48% erhöhte Angriffsgeschwindigkeit</t>
  </si>
  <si>
    <t>Über Jahrhunderte wurden stählerne Rüstungen geschmiedet,</t>
  </si>
  <si>
    <t xml:space="preserve">die aus den Armeen des Ewigen Kaiserreichs </t>
  </si>
  <si>
    <t>effektive Blitzableiter machten.</t>
  </si>
  <si>
    <t>Gegenstandsklasse: Klauen</t>
  </si>
  <si>
    <t>Blutsucher</t>
  </si>
  <si>
    <t>Bestienkralle</t>
  </si>
  <si>
    <t>Klaue</t>
  </si>
  <si>
    <t>Physischer Schaden: 99-171 (augmented)</t>
  </si>
  <si>
    <t>Waffenreichweite: 1.1 Meter</t>
  </si>
  <si>
    <t>Ges: 131</t>
  </si>
  <si>
    <t xml:space="preserve">Fassungen: G-B </t>
  </si>
  <si>
    <t>1.6% des physischen Angriffsschadens werden als Leben geraubt (implicit)</t>
  </si>
  <si>
    <t>155% erhöhter physischer Schaden</t>
  </si>
  <si>
    <t>Fügt 10 bis 12 physischen Schaden hinzu</t>
  </si>
  <si>
    <t>5% erhöhte Angriffsgeschwindigkeit</t>
  </si>
  <si>
    <t>1.2% des physischen Angriffsschadens werden als Leben geraubt</t>
  </si>
  <si>
    <t>5% erhöhte Bewegungsgeschwindigkeit</t>
  </si>
  <si>
    <t>Lebensraub von Treffern mit dieser Waffe wird sofort angewendet</t>
  </si>
  <si>
    <t xml:space="preserve">Denn des Fleisches Leben wird immer im Blute sein. </t>
  </si>
  <si>
    <t>– Atalui, Priesterin der Vaal</t>
  </si>
  <si>
    <t>Gegenstandsklasse: Dolche</t>
  </si>
  <si>
    <t>Kehlenschlitzer</t>
  </si>
  <si>
    <t>Kürschnermesser</t>
  </si>
  <si>
    <t>Dolch</t>
  </si>
  <si>
    <t>Physischer Schaden: 8-31 (augmented)</t>
  </si>
  <si>
    <t>Kritische Trefferchance: 7.80% (augmented)</t>
  </si>
  <si>
    <t>Angriffe pro Sekunde: 1.45</t>
  </si>
  <si>
    <t>Stufe: 5</t>
  </si>
  <si>
    <t>Ges: 16</t>
  </si>
  <si>
    <t xml:space="preserve">Fassungen: G-G </t>
  </si>
  <si>
    <t>+14 zu Geschick</t>
  </si>
  <si>
    <t>57% erhöhter physischer Schaden</t>
  </si>
  <si>
    <t>Fügt 1 bis 3 physischen Schaden hinzu</t>
  </si>
  <si>
    <t>30% erhöhte kritische Trefferchance</t>
  </si>
  <si>
    <t>40% erhöhter Angriffsschaden gegen blutende Gegner</t>
  </si>
  <si>
    <t>50% Chance, bei kritischem Treffer Bluten zu verursachen</t>
  </si>
  <si>
    <t>Ein Schlag auf die Schulter,</t>
  </si>
  <si>
    <t>ein Kuss auf die Wange,</t>
  </si>
  <si>
    <t>ein Schluck Eures Weins,</t>
  </si>
  <si>
    <t>blutig rot und Euch wird bange.</t>
  </si>
  <si>
    <t>Gegenstandsklasse: Juwelen</t>
  </si>
  <si>
    <t>Muskelkraft</t>
  </si>
  <si>
    <t>Blutrotes Juwel</t>
  </si>
  <si>
    <t>5% erhöhte Stärke</t>
  </si>
  <si>
    <t>6% erhöhtes Geschick</t>
  </si>
  <si>
    <t>15% verringerte Intelligenz</t>
  </si>
  <si>
    <t xml:space="preserve">Nehmt Euch Zeit beim Schmieden Eurer Pläne. _x000D_
Sagt mir dann, welcher Plan meine Axt _x000D_
aus Euren Rippen entfernt. </t>
  </si>
  <si>
    <t>– Barkhul der Schlächter</t>
  </si>
  <si>
    <t>Platziere das Juwel in einer zugewiesenen Fassung im Fertigkeitenbaum. Mit Rechtsklick kannst du es aus seiner Fassung entfernen.</t>
  </si>
  <si>
    <t>Gegenstandsklasse: Köcher</t>
  </si>
  <si>
    <t>Rückenschutz</t>
  </si>
  <si>
    <t>Breitkopfpfeilköcher</t>
  </si>
  <si>
    <t>Stufe: 28</t>
  </si>
  <si>
    <t>Gegenstandsstufe: 82</t>
  </si>
  <si>
    <t>Fügt Angriffen mit Bögen 6 bis 12 physischen Schaden hinzu (implicit)</t>
  </si>
  <si>
    <t>24% Chance, Angriffsschaden zu blocken</t>
  </si>
  <si>
    <t>15% Chance, Zauberschaden zu blocken</t>
  </si>
  <si>
    <t>+421 zu Rüstung</t>
  </si>
  <si>
    <t>20% erhöhte Projektilgeschwindigkeit</t>
  </si>
  <si>
    <t>50% beschleunigte Betäubungs- und Blockerholung</t>
  </si>
  <si>
    <t>19% erhöhter Projektilschaden</t>
  </si>
  <si>
    <t xml:space="preserve">Ein wahrlich seltenes Exemplar von einem Mann, _x000D_
der Augen auf dem Rücken hat. </t>
  </si>
  <si>
    <t>– Kiravi, Bogenschütze der Vaal</t>
  </si>
  <si>
    <t>Gegenstandsklasse: Zepter</t>
  </si>
  <si>
    <t>Zittertraum</t>
  </si>
  <si>
    <t>Schattenzepter</t>
  </si>
  <si>
    <t>Zepter</t>
  </si>
  <si>
    <t>Physischer Schaden: 29-44</t>
  </si>
  <si>
    <t>Kritische Trefferchance: 6.20%</t>
  </si>
  <si>
    <t>Angriffe pro Sekunde: 1.25</t>
  </si>
  <si>
    <t>Stufe: 32</t>
  </si>
  <si>
    <t xml:space="preserve">Fassungen: B-R </t>
  </si>
  <si>
    <t>22% erhöhter Elementarschaden (implicit)</t>
  </si>
  <si>
    <t>Eingefasste Gemmen werden unterstützt durch 'Unterkühlung' Stufe 1</t>
  </si>
  <si>
    <t>Eingefasste Gemmen werden unterstützt durch 'Erfrierung' Stufe 1</t>
  </si>
  <si>
    <t>Eingefasste Gemmen werden unterstützt durch 'Durchdringende Kälte' Stufe 1</t>
  </si>
  <si>
    <t>Eingefasste Gemmen werden unterstützt durch 'Manaraub' Stufe 1</t>
  </si>
  <si>
    <t>Eingefasste Gemmen werden unterstützt durch 'Zusätzlicher Kälteschaden' Stufe 10</t>
  </si>
  <si>
    <t>Eingefasste Gemmen werden unterstützt durch 'Inspiration' Stufe 1</t>
  </si>
  <si>
    <t>Kämpft nicht gegen die Kälte,</t>
  </si>
  <si>
    <t>entledigt Euch der Hoffnung.</t>
  </si>
  <si>
    <t>Werdet ganz still.</t>
  </si>
  <si>
    <t>Gegenstandsklasse: Stäbe</t>
  </si>
  <si>
    <t>Marschkeule</t>
  </si>
  <si>
    <t>Knorriger Ast</t>
  </si>
  <si>
    <t>Stab</t>
  </si>
  <si>
    <t>Physischer Schaden: 9-19</t>
  </si>
  <si>
    <t>Angriffe pro Sekunde: 1.30</t>
  </si>
  <si>
    <t>Waffenreichweite: 1.3 Meter</t>
  </si>
  <si>
    <t>+18% Chance, Angriffsschaden zu blocken beim Tragen eines Stabs (implicit)</t>
  </si>
  <si>
    <t>Eingefasste Gemmen werden unterstützt durch 'Falle' Stufe 8</t>
  </si>
  <si>
    <t>45% erhöhter globaler Schaden</t>
  </si>
  <si>
    <t>18% erhöhtes maximales Leben</t>
  </si>
  <si>
    <t>11% erhöhtes maximales Mana</t>
  </si>
  <si>
    <t xml:space="preserve">Fürchtet Euch nicht, Ihr seid der Fels im Sumpf. </t>
  </si>
  <si>
    <t>– Altes Sprichwort der Ezomyten</t>
  </si>
  <si>
    <t>Gegenstandsklasse: Zauberstäbe</t>
  </si>
  <si>
    <t>Lebenszweiglein</t>
  </si>
  <si>
    <t>Treibholz-Zauberstab</t>
  </si>
  <si>
    <t>Zauberstab</t>
  </si>
  <si>
    <t>Physischer Schaden: 5-9</t>
  </si>
  <si>
    <t>Kritische Trefferchance: 7.00%</t>
  </si>
  <si>
    <t>Angriffe pro Sekunde: 1.40</t>
  </si>
  <si>
    <t>12% erhöhter Zauberschaden (implicit)</t>
  </si>
  <si>
    <t>+1 zur Stufe eingefasster Zauber-Gemmen</t>
  </si>
  <si>
    <t>26% erhöhter Zauberschaden</t>
  </si>
  <si>
    <t>6% erhöhte Zaubergeschwindigkeit</t>
  </si>
  <si>
    <t>+16 zu maximalem Leben</t>
  </si>
  <si>
    <t>+19 zu maximalem Mana</t>
  </si>
  <si>
    <t>Regeneriert 7 Leben im Verlauf 1 Sekunde, wenn Ihr einen Zauber zaubert</t>
  </si>
  <si>
    <t xml:space="preserve">Von den kleinsten Samen </t>
  </si>
  <si>
    <t xml:space="preserve">zu den größten Wäldern </t>
  </si>
  <si>
    <t>hält das Leben in Wraeclast stand.</t>
  </si>
  <si>
    <t>Gegenstandsklasse: Kriegsstäbe</t>
  </si>
  <si>
    <t>Weltenschöpfer</t>
  </si>
  <si>
    <t>Eisenstab</t>
  </si>
  <si>
    <t>Kriegsstab</t>
  </si>
  <si>
    <t>Physischer Schaden: 14-42</t>
  </si>
  <si>
    <t>Elementarschaden: 13-25 (augmented), 13-24 (augmented)</t>
  </si>
  <si>
    <t>Kritische Trefferchance: 6.40%</t>
  </si>
  <si>
    <t>Stufe: 13</t>
  </si>
  <si>
    <t>+1 zur Stufe eingefasster Feuer-Gemmen</t>
  </si>
  <si>
    <t>+1 zur Stufe eingefasster Kälte-Gemmen</t>
  </si>
  <si>
    <t>Eingefasste Gemmen werden unterstützt durch 'Kälte zu Feuer' Stufe 5</t>
  </si>
  <si>
    <t>Fügt 13 bis 25 Feuerschaden hinzu</t>
  </si>
  <si>
    <t>Fügt 13 bis 24 Kälteschaden hinzu</t>
  </si>
  <si>
    <t>48% erhöhter Elementarschaden</t>
  </si>
  <si>
    <t>Gottes Schöpfungen beginnen und enden stets_x000D_
mit Feuer und Eis._x000D_
Wir sollten uns glücklich schätzen, _x000D_
wenn wir weder das eine noch das andere sehen.</t>
  </si>
  <si>
    <t>– Erzbischof Geofri</t>
  </si>
  <si>
    <t>Gegenstandsklasse: Einhandschwerter</t>
  </si>
  <si>
    <t>Korsarenschwert</t>
  </si>
  <si>
    <t>Einhandschwert</t>
  </si>
  <si>
    <t>Physischer Schaden: 55-183 (augmented)</t>
  </si>
  <si>
    <t>Kritische Trefferchance: 5.00%</t>
  </si>
  <si>
    <t>Angriffe pro Sekunde: 1.91 (augmented)</t>
  </si>
  <si>
    <t>Stufe: 58</t>
  </si>
  <si>
    <t>Ges: 117</t>
  </si>
  <si>
    <t xml:space="preserve">Fassungen: R B G </t>
  </si>
  <si>
    <t>Gegenstandsstufe: 78</t>
  </si>
  <si>
    <t>40% erhöhte globale Treffgenauigkeit (implicit)</t>
  </si>
  <si>
    <t>85% erhöhter physischer Schaden</t>
  </si>
  <si>
    <t>Fügt 10 bis 19 physischen Schaden hinzu</t>
  </si>
  <si>
    <t>23% erhöhte Angriffsgeschwindigkeit</t>
  </si>
  <si>
    <t>10% erhöhte Wirkung von Stärkungen auf Euch</t>
  </si>
  <si>
    <t>10% erhöhte Mana-Reservierungseffizienz von Fertigkeiten</t>
  </si>
  <si>
    <t>Auren Eurer Verbündeten wirken nicht auf Euch</t>
  </si>
  <si>
    <t>Eure Auren wirken nicht auf Verbündete</t>
  </si>
  <si>
    <t>Ihr müsst erst die Kontrolle über Euch erlangen, bevor Ihr andere meistern könnt.</t>
  </si>
  <si>
    <t>Gegenstandsklasse: Einhandstichschwerter</t>
  </si>
  <si>
    <t>Korbrapier</t>
  </si>
  <si>
    <t>Physischer Schaden: 27-62 (augmented)</t>
  </si>
  <si>
    <t>Kritische Trefferchance: 5.50%</t>
  </si>
  <si>
    <t>Angriffe pro Sekunde: 1.55</t>
  </si>
  <si>
    <t>Waffenreichweite: 1.4 Meter</t>
  </si>
  <si>
    <t>Stufe: 17</t>
  </si>
  <si>
    <t>Ges: 62</t>
  </si>
  <si>
    <t xml:space="preserve">Fassungen: G R-G </t>
  </si>
  <si>
    <t>+25% zu globalem Multiplikator für kritische Treffer (implicit)</t>
  </si>
  <si>
    <t>149% erhöhter physischer Schaden</t>
  </si>
  <si>
    <t>20% verringerte Seltenheit gefundener Gegenstände</t>
  </si>
  <si>
    <t>+57% zu allen Elementarwiderständen</t>
  </si>
  <si>
    <t>Gewährt 3 Leben pro getroffenem Gegner</t>
  </si>
  <si>
    <t xml:space="preserve">Manch ein Raritätensammler musste </t>
  </si>
  <si>
    <t xml:space="preserve">zu seinem Entsetzen feststellen, </t>
  </si>
  <si>
    <t xml:space="preserve">dass der intelligente Geist dieses Schwerts </t>
  </si>
  <si>
    <t>die Aufmerksamkeit seines Meisters nicht teilen wollte.</t>
  </si>
  <si>
    <t>Gegenstandsklasse: Zweihandschwerter</t>
  </si>
  <si>
    <t>Tigerschwert</t>
  </si>
  <si>
    <t>Zweihandschwert</t>
  </si>
  <si>
    <t>Physischer Schaden: 192-316 (augmented)</t>
  </si>
  <si>
    <t>Kritische Trefferchance: 7.90% (augmented)</t>
  </si>
  <si>
    <t>Stufe: 51</t>
  </si>
  <si>
    <t xml:space="preserve">Fassungen: G R </t>
  </si>
  <si>
    <t>+360 zu Treffgenauigkeit (implicit)</t>
  </si>
  <si>
    <t>255% erhöhter physischer Schaden</t>
  </si>
  <si>
    <t>20% erhöhte Angriffsgeschwindigkeit</t>
  </si>
  <si>
    <t>58% erhöhte kritische Trefferchance</t>
  </si>
  <si>
    <t>Erhaltet 10 Mana pro getötetem Gegner</t>
  </si>
  <si>
    <t>Erhaltet eine Raserei-Ladung bei kritischem Treffer</t>
  </si>
  <si>
    <t xml:space="preserve">Das Letzte, was er spürte, war die Klinge des Henkers. </t>
  </si>
  <si>
    <t xml:space="preserve">Sie war nicht kalt, sondern warm und beruhigend </t>
  </si>
  <si>
    <t xml:space="preserve">und murmelte ein Versprechen von besseren Zeiten. </t>
  </si>
  <si>
    <t>Lächelnd erwiderte er des Todes Umarmung.</t>
  </si>
  <si>
    <t>Gegenstandsklasse: Einhandäxte</t>
  </si>
  <si>
    <t>Höllenaxt</t>
  </si>
  <si>
    <t>Einhandaxt</t>
  </si>
  <si>
    <t>Physischer Schaden: 51-85</t>
  </si>
  <si>
    <t>Elementarschaden: 276-323 (augmented), 282-315 (augmented)</t>
  </si>
  <si>
    <t>Angriffe pro Sekunde: 1.45 (augmented)</t>
  </si>
  <si>
    <t>Stufe: 69</t>
  </si>
  <si>
    <t>Ges: 76</t>
  </si>
  <si>
    <t xml:space="preserve">Fassungen: R-G </t>
  </si>
  <si>
    <t>Fügt der Haupthand 276 bis 323 Feuerschaden hinzu</t>
  </si>
  <si>
    <t>Fügt der Nebenhand 282 bis 315 Kälteschaden hinzu</t>
  </si>
  <si>
    <t>11% erhöhte Angriffsgeschwindigkeit</t>
  </si>
  <si>
    <t>25% Chance auf Entzünden, wenn in der Haupthand</t>
  </si>
  <si>
    <t>100% erhöhter Schaden mit Entzünden, das bei unterkühlten Gegnern verursacht wurde</t>
  </si>
  <si>
    <t>Unterkühlt Gegner für 1 Sekunde bei Treffer mit dieser Waffe in der Nebenhand</t>
  </si>
  <si>
    <t xml:space="preserve">Geboren aus Liebe, geschmiedet in Blut, </t>
  </si>
  <si>
    <t xml:space="preserve">so brannte er gleich einer Fackel in finsterer Nacht. </t>
  </si>
  <si>
    <t xml:space="preserve">Sie leuchtete wie Eis in der Wintersonne. </t>
  </si>
  <si>
    <t xml:space="preserve">Stolz, grimmig. </t>
  </si>
  <si>
    <t>Auf ewig an der Seite ihrer Mutter.</t>
  </si>
  <si>
    <t>Gegenstandsklasse: Zweihandäxte</t>
  </si>
  <si>
    <t>Gliedspalter</t>
  </si>
  <si>
    <t>Holzspalter</t>
  </si>
  <si>
    <t>Zweihandaxt</t>
  </si>
  <si>
    <t>Physischer Schaden: 45-91 (augmented)</t>
  </si>
  <si>
    <t>Ges: 17</t>
  </si>
  <si>
    <t>+1 zur Stufe eingefasster Stärke-Gemmen</t>
  </si>
  <si>
    <t>+27 zu Stärke</t>
  </si>
  <si>
    <t>86% erhöhter physischer Schaden</t>
  </si>
  <si>
    <t>Fügt 5 bis 10 physischen Schaden hinzu</t>
  </si>
  <si>
    <t>Todesstoß</t>
  </si>
  <si>
    <t>Durch die Lüfte wird sie geschwungen,</t>
  </si>
  <si>
    <t>ihre Melodei dabei erklungen.</t>
  </si>
  <si>
    <t>Abgeschlagen, abgetrennt und entzweit,</t>
  </si>
  <si>
    <t>ist alles was vom Gegner noch verbleibt.</t>
  </si>
  <si>
    <t>Gegenstandsklasse: Einhandstreitkolben</t>
  </si>
  <si>
    <t>Frosthauch</t>
  </si>
  <si>
    <t>Verzierter Streitkolben</t>
  </si>
  <si>
    <t>Einhandstreitkolben</t>
  </si>
  <si>
    <t>Physischer Schaden: 83-105 (augmented)</t>
  </si>
  <si>
    <t>Elementarschaden: 31-40 (augmented)</t>
  </si>
  <si>
    <t>Angriffe pro Sekunde: 1.36 (augmented)</t>
  </si>
  <si>
    <t>15% verringerte gegnerische Betäubungsschwelle (implicit)</t>
  </si>
  <si>
    <t>Fügt 30 bis 38 physischen Schaden hinzu</t>
  </si>
  <si>
    <t>Fügt 31 bis 40 Kälteschaden hinzu</t>
  </si>
  <si>
    <t>13% erhöhte Angriffsgeschwindigkeit</t>
  </si>
  <si>
    <t>+50% zu Feuerwiderstand</t>
  </si>
  <si>
    <t>39% verlängerte Unterkühlungsdauer bei Gegnern</t>
  </si>
  <si>
    <t>Angriffe mit dieser Waffe verursachen doppelten Schaden bei unterkühlten Gegnern</t>
  </si>
  <si>
    <t>Ein gnädiger Mörder fegte durch die Straßen Sarns und</t>
  </si>
  <si>
    <t>beraubte die Schwachen und Nutzlosen ihres Atems.</t>
  </si>
  <si>
    <t>Gegenstandsklasse: Zweihandstreitkolben</t>
  </si>
  <si>
    <t>Leerenheim</t>
  </si>
  <si>
    <t>Greuelhammer</t>
  </si>
  <si>
    <t>Zweihandstreitkolben</t>
  </si>
  <si>
    <t>Physischer Schaden: 193-260 (augmented)</t>
  </si>
  <si>
    <t>Angriffe pro Sekunde: 1.88 (augmented)</t>
  </si>
  <si>
    <t xml:space="preserve">Fassungen: R R-R </t>
  </si>
  <si>
    <t>30% verlängerte Betäubungsdauer bei Gegnern (implicit)</t>
  </si>
  <si>
    <t>150% erhöhter physischer Schaden</t>
  </si>
  <si>
    <t>50% erhöhte Angriffsgeschwindigkeit</t>
  </si>
  <si>
    <t>50% verringerte Seltenheit gefundener Gegenstände</t>
  </si>
  <si>
    <t>35% verringerter Erfahrungsgewinn</t>
  </si>
  <si>
    <t>0.4% des physischen Angriffsschadens werden als Mana geraubt</t>
  </si>
  <si>
    <t>Verflucht ist das Gestirn, aus dem er entstammt.</t>
  </si>
  <si>
    <t>Gegenstandsklasse: Heist-Broschen</t>
  </si>
  <si>
    <t>Entsetzliches Halsband</t>
  </si>
  <si>
    <t>Silberne Brosche</t>
  </si>
  <si>
    <t>Dieser Gegenstand kann von allen Heist-Mitgliedern ausgerüstet werden.</t>
  </si>
  <si>
    <t>Stufe 2 im Bereich beliebigem Job</t>
  </si>
  <si>
    <t>14% erhöhte Seltenheit fallen gelassener Gegenstände in Raubüberfällen (implicit)</t>
  </si>
  <si>
    <t>38% erhöhter Schaden</t>
  </si>
  <si>
    <t>Raubüberfall-Truhen haben 7% Chance, enthaltene Delirium-Sphären und -Splitter zu duplizieren</t>
  </si>
  <si>
    <t>7% verringerte Rekrutierungskosten</t>
  </si>
  <si>
    <t>23% erhöhte Seltenheit fallen gelassener Gegenstände in Raubüberfällen</t>
  </si>
  <si>
    <t>Kann nur von Mitgliedern eines Raubüberfalls ausgerüstet werden.</t>
  </si>
  <si>
    <t>Gegenstandsklasse: Heist-Umhänge</t>
  </si>
  <si>
    <t>Leichen-Hemd</t>
  </si>
  <si>
    <t>Zerfetzter Umhang</t>
  </si>
  <si>
    <t>Stufe 3 im Bereich beliebigem Job</t>
  </si>
  <si>
    <t>3% verringerter Anstieg der Alarmstufe (implicit)</t>
  </si>
  <si>
    <t>23% erhöhter Schaden, während das Gebiet nicht abgeriegelt ist</t>
  </si>
  <si>
    <t>Spieler verursachen 23% erhöhten Schaden, während das Gebiet nicht abgeriegelt ist</t>
  </si>
  <si>
    <t>3% verringerter Anstieg der Alarmstufe durch das Öffnen von Truhen</t>
  </si>
  <si>
    <t>Gegenstandsklasse: Heist-Ausrüstung</t>
  </si>
  <si>
    <t>Phönix-Ausrüstung</t>
  </si>
  <si>
    <t>Grober Wetzstein</t>
  </si>
  <si>
    <t>Gegenstandsstufe: 71</t>
  </si>
  <si>
    <t>14% erhöhter Nahkampfschaden (implicit)</t>
  </si>
  <si>
    <t>12 bis 20 zusätzlicher Kälteschaden</t>
  </si>
  <si>
    <t>Spieler und ihre Kreaturen haben 12 bis 20 zusätzlichen Kälteschaden</t>
  </si>
  <si>
    <t>6% verringerte Rekrutierungskosten</t>
  </si>
  <si>
    <t>Gewährt die Fertigkeit 'Stolz' Stufe 5</t>
  </si>
  <si>
    <t>Gegenstandsklasse: Auftragsziele</t>
  </si>
  <si>
    <t>Menschenschädel mit Stoßzähnen</t>
  </si>
  <si>
    <t>Gegenstandsstufe: 27</t>
  </si>
  <si>
    <t>Wenn der Schädel echt und keine Fälschung ist, dann kann er zeigen,_x000D_
dass mein Volk nicht die Abscheulichkeiten sind, für die andere uns halten._x000D_
Das Wort 'Mensch' hat vielleicht eine umfassendere Bedeutung.</t>
  </si>
  <si>
    <t>Kann bei Faustus dem Hehler im Hafen der Abtrünnigen eingetauscht werden.</t>
  </si>
  <si>
    <t>Gegenstandsklasse: Heist-Werkzeug</t>
  </si>
  <si>
    <t>Folter-Material</t>
  </si>
  <si>
    <t>Einfacher Schlüsselring</t>
  </si>
  <si>
    <t>Dieser Gegenstand kann ausgerüstet werden von:</t>
  </si>
  <si>
    <t>Vinderi der Entschärfer</t>
  </si>
  <si>
    <t>Tullina die Fassadenkletterin</t>
  </si>
  <si>
    <t>Isla die Ingenieurin</t>
  </si>
  <si>
    <t>Stufe 2 im Bereich Fallenentschärfung</t>
  </si>
  <si>
    <t>4% erhöhte Geschwindigkeit von Fallenentschärfung (implicit)</t>
  </si>
  <si>
    <t>Der Anteil des Rings ist um 9% verringert</t>
  </si>
  <si>
    <t>+2 Sekunden zum Abriegelungs-Timer</t>
  </si>
  <si>
    <t>3% erhöhter Job-Erfahrungsgewinn</t>
  </si>
  <si>
    <t>Gegenstandsklasse: Schmuckstücke</t>
  </si>
  <si>
    <t>Apokalypse-Armband</t>
  </si>
  <si>
    <t>Dieb-Schmuckstück</t>
  </si>
  <si>
    <t>Stufe: 40</t>
  </si>
  <si>
    <t>3% Chance auf zusätzliche Breach-Gegenstände, wenn Ihr in einem Raubüberfall eine Belohnungstruhe öffnet</t>
  </si>
  <si>
    <t>15% Chance, dass Veränderungssphären bei Raubüberfällen stattdessen als Sphären der Alchemie fallen gelassen werden</t>
  </si>
  <si>
    <t>20% Chance, dass Färbungssphären bei Raubüberfällen stattdessen als Verbindungssphären fallen gelassen werden</t>
  </si>
  <si>
    <t>Du musst die Skulptur "Der Fang" in einem Räuberhöhle- oder Untergrund-Grundriss finden, um diesen Gegenstand ausrüsten zu können.</t>
  </si>
  <si>
    <t>Gegenstandsklasse: Angelruten</t>
  </si>
  <si>
    <t>Riff des Verderbens</t>
  </si>
  <si>
    <t>Angelrute</t>
  </si>
  <si>
    <t>Physischer Schaden: 8-15</t>
  </si>
  <si>
    <t>Angriffe pro Sekunde: 1.20</t>
  </si>
  <si>
    <t>34% erhöhte Zaubergeschwindigkeit</t>
  </si>
  <si>
    <t>Thaumaturgischer Köder</t>
  </si>
  <si>
    <t>15% erhöhte Menge gefangener Fische</t>
  </si>
  <si>
    <t>Leuchtet, wenn Ihr Euch in einem Gebiet mit einem einzigartigem Fisch befindet</t>
  </si>
  <si>
    <t>Er fuhr weit hinaus auf das Meer</t>
  </si>
  <si>
    <t>und entriss ihr das Herz.</t>
  </si>
  <si>
    <t>Gegenstandsklasse: Sanktum-Forschungsauftrag</t>
  </si>
  <si>
    <t>Verbotener Foliant</t>
  </si>
  <si>
    <t>Gebietsstufe: 81</t>
  </si>
  <si>
    <t>hunc in sacrarium conicio, ut forte alius viam inveniat ...</t>
  </si>
  <si>
    <t>Bringe diesen Gegenstand zum Relikt-Altar im Verbotenen Sanktum, um es zu betreten.</t>
  </si>
  <si>
    <t>Clase de objeto: Investigación del santuario</t>
  </si>
  <si>
    <t>Rareza: Objetos monetarios</t>
  </si>
  <si>
    <t>Tomo prohibido</t>
  </si>
  <si>
    <t>Nivel del área: 81</t>
  </si>
  <si>
    <t>Nivel de objeto: 81</t>
  </si>
  <si>
    <t>Lleva este objeto al altar de reliquias del Santuario prohibido para entrar.</t>
  </si>
  <si>
    <t>Clase de objeto: Gemas de habilidad</t>
  </si>
  <si>
    <t>Rareza: Gema</t>
  </si>
  <si>
    <t>Aluvión anómala</t>
  </si>
  <si>
    <t>Ataque, Proyectil, Arco</t>
  </si>
  <si>
    <t>Nivel: 20 (Máximo)</t>
  </si>
  <si>
    <t>Costo: 11 de maná</t>
  </si>
  <si>
    <t>Daño de ataque: 54.6% de la base</t>
  </si>
  <si>
    <t>Efectividad del daño agregado: 55%</t>
  </si>
  <si>
    <t>Calidad: +11% (augmented)</t>
  </si>
  <si>
    <t>Calidad alternativa</t>
  </si>
  <si>
    <t>Requisitos:</t>
  </si>
  <si>
    <t>Nivel: 70</t>
  </si>
  <si>
    <t>Des: 155</t>
  </si>
  <si>
    <t>Después de un corto tiempo de preparación, atacas repetidamente con un arma a distancia. Estos ataques tienen una extensión aleatoria pequeña. Solo funciona con arcos y varitas. Esta habilidad no se puede activar.</t>
  </si>
  <si>
    <t>11% de probabilidad de empujar a los enemigos con cada golpe</t>
  </si>
  <si>
    <t>Dispara 4 proyectiles adicionales</t>
  </si>
  <si>
    <t>Dispara proyectiles secuencialmente</t>
  </si>
  <si>
    <t>Colócala en un engarce de objeto del color correcto para obtener esta habilidad. Haz clic derecho para retirar de un engarce.</t>
  </si>
  <si>
    <t>Corrupto</t>
  </si>
  <si>
    <t xml:space="preserve">Clase de objeto: Gemas de asistencia </t>
  </si>
  <si>
    <t>Asistencia de Bendición divina divergente</t>
  </si>
  <si>
    <t>Asistencia, Aura, Duración, Bendición</t>
  </si>
  <si>
    <t>Calidad: +20% (augmented)</t>
  </si>
  <si>
    <t>Fue: 70</t>
  </si>
  <si>
    <t xml:space="preserve">Asiste habilidades de aura que crean auras permanentes a tu alrededor, cambia su reserva por un costo y las vuelve temporales. No puede asistir habilidades de estandarte ni de postura. </t>
  </si>
  <si>
    <t>Las habilidades asistidas tienen su costo de maná reducido un 5%</t>
  </si>
  <si>
    <t>Las habilidades asistidas tienen el efecto de las auras aumentado un 29%</t>
  </si>
  <si>
    <t>Las habilidades asistidas cuestan +233 de maná</t>
  </si>
  <si>
    <t>Las habilidades asistidas también se consideran habilidades de bendición</t>
  </si>
  <si>
    <t>Solo puedes tener un aura sobre ti de tus habilidades de bendición</t>
  </si>
  <si>
    <t>Las auras de las habilidades asistidas tienen una duración base de 10.90 segundos</t>
  </si>
  <si>
    <t>Esta es una gema de asistencia. No otorga una bonificación a tu personaje, sino a las habilidades a las que esté conectada. Colócala en un engarce de objeto conectado a otro engarce que contenga la gema de habilidad activa que quieras potenciar. Haz clic derecho para retirar de un engarce.</t>
  </si>
  <si>
    <t>Embate tectónico fantasmal</t>
  </si>
  <si>
    <t>Fuego, Ataque, AdE, Embate, Cuerpo a cuerpo</t>
  </si>
  <si>
    <t>Nivel: 16</t>
  </si>
  <si>
    <t>Costo: 10 de maná</t>
  </si>
  <si>
    <t>Velocidad de ataque: 80% de la base</t>
  </si>
  <si>
    <t>Daño de ataque: 255% de la base</t>
  </si>
  <si>
    <t>Efectividad del daño agregado: 255%</t>
  </si>
  <si>
    <t>Nivel: 62</t>
  </si>
  <si>
    <t>Fue: 138</t>
  </si>
  <si>
    <t>Golpea el suelo y esto desata una fisura ardiente delante de ti que inflige daño en área y libera un número aleatorio de fisuras más pequeñas que se ramifican a partir de ella. Consume una carga de aguante cada tercera vez que golpeas el suelo con esta habilidad. Requiere una maza, un cetro, una espada, un hacha, un báculo, o estar desarmado.</t>
  </si>
  <si>
    <t>El 60% del daño físico se convierte en daño de fuego</t>
  </si>
  <si>
    <t>Daño de fuego aumentado un 11%</t>
  </si>
  <si>
    <t>5% más de área de efecto por cada carga de aguante</t>
  </si>
  <si>
    <t>+5% a la probabilidad de que las fisuras se ramifiquen por cada carga de aguante</t>
  </si>
  <si>
    <t>30% de probabilidad de que las fisuras se ramifiquen</t>
  </si>
  <si>
    <t>Experiencia: 4,897,423/15,138,193</t>
  </si>
  <si>
    <t>Clase de objeto: Objetos monetarios apilables</t>
  </si>
  <si>
    <t>Orbe de caos</t>
  </si>
  <si>
    <t>Tamaño de la pila: 1/20</t>
  </si>
  <si>
    <t>Reforja un objeto raro con nuevos modificadores aleatorios</t>
  </si>
  <si>
    <t>Haz clic derecho en este objeto y luego haz clic izquierdo en un objeto raro para aplicarlo.</t>
  </si>
  <si>
    <t>Clase de objeto: Objetos monetarios apilables y engarzables de Delve</t>
  </si>
  <si>
    <t>Resonador caótico primitivo</t>
  </si>
  <si>
    <t>Tamaño de la pila: 1/10</t>
  </si>
  <si>
    <t>Requiere 1 (unmet) Fósil engarzado</t>
  </si>
  <si>
    <t xml:space="preserve">Engarces: D </t>
  </si>
  <si>
    <t>Todos los engarces deben contener fósiles para que se pueda usar este objeto.</t>
  </si>
  <si>
    <t>Clase de objeto: Cartas de adivinación</t>
  </si>
  <si>
    <t>Rareza: Carta de adivinación</t>
  </si>
  <si>
    <t>Disposición Arcana</t>
  </si>
  <si>
    <t>Orbe de caos x5</t>
  </si>
  <si>
    <t>La vida no es lo que haces de ella, ya ha sido hecha para ti.</t>
  </si>
  <si>
    <t>Clase de objeto: Muestras de metamorfo</t>
  </si>
  <si>
    <t>Rareza: Único</t>
  </si>
  <si>
    <t>Cerebro: Capitán Clayborne, el Maldito</t>
  </si>
  <si>
    <t>Usa: Descarga de almas</t>
  </si>
  <si>
    <t>Nivel de objeto: 80</t>
  </si>
  <si>
    <t>Arroja objetos monetarios adicionales</t>
  </si>
  <si>
    <t>Arroja gemas de calidad adicionales</t>
  </si>
  <si>
    <t>Arroja un arma rara con 5 engarces vinculados</t>
  </si>
  <si>
    <t>Combina esto con otras cuatro muestras distintas en el laboratorio de Tane.</t>
  </si>
  <si>
    <t>Clase de objeto: Mapas</t>
  </si>
  <si>
    <t>Rareza: Normal</t>
  </si>
  <si>
    <t xml:space="preserve">Mapa de Geoda infestado </t>
  </si>
  <si>
    <t>Grado del mapa: 13</t>
  </si>
  <si>
    <t>El área está infestada de crecimientos fúngicos (implicit)</t>
  </si>
  <si>
    <t>Los modificadores a la cantidad de objetos del mapa también afectan a la cantidad de cofres de Blight al 20% de su valor (implicit)</t>
  </si>
  <si>
    <t>Puede ungirse hasta 3 veces (implicit)</t>
  </si>
  <si>
    <t>Los habitantes habituales de esta área han sido eliminados (implicit)</t>
  </si>
  <si>
    <t>Viaja a este mapa colocándolo en un artefacto de mapas personal. Los mapas solo se pueden usar una vez.</t>
  </si>
  <si>
    <t>Mapa de Celdas devastado por la plaga</t>
  </si>
  <si>
    <t>Grado del mapa: 15</t>
  </si>
  <si>
    <t>Nivel de Monstruos: 85 (implicit)</t>
  </si>
  <si>
    <t>200% más de vida de monstruos (implicit)</t>
  </si>
  <si>
    <t>Velocidad de movimiento de los monstruos aumentada un 20% (implicit)</t>
  </si>
  <si>
    <t>Los modificadores a la cantidad de objetos del mapa también afectan a la cantidad de cofres de Blight al 40% de su valor (implicit)</t>
  </si>
  <si>
    <t>Puede ungirse hasta 9 veces (implicit)</t>
  </si>
  <si>
    <t>Clase de objeto: Planos</t>
  </si>
  <si>
    <t>Plano: Depósito</t>
  </si>
  <si>
    <t>Objetivo del atraco: Gemas inusuales</t>
  </si>
  <si>
    <t>Nivel del área: 74</t>
  </si>
  <si>
    <t>Alas reveladas: 1/3</t>
  </si>
  <si>
    <t>Rutas de escape reveladas: 1/6</t>
  </si>
  <si>
    <t>Salas de recompensas reveladas: 2/15</t>
  </si>
  <si>
    <t>Requiere Demolición (Nivel2)</t>
  </si>
  <si>
    <t>Requiere Desarme de trampas (Nivel1)</t>
  </si>
  <si>
    <t>Requiere Agilidad (Nivel1)</t>
  </si>
  <si>
    <t>Nivel de objeto: 74</t>
  </si>
  <si>
    <t>Usa la Información para revelar Alas y Salas adicionales hablando con algunos PNJs en el Puerto de los renegados. Dale este plano a Adiyah para embarcarte en el Golpe.</t>
  </si>
  <si>
    <t>Clase de objeto: Contratos</t>
  </si>
  <si>
    <t>Rareza: Mágico</t>
  </si>
  <si>
    <t>Contrato: Búnker Obstructor</t>
  </si>
  <si>
    <t>Cliente: Marcine Clavus</t>
  </si>
  <si>
    <t>Objetivo del atraco: Ensamblaje enigmático C5 (valor moderado)</t>
  </si>
  <si>
    <t>Nivel del área: 6</t>
  </si>
  <si>
    <t>Requiere Ingeniería (Nivel1)</t>
  </si>
  <si>
    <t>Cantidad de objetos: +13% (augmented)</t>
  </si>
  <si>
    <t>Rareza de objetos: +8% (augmented)</t>
  </si>
  <si>
    <t>Reducción del nivel de alerta: +5% (augmented)</t>
  </si>
  <si>
    <t>Tiempo antes del cierre de puertas: +5% (augmented)</t>
  </si>
  <si>
    <t>Refuerzos máximos: +5% (augmented)</t>
  </si>
  <si>
    <t>Nivel de objeto: 6</t>
  </si>
  <si>
    <t>Velocidad de los trabajos reducida un 14%</t>
  </si>
  <si>
    <t>Me he gastado toda la fortuna de mi familia en la búsqueda de este artilugio._x000D_
Ensamblarlo y ponerlo en marcha es todo lo que me queda.</t>
  </si>
  <si>
    <t>Dale este contrato a Adiyah en el Puerto de los renegados para embarcarte en el atraco.</t>
  </si>
  <si>
    <t>Clase de objeto: Registros de expedición</t>
  </si>
  <si>
    <t>Registro de expedición</t>
  </si>
  <si>
    <t>Nivel del área: 76</t>
  </si>
  <si>
    <t>Nivel de objeto: 76</t>
  </si>
  <si>
    <t>Ruinas desérticas</t>
  </si>
  <si>
    <t>Orden del Cáliz</t>
  </si>
  <si>
    <t>Cantidad de artefactos arrojados por los monstruos aumentada un 10 (implicit)</t>
  </si>
  <si>
    <t>La cantidad de remanentes que contiene el área está aumentada un 23% (implicit)</t>
  </si>
  <si>
    <t>Sepulturas de guerra karui</t>
  </si>
  <si>
    <t>La cantidad de explosivos está aumentada un 40% (implicit)</t>
  </si>
  <si>
    <t>El área contiene la cantidad de marcadores de monstruos aumentada un 15% (implicit)</t>
  </si>
  <si>
    <t>Llévale este objeto a Dannig en tu guarida para abrir portales hacia una expedición.</t>
  </si>
  <si>
    <t>Mapa de Atolón Veloz</t>
  </si>
  <si>
    <t>Grado del mapa: 16</t>
  </si>
  <si>
    <t>Cantidad de objetos: +19% (augmented)</t>
  </si>
  <si>
    <t>Rareza de objetos: +11% (augmented)</t>
  </si>
  <si>
    <t>Tamaño de los grupos de monstruos: +7% (augmented)</t>
  </si>
  <si>
    <t>Nivel de objeto: 84</t>
  </si>
  <si>
    <t>Velocidad de movimiento de los monstruos aumentada un 26%</t>
  </si>
  <si>
    <t>Velocidad de Ataque de los Monstruos aumentada un 43%</t>
  </si>
  <si>
    <t>Velocidad de Lanzamiento de Hechizos de los Monstruos aumentada un 38%</t>
  </si>
  <si>
    <t>Clase de objeto: Fragmentos de mapa</t>
  </si>
  <si>
    <t>Sacrificio al anochecer</t>
  </si>
  <si>
    <t>Los Vaal nunca temerán la caída de nuestro sol.</t>
  </si>
  <si>
    <t>Puede usarse en un Artefacto de mapas personal.</t>
  </si>
  <si>
    <t>Clase de objeto: Recuerdos</t>
  </si>
  <si>
    <t>Recuerdo de Niko de abismos</t>
  </si>
  <si>
    <t>Las áreas contienen abismos adicionales</t>
  </si>
  <si>
    <t>Los abismos ya están totalmente abiertos</t>
  </si>
  <si>
    <t>Los abismos contienen monstruos de Más allá de este reino</t>
  </si>
  <si>
    <t>Haz clic derecho sobre esto y luego clic izquierdo en un mapa completado de tu Atlas para aplicar este recuerdo.</t>
  </si>
  <si>
    <t>No se puede modificar</t>
  </si>
  <si>
    <t>Clase de objeto: Objetos misceláneos de mapa</t>
  </si>
  <si>
    <t>Invitación retorcida</t>
  </si>
  <si>
    <t>Nivel de objeto: 83</t>
  </si>
  <si>
    <t>Los modificadores a la cantidad de objetos afectan a la cantidad de recompensas que arroja el jefe (implicit)</t>
  </si>
  <si>
    <t>El Hambre infinita aguarda en un estómago cósmico donde</t>
  </si>
  <si>
    <t>digiere a civilizaciones enteras, que agonizan sin morir.</t>
  </si>
  <si>
    <t>Abre portales al Quimo ardiente colocando este objeto en un Artefacto de mapas personal.</t>
  </si>
  <si>
    <t>Clase de objeto: Frascos híbridos</t>
  </si>
  <si>
    <t>Frasco híbrido sagrado Superior</t>
  </si>
  <si>
    <t>Calidad: +18% (augmented)</t>
  </si>
  <si>
    <t>Recupera 1699 (augmented) de vida en 5 segundos</t>
  </si>
  <si>
    <t>Recupera 472 (augmented) de maná en 5 segundos</t>
  </si>
  <si>
    <t>Consume 20 de 40 cargas cuando lo usas</t>
  </si>
  <si>
    <t>Actualmente tiene 0 cargas</t>
  </si>
  <si>
    <t>Nivel: 50</t>
  </si>
  <si>
    <t>Nivel de objeto: 77</t>
  </si>
  <si>
    <t>Haz clic derecho para beber. Solo puede mantener sus cargas mientras está en el cinturón. Se rellena a medida que matas monstruos.</t>
  </si>
  <si>
    <t>Clase de objeto: Frascos de maná</t>
  </si>
  <si>
    <t>Frasco de maná eterno Superior</t>
  </si>
  <si>
    <t>Calidad: +15% (augmented)</t>
  </si>
  <si>
    <t>Recupera 2070 (augmented) de maná en 7 segundos</t>
  </si>
  <si>
    <t>Consume 8 de 42 cargas cuando lo usas</t>
  </si>
  <si>
    <t>Nivel: 65</t>
  </si>
  <si>
    <t>Nivel de objeto: 70</t>
  </si>
  <si>
    <t>Clase de objeto: Frascos de vida</t>
  </si>
  <si>
    <t>Frasco de vida eterno Superior</t>
  </si>
  <si>
    <t>Calidad: +8% (augmented)</t>
  </si>
  <si>
    <t>Recupera 2246 (augmented) de vida en 2 segundos</t>
  </si>
  <si>
    <t>Consume 15 de 45 cargas cuando lo usas</t>
  </si>
  <si>
    <t>Nivel de objeto: 68</t>
  </si>
  <si>
    <t>Clase de objeto: Frascos de utilidad</t>
  </si>
  <si>
    <t>Frasco de plata del Sabio del Pangolin</t>
  </si>
  <si>
    <t>Calidad: +2% (augmented)</t>
  </si>
  <si>
    <t>Dura 6.10 (augmented) segundos</t>
  </si>
  <si>
    <t>Consume 32 (augmented) de 60 cargas cuando lo usas</t>
  </si>
  <si>
    <t>Fervor</t>
  </si>
  <si>
    <t>Nivel: 46</t>
  </si>
  <si>
    <t>Nivel de objeto: 63</t>
  </si>
  <si>
    <t>Cargas reducidas un 18% por cada uso</t>
  </si>
  <si>
    <t>Armadura aumentada un 53% durante su efecto</t>
  </si>
  <si>
    <t>Clase de objeto: Amuletos</t>
  </si>
  <si>
    <t>Collar de Bisco</t>
  </si>
  <si>
    <t>Amuleto de oro</t>
  </si>
  <si>
    <t>Nivel: 30</t>
  </si>
  <si>
    <t>Nivel de objeto: 75</t>
  </si>
  <si>
    <t>Rareza de objetos encontrados aumentada un 20% (implicit)</t>
  </si>
  <si>
    <t>Rareza de los objetos arrojados por los enemigos mágicos derrotados aumentada un 146%</t>
  </si>
  <si>
    <t>Cantidad de objetos arrojados por los enemigos normales derrotados aumentada un 39%</t>
  </si>
  <si>
    <t>La amistad vale su peso en oro,</t>
  </si>
  <si>
    <t>un tesoro por cada día.</t>
  </si>
  <si>
    <t>Pensé que juntos nos haríamos viejos,</t>
  </si>
  <si>
    <t>hasta que el destino te llevó.</t>
  </si>
  <si>
    <t>Único brillante (Atardecer)</t>
  </si>
  <si>
    <t>Clase de objeto: Anillos</t>
  </si>
  <si>
    <t>Anillo paua</t>
  </si>
  <si>
    <t>+24 de maná máximo (implicit)</t>
  </si>
  <si>
    <t>Sin identificar</t>
  </si>
  <si>
    <t>Clase de objeto: Cascos</t>
  </si>
  <si>
    <t>Borgoñota ezomita</t>
  </si>
  <si>
    <t>Armadura: 702 (augmented)</t>
  </si>
  <si>
    <t>Nivel: 60</t>
  </si>
  <si>
    <t xml:space="preserve">Engarces: R-R </t>
  </si>
  <si>
    <t>Nivel de objeto: 85</t>
  </si>
  <si>
    <t>+21 a todos los atributos</t>
  </si>
  <si>
    <t>Agrega de 40 a 60 de daño físico a los ataques</t>
  </si>
  <si>
    <t>+112% al multiplicador de golpe crítico cuerpo a cuerpo</t>
  </si>
  <si>
    <t>Armadura aumentada un 103%</t>
  </si>
  <si>
    <t>Daño físico recibido aumentado un 49%</t>
  </si>
  <si>
    <t>Una vez que hayas asesinado a todos tus enemigos,</t>
  </si>
  <si>
    <t>¿a qué otra cosa le puedes temer?</t>
  </si>
  <si>
    <t>Clase de objeto: Armaduras corporales</t>
  </si>
  <si>
    <t>Túnica de cadáveres</t>
  </si>
  <si>
    <t>Chaqueta barnizada</t>
  </si>
  <si>
    <t>Evasión: 964 (augmented)</t>
  </si>
  <si>
    <t>Escudo de energía: 197 (augmented)</t>
  </si>
  <si>
    <t>Des: 96</t>
  </si>
  <si>
    <t xml:space="preserve">Engarces: B-B </t>
  </si>
  <si>
    <t>Evasión y Escudo de Energía aumentados un 149%</t>
  </si>
  <si>
    <t>+51 de vida máxima</t>
  </si>
  <si>
    <t>+11% a todas las resistencias elementales</t>
  </si>
  <si>
    <t>Área de efecto aumentada un 47%</t>
  </si>
  <si>
    <t>Daño de área aumentado un 42%</t>
  </si>
  <si>
    <t>Sanguinolencia Extra</t>
  </si>
  <si>
    <t>...La incomodidad que muestran los demás es entretenida, pero nadie_x000D_
puede negar que mi trabajo ha causado un gran impacto...</t>
  </si>
  <si>
    <t>Clase de objeto: Escudos</t>
  </si>
  <si>
    <t>Muro de niebla</t>
  </si>
  <si>
    <t>Rodela laqueada</t>
  </si>
  <si>
    <t>Probabilidad de bloqueo: 24%</t>
  </si>
  <si>
    <t>Evasión: 1154 (augmented)</t>
  </si>
  <si>
    <t>Des: 154</t>
  </si>
  <si>
    <t xml:space="preserve">Engarces: R </t>
  </si>
  <si>
    <t>Velocidad de movimiento aumentada un 6% (implicit)</t>
  </si>
  <si>
    <t>Evasión aumentada un 142%</t>
  </si>
  <si>
    <t>Velocidad de movimiento aumentada un 10%</t>
  </si>
  <si>
    <t>+16% a las resistencias al fuego y al hielo</t>
  </si>
  <si>
    <t>+10% de probabilidad de evitar el daño elemental por golpes mientras Traspasas</t>
  </si>
  <si>
    <t>Tienes probabilidad máxima de bloquear daño de ataques si no has bloqueado recientemente</t>
  </si>
  <si>
    <t>Tienes Traspasar si has bloqueado recientemente</t>
  </si>
  <si>
    <t>Ligero como una tabla,</t>
  </si>
  <si>
    <t>rígido como una pluma.</t>
  </si>
  <si>
    <t>Clase de objeto: Dagas rúnicas</t>
  </si>
  <si>
    <t>Viento blanco</t>
  </si>
  <si>
    <t>Cuchilla imperial</t>
  </si>
  <si>
    <t>Daga rúnica</t>
  </si>
  <si>
    <t>Daño físico: 18-73</t>
  </si>
  <si>
    <t>Daño elemental: 167-304 (augmented)</t>
  </si>
  <si>
    <t>Daño de golpe crítico: 6.30%</t>
  </si>
  <si>
    <t>Ataques por segundo: 1.68 (augmented)</t>
  </si>
  <si>
    <t>Alcance de arma: 1 metro</t>
  </si>
  <si>
    <t>Nivel: 66</t>
  </si>
  <si>
    <t>Des: 95</t>
  </si>
  <si>
    <t xml:space="preserve">Engarces: B </t>
  </si>
  <si>
    <t>Probabilidad global de golpe crítico aumentada un 30% (implicit)</t>
  </si>
  <si>
    <t>Agrega de 167 a 304 de daño de hielo</t>
  </si>
  <si>
    <t>Velocidad de ataque aumentada un 12%</t>
  </si>
  <si>
    <t>+368 de evasión</t>
  </si>
  <si>
    <t>Daño de hielo aumentado un 100% mientras tu mano secundaria esté vacía</t>
  </si>
  <si>
    <t>+20% de probabilidad de atenuar el daño de hechizos mientras tu mano secundaria esté vacía</t>
  </si>
  <si>
    <t>Los maraketh temen muy pocas cosas,</t>
  </si>
  <si>
    <t>pero no osan susurrar el nombre</t>
  </si>
  <si>
    <t>del demonio que vuela en los vendavales de Invierno.</t>
  </si>
  <si>
    <t>Rareza: Raro</t>
  </si>
  <si>
    <t>Fetiche de Zarzas</t>
  </si>
  <si>
    <t>Amuleto de ámbar</t>
  </si>
  <si>
    <t>Nivel: 54</t>
  </si>
  <si>
    <t>+22 de fuerza (implicit)</t>
  </si>
  <si>
    <t>+8 de inteligencia</t>
  </si>
  <si>
    <t>Inteligencia aumentada un 6%</t>
  </si>
  <si>
    <t>Agrega de 3 a 6 de daño físico a los ataques</t>
  </si>
  <si>
    <t>+13% de resistencia al rayo</t>
  </si>
  <si>
    <t>Objeto del Cruzado</t>
  </si>
  <si>
    <t>Clase de objeto: Botas</t>
  </si>
  <si>
    <t>Espolón de Bestia</t>
  </si>
  <si>
    <t>Botas de matanza</t>
  </si>
  <si>
    <t>Evasión: 129 (augmented)</t>
  </si>
  <si>
    <t>Escudo de energía: 31 (augmented)</t>
  </si>
  <si>
    <t>Nivel: 55</t>
  </si>
  <si>
    <t>Des: 35 (augmented)</t>
  </si>
  <si>
    <t xml:space="preserve">Engarces: G-B-B-G </t>
  </si>
  <si>
    <t>Las gemas engarzadas están asistidas por Fortificar de nivel 20</t>
  </si>
  <si>
    <t>Requisitos de atributos reducidos un 32%</t>
  </si>
  <si>
    <t>+22 de evasión</t>
  </si>
  <si>
    <t>+9 de escudo de energía máximo</t>
  </si>
  <si>
    <t>Regeneras 59.2 de vida por segundo</t>
  </si>
  <si>
    <t>Rareza de objetos encontrados aumentada un 14%</t>
  </si>
  <si>
    <t>Objeto del Antiguo</t>
  </si>
  <si>
    <t>Velocidad de Dolor</t>
  </si>
  <si>
    <t>Botas de chagrín</t>
  </si>
  <si>
    <t>Evasión: 195</t>
  </si>
  <si>
    <t>Des: 97</t>
  </si>
  <si>
    <t xml:space="preserve">Engarces: B G </t>
  </si>
  <si>
    <t>Nivel de objeto: 79</t>
  </si>
  <si>
    <t>+19 de destreza</t>
  </si>
  <si>
    <t>+85 de vida máxima</t>
  </si>
  <si>
    <t>Velocidad de movimiento aumentada un 25%</t>
  </si>
  <si>
    <t>Los sangrados que aplicas infligen su daño un 9% más rápido</t>
  </si>
  <si>
    <t>Objeto del Cazador</t>
  </si>
  <si>
    <t>Vuelta de Pena</t>
  </si>
  <si>
    <t>Anillo de topacio</t>
  </si>
  <si>
    <t>Nivel: 67</t>
  </si>
  <si>
    <t>+21% de resistencia al rayo (implicit)</t>
  </si>
  <si>
    <t>Velocidad de regeneración de maná aumentada un 32%</t>
  </si>
  <si>
    <t>Rareza de objetos encontrados aumentada un 27%</t>
  </si>
  <si>
    <t>+44% de resistencia al fuego</t>
  </si>
  <si>
    <t>Maldice a los enemigos con Congelación con cada golpe</t>
  </si>
  <si>
    <t>+50 de maná máximo (crafted)</t>
  </si>
  <si>
    <t>Objeto de la Redentora</t>
  </si>
  <si>
    <t>Escudo gota de arconte</t>
  </si>
  <si>
    <t>Probabilidad de bloqueo: 22%</t>
  </si>
  <si>
    <t>Armadura: 156</t>
  </si>
  <si>
    <t>Escudo de energía: 32</t>
  </si>
  <si>
    <t>Fue: 85</t>
  </si>
  <si>
    <t xml:space="preserve">Engarces: R R R </t>
  </si>
  <si>
    <t>+12% a todas las resistencias elementales (implicit)</t>
  </si>
  <si>
    <t>Objeto del Creador</t>
  </si>
  <si>
    <t>Armadura de placas astral Espinosa de la Conquista</t>
  </si>
  <si>
    <t>Calidad: +30% (augmented)</t>
  </si>
  <si>
    <t>Armadura: 924 (augmented)</t>
  </si>
  <si>
    <t>Fue: 180 (unmet)</t>
  </si>
  <si>
    <t xml:space="preserve">Engarces: W-W-W-W-W-W </t>
  </si>
  <si>
    <t>Nivel de objeto: 100</t>
  </si>
  <si>
    <t>El objeto se vende mucho más caro a los vendedores (implicit)</t>
  </si>
  <si>
    <t>+17% a todas las resistencias elementales</t>
  </si>
  <si>
    <t>Refleja 6 de daño físico a los atacantes cuerpo a cuerpo</t>
  </si>
  <si>
    <t>Objeto del Jefe de guerra</t>
  </si>
  <si>
    <t>Clase de objeto: Joyas de abismo</t>
  </si>
  <si>
    <t>Esfera Hueca</t>
  </si>
  <si>
    <t>Joya del ojo asesino</t>
  </si>
  <si>
    <t>Abismo</t>
  </si>
  <si>
    <t>Evasión aumentada un 30% mientras estés en movimiento (fractured)</t>
  </si>
  <si>
    <t>Agrega de 11 a 20 de daño de caos a los ataques</t>
  </si>
  <si>
    <t>+35 de maná máximo</t>
  </si>
  <si>
    <t>Colócala en un engarce abisal de un objeto o en un engarce para joya del Árbol de habilidades pasivas. Haz clic derecho para retirar del engarce.</t>
  </si>
  <si>
    <t>Objeto fracturado</t>
  </si>
  <si>
    <t>Clase de objeto: Cinturones</t>
  </si>
  <si>
    <t>Alba de Dyadian</t>
  </si>
  <si>
    <t>Cinturón pesado</t>
  </si>
  <si>
    <t>Nivel: 52</t>
  </si>
  <si>
    <t>+25 de fuerza (implicit)</t>
  </si>
  <si>
    <t>+73 de vida máxima</t>
  </si>
  <si>
    <t>+29% de resistencia al fuego</t>
  </si>
  <si>
    <t>+32% de resistencia al hielo</t>
  </si>
  <si>
    <t>El 1% del daño de ataques contra los enemigos escarchados se absorbe como vida</t>
  </si>
  <si>
    <t>Las quemaduras que aplicas con ataques infligen su daño un 35% más rápido</t>
  </si>
  <si>
    <t>No infliges daño físico</t>
  </si>
  <si>
    <t>Con su fría resolución</t>
  </si>
  <si>
    <t>Y su ardiente sacrificio</t>
  </si>
  <si>
    <t>Las mellizas Eternas se alzaron.</t>
  </si>
  <si>
    <t>Deseos del viajero</t>
  </si>
  <si>
    <t>Zapatos de lana</t>
  </si>
  <si>
    <t>Escudo de energía: 22 (augmented)</t>
  </si>
  <si>
    <t xml:space="preserve">Engarces: G-B-B B </t>
  </si>
  <si>
    <t>+5 de destreza</t>
  </si>
  <si>
    <t>+17 de escudo de energía máximo</t>
  </si>
  <si>
    <t>Velocidad de regeneración de maná aumentada un 37%</t>
  </si>
  <si>
    <t>Velocidad de movimiento aumentada un 20%</t>
  </si>
  <si>
    <t>No puedes ser congelado</t>
  </si>
  <si>
    <t>Todo el mundo es mi hogar.</t>
  </si>
  <si>
    <t>Clase de objeto: Guantes</t>
  </si>
  <si>
    <t>Hemofilia</t>
  </si>
  <si>
    <t>Guanteletes de escamas de serpiente</t>
  </si>
  <si>
    <t>Armadura: 78</t>
  </si>
  <si>
    <t>Evasión: 78</t>
  </si>
  <si>
    <t>Nivel: 43</t>
  </si>
  <si>
    <t>Fue: 34</t>
  </si>
  <si>
    <t>Des: 34</t>
  </si>
  <si>
    <t xml:space="preserve">Engarces: R-R-G </t>
  </si>
  <si>
    <t>+25 de fuerza</t>
  </si>
  <si>
    <t>Daño degenerativo aumentado un 25%</t>
  </si>
  <si>
    <t>Los ataques tienen un 25% de probabilidad de aplicar sangrado</t>
  </si>
  <si>
    <t>Daño de ataques contra los enemigos con sangrado aumentado un 34%</t>
  </si>
  <si>
    <t>Los enemigos afectados por el sangrado explotan cuando</t>
  </si>
  <si>
    <t>los matas, e infligen el 5% de su vida máxima como daño físico</t>
  </si>
  <si>
    <t>Duración de sangrado reducida un 25%</t>
  </si>
  <si>
    <t>Un maestro artista se toma su tiempo cuando pinta._x000D_
Desafortunadamente, los de mi clase no solemos disponer de ese lujo.</t>
  </si>
  <si>
    <t>Clase de objeto: Arcos</t>
  </si>
  <si>
    <t>Nube de tormenta</t>
  </si>
  <si>
    <t>Arco largo</t>
  </si>
  <si>
    <t>Arco</t>
  </si>
  <si>
    <t>Daño elemental: 1-85 (augmented)</t>
  </si>
  <si>
    <t>Daño de golpe crítico: 6.00%</t>
  </si>
  <si>
    <t>Ataques por segundo: 1.93 (augmented)</t>
  </si>
  <si>
    <t>Nivel: 9</t>
  </si>
  <si>
    <t>Des: 38</t>
  </si>
  <si>
    <t xml:space="preserve">Engarces: G </t>
  </si>
  <si>
    <t>Nivel de objeto: 73</t>
  </si>
  <si>
    <t>Sin daño físico</t>
  </si>
  <si>
    <t>Agrega de 1 a 85 de daño de rayo</t>
  </si>
  <si>
    <t>Velocidad de ataque aumentada un 48%</t>
  </si>
  <si>
    <t>Siglos de desarrollo en acero para forjar armaduras</t>
  </si>
  <si>
    <t>convirtieron a los ejércitos del Imperio Eterno</t>
  </si>
  <si>
    <t>en pararrayos muy efectivos.</t>
  </si>
  <si>
    <t>Clase de objeto: Garras</t>
  </si>
  <si>
    <t>Buscasangre</t>
  </si>
  <si>
    <t>Zarpa de fiera</t>
  </si>
  <si>
    <t>Garra</t>
  </si>
  <si>
    <t>Daño físico: 99-171 (augmented)</t>
  </si>
  <si>
    <t>Alcance de arma: 1.1 metros</t>
  </si>
  <si>
    <t>Des: 131</t>
  </si>
  <si>
    <t xml:space="preserve">Engarces: G-B </t>
  </si>
  <si>
    <t>El 1.6% del daño físico de los ataques se absorbe como vida (implicit)</t>
  </si>
  <si>
    <t>Daño físico aumentado un 155%</t>
  </si>
  <si>
    <t>Agrega de 10 a 12 de daño físico</t>
  </si>
  <si>
    <t>Velocidad de ataque aumentada un 5%</t>
  </si>
  <si>
    <t>El 1.2% del daño físico de los ataques se absorbe como vida</t>
  </si>
  <si>
    <t>Velocidad de movimiento aumentada un 5%</t>
  </si>
  <si>
    <t>La absorción de vida por golpes con esta arma es instantánea</t>
  </si>
  <si>
    <t>Porque la vida de la carne siempre estará en la sangre.</t>
  </si>
  <si>
    <t>Clase de objeto: Dagas</t>
  </si>
  <si>
    <t>Taladro sanguinario</t>
  </si>
  <si>
    <t>Cuchillo para despellejar</t>
  </si>
  <si>
    <t>Daga</t>
  </si>
  <si>
    <t>Daño físico: 8-31 (augmented)</t>
  </si>
  <si>
    <t>Daño de golpe crítico: 7.80% (augmented)</t>
  </si>
  <si>
    <t>Ataques por segundo: 1.45</t>
  </si>
  <si>
    <t>Nivel: 5</t>
  </si>
  <si>
    <t>Des: 16</t>
  </si>
  <si>
    <t xml:space="preserve">Engarces: G-G </t>
  </si>
  <si>
    <t>+14 de destreza</t>
  </si>
  <si>
    <t>Daño físico aumentado un 57%</t>
  </si>
  <si>
    <t>Agrega de 1 a 3 de daño físico</t>
  </si>
  <si>
    <t>Probabilidad de golpe crítico aumentada un 30%</t>
  </si>
  <si>
    <t>Daño de ataques contra los enemigos con sangrado aumentado un 40%</t>
  </si>
  <si>
    <t>50% de probabilidad de aplicar sangrado con cada golpe crítico</t>
  </si>
  <si>
    <t>Un golpecito en la espalda</t>
  </si>
  <si>
    <t>Un besito en la mejilla</t>
  </si>
  <si>
    <t>Un traguito de tu vino</t>
  </si>
  <si>
    <t>Tan rojo y tan lustroso.</t>
  </si>
  <si>
    <t>Clase de objeto: Joyas</t>
  </si>
  <si>
    <t>Músculo</t>
  </si>
  <si>
    <t>Joya carmesí</t>
  </si>
  <si>
    <t>Fuerza aumentada un 5%</t>
  </si>
  <si>
    <t>Destreza aumentada un 6%</t>
  </si>
  <si>
    <t>Inteligencia reducida un 15%</t>
  </si>
  <si>
    <t>Tómate tu tiempo, haz todos tus planes._x000D_
Luego dime cuál plan_x000D_
quita mi hacha de tus costillas.</t>
  </si>
  <si>
    <t>Colócala en un engarce de joya del Árbol de habilidades pasivas. Haz clic derecho para retirar del engarce.</t>
  </si>
  <si>
    <t>Clase de objeto: Carcajes</t>
  </si>
  <si>
    <t>Retaguardia</t>
  </si>
  <si>
    <t>Carcaj de flechas anchas</t>
  </si>
  <si>
    <t>Nivel: 28</t>
  </si>
  <si>
    <t>Nivel de objeto: 82</t>
  </si>
  <si>
    <t>Agrega de 6 a 12 de daño físico a los ataques con arcos (implicit)</t>
  </si>
  <si>
    <t>24% de probabilidad de bloquear el daño de ataques</t>
  </si>
  <si>
    <t>15% de probabilidad de bloquear el daño de hechizos</t>
  </si>
  <si>
    <t>+421 de armadura</t>
  </si>
  <si>
    <t>Velocidad de proyectiles aumentada un 20%</t>
  </si>
  <si>
    <t>Recuperación del aturdimiento y del bloqueo aumentada un 50%</t>
  </si>
  <si>
    <t>Daño de proyectiles aumentado un 19%</t>
  </si>
  <si>
    <t>Es raro el hombre que tiene ojos en la espalda.</t>
  </si>
  <si>
    <t>Clase de objeto: Cetros</t>
  </si>
  <si>
    <t>Sueño amargo</t>
  </si>
  <si>
    <t>Cetro de sombras</t>
  </si>
  <si>
    <t>Cetro</t>
  </si>
  <si>
    <t>Daño físico: 29-44</t>
  </si>
  <si>
    <t>Daño de golpe crítico: 6.20%</t>
  </si>
  <si>
    <t>Ataques por segundo: 1.25</t>
  </si>
  <si>
    <t>Nivel: 32</t>
  </si>
  <si>
    <t>Fue: 52</t>
  </si>
  <si>
    <t xml:space="preserve">Engarces: B-R </t>
  </si>
  <si>
    <t>Daño elemental aumentado un 22% (implicit)</t>
  </si>
  <si>
    <t>Las gemas engarzadas están asistidas por Hipotermia de nivel 1</t>
  </si>
  <si>
    <t>Las gemas engarzadas están asistidas por Mordida de hielo de nivel 1</t>
  </si>
  <si>
    <t>Las gemas engarzadas están asistidas por Penetración de hielo de nivel 1</t>
  </si>
  <si>
    <t>Las gemas engarzadas están asistidas por Absorción de maná de nivel 1</t>
  </si>
  <si>
    <t>Las gemas engarzadas están asistidas por Daño de hielo agregado de nivel 10</t>
  </si>
  <si>
    <t>Las gemas engarzadas están asistidas por Inspiración de nivel 1</t>
  </si>
  <si>
    <t>No luches contra el frío</t>
  </si>
  <si>
    <t>Abandona la esperanza</t>
  </si>
  <si>
    <t>Quédate inmóvil.</t>
  </si>
  <si>
    <t>Clase de objeto: Báculos</t>
  </si>
  <si>
    <t>Espiral de la ciénaga</t>
  </si>
  <si>
    <t>Rama retorcida</t>
  </si>
  <si>
    <t>Báculo</t>
  </si>
  <si>
    <t>Daño físico: 9-19</t>
  </si>
  <si>
    <t>Ataques por segundo: 1.30</t>
  </si>
  <si>
    <t>Alcance de arma: 1.3 metros</t>
  </si>
  <si>
    <t>+18% a la probabilidad de bloquear daño de ataques mientras empuñas un báculo (implicit)</t>
  </si>
  <si>
    <t>Las gemas engarzadas están asistidas por Trampa de nivel 8</t>
  </si>
  <si>
    <t>Daño Global aumentado un 45%</t>
  </si>
  <si>
    <t>Vida máxima aumentada un 18%</t>
  </si>
  <si>
    <t>Maná máximo aumentado un 11%</t>
  </si>
  <si>
    <t>No tienes razones para temer cuando eres una raíz en un pantano</t>
  </si>
  <si>
    <t>Clase de objeto: Varitas</t>
  </si>
  <si>
    <t>Ramito de vida</t>
  </si>
  <si>
    <t>Varita de madera</t>
  </si>
  <si>
    <t>Varita</t>
  </si>
  <si>
    <t>Daño físico: 5-9</t>
  </si>
  <si>
    <t>Daño de golpe crítico: 7.00%</t>
  </si>
  <si>
    <t>Ataques por segundo: 1.40</t>
  </si>
  <si>
    <t>Daño de hechizos aumentado un 12% (implicit)</t>
  </si>
  <si>
    <t>+1 al nivel de las gemas de hechizo engarzadas</t>
  </si>
  <si>
    <t>Daño de hechizos aumentado un 26%</t>
  </si>
  <si>
    <t>Velocidad de lanzamiento de hechizos aumentada un 6%</t>
  </si>
  <si>
    <t>+16 de vida máxima</t>
  </si>
  <si>
    <t>+19 de maná máximo</t>
  </si>
  <si>
    <t>Regeneras 7 de vida durante 1 segundo cuando lanzas un hechizo</t>
  </si>
  <si>
    <t>Desde las semillas más pequeñas</t>
  </si>
  <si>
    <t>A las más altas secuoyas,</t>
  </si>
  <si>
    <t>La vida resiste en Wraeclast</t>
  </si>
  <si>
    <t>Clase de objeto: Báculos de guerra</t>
  </si>
  <si>
    <t>Forjador de reinos</t>
  </si>
  <si>
    <t>Báculo de hierro</t>
  </si>
  <si>
    <t>Báculo de guerra</t>
  </si>
  <si>
    <t>Daño físico: 14-42</t>
  </si>
  <si>
    <t>Daño elemental: 13-25 (augmented), 13-24 (augmented)</t>
  </si>
  <si>
    <t>Daño de golpe crítico: 6.40%</t>
  </si>
  <si>
    <t>Nivel: 13</t>
  </si>
  <si>
    <t>Fue: 27</t>
  </si>
  <si>
    <t>+1 al nivel de las gemas de fuego engarzadas</t>
  </si>
  <si>
    <t>+1 al nivel de las gemas de hielo engarzadas</t>
  </si>
  <si>
    <t>Las gemas engarzadas están asistidas por Hielo a fuego de nivel 5</t>
  </si>
  <si>
    <t>Agrega de 13 a 25 de daño de fuego</t>
  </si>
  <si>
    <t>Agrega de 13 a 24 de daño de hielo</t>
  </si>
  <si>
    <t>Daño elemental aumentado un 48%</t>
  </si>
  <si>
    <t>Las creaciones de Dios siempre comienzan y terminan_x000D_
con hielo y llamas._x000D_
Deberíamos considerarnos afortunados cuando no vemos ninguna de ellas.</t>
  </si>
  <si>
    <t>Clase de objeto: Espadas a una mano</t>
  </si>
  <si>
    <t>Espada de corsario</t>
  </si>
  <si>
    <t>Espada a una mano</t>
  </si>
  <si>
    <t>Daño físico: 55-183 (augmented)</t>
  </si>
  <si>
    <t>Daño de golpe crítico: 5.00%</t>
  </si>
  <si>
    <t>Ataques por segundo: 1.91 (augmented)</t>
  </si>
  <si>
    <t>Nivel: 58</t>
  </si>
  <si>
    <t>Fue: 81</t>
  </si>
  <si>
    <t>Des: 117</t>
  </si>
  <si>
    <t xml:space="preserve">Engarces: R B G </t>
  </si>
  <si>
    <t>Nivel de objeto: 78</t>
  </si>
  <si>
    <t>Precisión global aumentada un 40% (implicit)</t>
  </si>
  <si>
    <t>Daño físico aumentado un 85%</t>
  </si>
  <si>
    <t>Agrega de 10 a 19 de daño físico</t>
  </si>
  <si>
    <t>Velocidad de ataque aumentada un 23%</t>
  </si>
  <si>
    <t>Efecto de las bonificaciones aumentado un 10% sobre ti</t>
  </si>
  <si>
    <t>Eficiencia de la reserva de maná de las habilidades aumentada un 10%</t>
  </si>
  <si>
    <t>Las Bonificaciones de Aura de los aliados no te afectan</t>
  </si>
  <si>
    <t>Tus Bonificaciones de Aura no afectan a los aliados</t>
  </si>
  <si>
    <t>Domínate a ti mismo antes de pensar en dominar a otros.</t>
  </si>
  <si>
    <t>Clase de objeto: Espadas agresivas a una mano</t>
  </si>
  <si>
    <t>Estoque con puño en canasta</t>
  </si>
  <si>
    <t>Daño físico: 27-62 (augmented)</t>
  </si>
  <si>
    <t>Daño de golpe crítico: 5.50%</t>
  </si>
  <si>
    <t>Ataques por segundo: 1.55</t>
  </si>
  <si>
    <t>Alcance de arma: 1.4 metros</t>
  </si>
  <si>
    <t>Nivel: 17</t>
  </si>
  <si>
    <t>Des: 62</t>
  </si>
  <si>
    <t xml:space="preserve">Engarces: G R-G </t>
  </si>
  <si>
    <t>+25% al multiplicador global de golpe crítico (implicit)</t>
  </si>
  <si>
    <t>Daño físico aumentado un 149%</t>
  </si>
  <si>
    <t>Rareza de objetos encontrados reducida un 20%</t>
  </si>
  <si>
    <t>+57% a todas las resistencias elementales</t>
  </si>
  <si>
    <t>Otorga 3 de vida por cada enemigo golpeado</t>
  </si>
  <si>
    <t>Muchos coleccionistas de rarezas descubrieron, para su desmayo</t>
  </si>
  <si>
    <t>que al espíritu inteligente de esta espada</t>
  </si>
  <si>
    <t>no le gusta compartir la atención de su maestro.</t>
  </si>
  <si>
    <t>Clase de objeto: Espadas a dos manos</t>
  </si>
  <si>
    <t>Espada de tigre</t>
  </si>
  <si>
    <t>Espada a dos manos</t>
  </si>
  <si>
    <t>Daño físico: 192-316 (augmented)</t>
  </si>
  <si>
    <t>Daño de golpe crítico: 7.90% (augmented)</t>
  </si>
  <si>
    <t>Nivel: 51</t>
  </si>
  <si>
    <t>Fue: 80</t>
  </si>
  <si>
    <t xml:space="preserve">Engarces: G R </t>
  </si>
  <si>
    <t>+360 a la precisión (implicit)</t>
  </si>
  <si>
    <t>Daño físico aumentado un 255%</t>
  </si>
  <si>
    <t>Velocidad de ataque aumentada un 20%</t>
  </si>
  <si>
    <t>Probabilidad de golpe crítico aumentada un 58%</t>
  </si>
  <si>
    <t>Ganas 10 de maná por cada enemigo asesinado</t>
  </si>
  <si>
    <t>Ganas una carga de frenesí con cada golpe crítico</t>
  </si>
  <si>
    <t>Su última sensación fue el de la espada del ejecutor.</t>
  </si>
  <si>
    <t>No era fría, pero sí cálida y reconfortante;</t>
  </si>
  <si>
    <t>murmuraba promesas de un mejor porvenir.</t>
  </si>
  <si>
    <t>Sonriendo, devolvió el abrazo de la muerte.</t>
  </si>
  <si>
    <t>Clase de objeto: Hachas a una mano</t>
  </si>
  <si>
    <t>Hacha infernal</t>
  </si>
  <si>
    <t>Hacha a una mano</t>
  </si>
  <si>
    <t>Daño físico: 51-85</t>
  </si>
  <si>
    <t>Daño elemental: 276-323 (augmented), 282-315 (augmented)</t>
  </si>
  <si>
    <t>Ataques por segundo: 1.45 (augmented)</t>
  </si>
  <si>
    <t>Nivel: 69</t>
  </si>
  <si>
    <t>Fue: 158</t>
  </si>
  <si>
    <t>Des: 76</t>
  </si>
  <si>
    <t xml:space="preserve">Engarces: R-G </t>
  </si>
  <si>
    <t>Agrega de 276 a 323 de daño de fuego a la mano principal</t>
  </si>
  <si>
    <t>Agrega de 282 a 315 de daño de hielo en la mano secundaria</t>
  </si>
  <si>
    <t>Velocidad de ataque aumentada un 11%</t>
  </si>
  <si>
    <t>25% de probabilidad de quemar cuando está equipada en la mano principal</t>
  </si>
  <si>
    <t>Daño con quemadura aumentado un 100% contra los enemigos escarchados</t>
  </si>
  <si>
    <t>Escarcha a los enemigos durante 1 segundo con cada golpe del arma cuando está equipada en la mano secundaria</t>
  </si>
  <si>
    <t>Nacidos del amor, forjados con sangre</t>
  </si>
  <si>
    <t>Él quemaba como una antorcha en las noches más oscuras</t>
  </si>
  <si>
    <t>Ella brillaba como hielo bajo el sol del invierno</t>
  </si>
  <si>
    <t>Con orgullo, con fiereza</t>
  </si>
  <si>
    <t>Al lado de su madre, para siempre.</t>
  </si>
  <si>
    <t>Clase de objeto: Hachas a dos manos</t>
  </si>
  <si>
    <t>Troza miembros</t>
  </si>
  <si>
    <t>Cortadora de madera</t>
  </si>
  <si>
    <t>Hacha a dos manos</t>
  </si>
  <si>
    <t>Daño físico: 45-91 (augmented)</t>
  </si>
  <si>
    <t>Fue: 36</t>
  </si>
  <si>
    <t>Des: 17</t>
  </si>
  <si>
    <t>+1 al nivel de las gemas de fuerza engarzadas</t>
  </si>
  <si>
    <t>+27 de fuerza</t>
  </si>
  <si>
    <t>Daño físico aumentado un 86%</t>
  </si>
  <si>
    <t>Agrega de 5 a 10 de daño físico</t>
  </si>
  <si>
    <t>Golpe de gracia</t>
  </si>
  <si>
    <t>Girando en el aire, canta</t>
  </si>
  <si>
    <t>sobre aquello que se pierde, se fisura, se corta.</t>
  </si>
  <si>
    <t>Clase de objeto: Mazas a una mano</t>
  </si>
  <si>
    <t>Aliento de escarcha</t>
  </si>
  <si>
    <t>Maza ornamentada</t>
  </si>
  <si>
    <t>Maza a una mano</t>
  </si>
  <si>
    <t>Daño físico: 83-105 (augmented)</t>
  </si>
  <si>
    <t>Daño elemental: 31-40 (augmented)</t>
  </si>
  <si>
    <t>Ataques por segundo: 1.36 (augmented)</t>
  </si>
  <si>
    <t>Fue: 161</t>
  </si>
  <si>
    <t>Umbral de aturdimiento de los enemigos reducido un 15% (implicit)</t>
  </si>
  <si>
    <t>Agrega de 30 a 38 de daño físico</t>
  </si>
  <si>
    <t>Agrega de 31 a 40 de daño de hielo</t>
  </si>
  <si>
    <t>Velocidad de ataque aumentada un 13%</t>
  </si>
  <si>
    <t>+50% de resistencia al fuego</t>
  </si>
  <si>
    <t>Duración del escarchamiento en los enemigos aumentada un 39%</t>
  </si>
  <si>
    <t>Los ataques con esta arma infligen daño doble a los enemigos escarchados</t>
  </si>
  <si>
    <t>Un asesino misericordioso paseaba por las calles de Sarn</t>
  </si>
  <si>
    <t>Robando el aliento de los débiles y los inútiles.</t>
  </si>
  <si>
    <t>Clase de objeto: Mazas a dos manos</t>
  </si>
  <si>
    <t>Hogar del vacío</t>
  </si>
  <si>
    <t>Mazo de pavor</t>
  </si>
  <si>
    <t>Maza a dos manos</t>
  </si>
  <si>
    <t>Daño físico: 193-260 (augmented)</t>
  </si>
  <si>
    <t>Ataques por segundo: 1.88 (augmented)</t>
  </si>
  <si>
    <t>Fue: 173</t>
  </si>
  <si>
    <t xml:space="preserve">Engarces: R R-R </t>
  </si>
  <si>
    <t>Duración del aturdimiento en los enemigos aumentada un 30% (implicit)</t>
  </si>
  <si>
    <t>Daño físico aumentado un 150%</t>
  </si>
  <si>
    <t>Velocidad de ataque aumentada un 50%</t>
  </si>
  <si>
    <t>Rareza de objetos encontrados reducida un 50%</t>
  </si>
  <si>
    <t>Experiencia ganada reducida un 35%</t>
  </si>
  <si>
    <t>El 0.4% del daño físico de los ataques se absorbe como maná</t>
  </si>
  <si>
    <t>Maldita es la estrella en la que llegó.</t>
  </si>
  <si>
    <t>Clase de objeto: Broches de Heist</t>
  </si>
  <si>
    <t>Gorjal de Horror</t>
  </si>
  <si>
    <t>Broche plateado</t>
  </si>
  <si>
    <t>Cualquier miembro de la banda puede equiparse este objeto.</t>
  </si>
  <si>
    <t>Nivel 2 en cualquier trabajo</t>
  </si>
  <si>
    <t>Rareza de los objetos que caen en los atracos aumentada un 14% (implicit)</t>
  </si>
  <si>
    <t>Daño aumentado un 38%</t>
  </si>
  <si>
    <t>Los cofres de Heist tienen un 7% de probabilidad de duplicar los Orbes de delirio y las esquirlas que contienen</t>
  </si>
  <si>
    <t>Costo de contratación reducido un 7%</t>
  </si>
  <si>
    <t>Rareza de los objetos que caen en los atracos aumentada un 23%</t>
  </si>
  <si>
    <t>Solo pueden equiparlo los renegados de Heist.</t>
  </si>
  <si>
    <t>Clase de objeto: Capas de Heist</t>
  </si>
  <si>
    <t>Sudario de Cadáver</t>
  </si>
  <si>
    <t>Capa harapienta</t>
  </si>
  <si>
    <t>Nivel 3 en cualquier trabajo</t>
  </si>
  <si>
    <t>Incremento del nivel de alerta reducido un 3% (implicit)</t>
  </si>
  <si>
    <t>Daño aumentado un 23% si aún no se activó el cierre de puertas</t>
  </si>
  <si>
    <t>Los jugadores infligen el daño aumentado un 23% si aún no se activó el cierre de puertas</t>
  </si>
  <si>
    <t>Incremento del nivel de alerta por abrir cofres reducido un 3%</t>
  </si>
  <si>
    <t>Clase de objeto: Accesorio de Heist</t>
  </si>
  <si>
    <t>Engranaje de Fénix</t>
  </si>
  <si>
    <t>Piedra de afilar rugosa</t>
  </si>
  <si>
    <t>Nivel de objeto: 71</t>
  </si>
  <si>
    <t>Daño cuerpo a cuerpo aumentado un 14% (implicit)</t>
  </si>
  <si>
    <t>De 12 a 20 de daño de hielo agregado</t>
  </si>
  <si>
    <t>Los jugadores y sus esbirros tienen de 12 a 20 de daño de hielo agregado</t>
  </si>
  <si>
    <t>Costo de contratación reducido un 6%</t>
  </si>
  <si>
    <t>Otorga la habilidad Orgullo de nivel 5</t>
  </si>
  <si>
    <t>Clase de objeto: Objetivos de Heist</t>
  </si>
  <si>
    <t>Calavera homínida con colmillos</t>
  </si>
  <si>
    <t>Nivel de objeto: 27</t>
  </si>
  <si>
    <t>Si la calavera es real, y no una falsificación, entonces puede que muestre que mi pueblo no es_x000D_
la abominación que otros piensan que es. la palabra 'humano' podría tener un significado más amplio.</t>
  </si>
  <si>
    <t>Se puede intercambiar con Faustus, el Perista, en El Puerto de los renegados</t>
  </si>
  <si>
    <t>Clase de objeto: Herramientas de Heist</t>
  </si>
  <si>
    <t>Material de Tormento</t>
  </si>
  <si>
    <t>Llavero esencial</t>
  </si>
  <si>
    <t>Este objeto puede ser equipado por:</t>
  </si>
  <si>
    <t>Vinderi, el Experto en explosivos</t>
  </si>
  <si>
    <t>Tullina, la Ladrona</t>
  </si>
  <si>
    <t>Isla, la Ingeniera</t>
  </si>
  <si>
    <t>Nivel 2 en Desarme de trampas</t>
  </si>
  <si>
    <t>Velocidad de los trabajos de desarme de trampas aumentada un 4% (implicit)</t>
  </si>
  <si>
    <t>Comisión del Círculo reducida un 9%</t>
  </si>
  <si>
    <t>+2 segundos al temporizador del cierre de puertas</t>
  </si>
  <si>
    <t>Experiencia de trabajo ganada aumentada un 3%</t>
  </si>
  <si>
    <t>Clase de objeto: Abalorios</t>
  </si>
  <si>
    <t>Cuenta de Apocalipsis</t>
  </si>
  <si>
    <t>Abalorio del ladrón</t>
  </si>
  <si>
    <t>Nivel: 40</t>
  </si>
  <si>
    <t>3% de probabilidad de recibir objetos de Breach adicionales cuando abres un cofre de recompensas en un atraco</t>
  </si>
  <si>
    <t>15% de probabilidad de que los Orbes de alteración caigan como Orbes de alquimia dentro de los atracos</t>
  </si>
  <si>
    <t>20% de probabilidad de que los Orbes cromáticos caigan como Orbes de fusión dentro de los atracos</t>
  </si>
  <si>
    <t>Para poder equipar esto, tienes que encontrar la escultura La captura en el plano de una Guarida de contrabandista o de Submundo</t>
  </si>
  <si>
    <t>Clase de objeto: Cañas de pescar</t>
  </si>
  <si>
    <t>Flagelo del arrecife</t>
  </si>
  <si>
    <t>Caña de pescar</t>
  </si>
  <si>
    <t>Daño físico: 8-15</t>
  </si>
  <si>
    <t>Ataques por segundo: 1.20</t>
  </si>
  <si>
    <t>Velocidad de lanzamiento de hechizos aumentada un 34%</t>
  </si>
  <si>
    <t>Señuelo Taumatúrgico</t>
  </si>
  <si>
    <t>Cantidad de Peces Pescados aumentada un 15%</t>
  </si>
  <si>
    <t>Brilla mientras estés en un Área que contiene un Pez Único</t>
  </si>
  <si>
    <t>Se alejó en el océano</t>
  </si>
  <si>
    <t>Y le arrancó su corazón.</t>
  </si>
  <si>
    <t>アイテムクラス: スキルジェム</t>
  </si>
  <si>
    <t>レアリティ: ジェム</t>
  </si>
  <si>
    <t>異常なバラージ</t>
  </si>
  <si>
    <t>アタック, 投射物, 弓</t>
  </si>
  <si>
    <t>レベル: 20 (最大)</t>
  </si>
  <si>
    <t>コスト: 11 マナ</t>
  </si>
  <si>
    <t>アタックダメージ: 基本の54.6%</t>
  </si>
  <si>
    <t>追加ダメージ効率: 55%</t>
  </si>
  <si>
    <t>品質: +11% (augmented)</t>
  </si>
  <si>
    <t>代替品質</t>
  </si>
  <si>
    <t>装備要求:</t>
  </si>
  <si>
    <t>レベル: 70</t>
  </si>
  <si>
    <t>器用さ: 155</t>
  </si>
  <si>
    <t>短い準備時間の後、遠距離武器で繰り返し攻撃する。この攻撃はわずかにランダムなばらつきを持つ。使用するには弓またはワンドを装備する必要がある。このスキルはトリガーできない。</t>
  </si>
  <si>
    <t>ヒット時に11%の確率で敵をノックバックする</t>
  </si>
  <si>
    <t>追加の投射物を4個放つ</t>
  </si>
  <si>
    <t>連続して投射物を放つ</t>
  </si>
  <si>
    <t>同じ色のソケットにはめることでスキルを使用できるようになります。右クリックしてソケットから取り外す。</t>
  </si>
  <si>
    <t>コラプト状態</t>
  </si>
  <si>
    <t>異常な</t>
  </si>
  <si>
    <t>アイテムクラス: サポートジェム</t>
  </si>
  <si>
    <t>相違のディバインブレッシングサポート</t>
  </si>
  <si>
    <t>サポート, オーラ, 持続時間, ブレッシング</t>
  </si>
  <si>
    <t>品質: +20% (augmented)</t>
  </si>
  <si>
    <t>筋力: 70</t>
  </si>
  <si>
    <t>知性: 48</t>
  </si>
  <si>
    <t>使用者の周りに恒久的なオーラを生成するオーラスキルをサポートし、そのリザーブをコストに変換し、効果を一時的なものにする。バナーおよびスタンススキルはサポートできない。</t>
  </si>
  <si>
    <t>サポートされたスキルのマナコストが5%減少する</t>
  </si>
  <si>
    <t>サポートされたスキルのオーラの効果が29%増加する</t>
  </si>
  <si>
    <t>サポートされたスキルは+233のマナをコストとして消費する</t>
  </si>
  <si>
    <t>サポートされたスキルはブレッシングスキルともみなされる</t>
  </si>
  <si>
    <t>ブレッシングスキルによるオーラを一つだけ自身にキャストできる</t>
  </si>
  <si>
    <t>サポートされたスキルによるオーラの基礎持続時間は10.90秒である</t>
  </si>
  <si>
    <t>これはサポートジェムです⁠。これはキャラクター自身には何も付与しませんが⁠、リンクされたソケットにはめられたスキルにボーナスを与えます⁠。右クリックしてソケットから取り外す⁠。</t>
  </si>
  <si>
    <t>相違の</t>
  </si>
  <si>
    <t>幻想の</t>
  </si>
  <si>
    <t>幻想のテクトニックスラム</t>
  </si>
  <si>
    <t>火, アタック, 範囲効果, スラム, 近接</t>
  </si>
  <si>
    <t>レベル: 16</t>
  </si>
  <si>
    <t>コスト: 10 マナ</t>
  </si>
  <si>
    <t>アタックスピード: 基本の80%</t>
  </si>
  <si>
    <t>アタックダメージ: 基本の255%</t>
  </si>
  <si>
    <t>追加ダメージ効率: 255%</t>
  </si>
  <si>
    <t>レベル: 62</t>
  </si>
  <si>
    <t>筋力: 138</t>
  </si>
  <si>
    <t>地面を叩きつけ、燃え盛る亀裂を前方に作り、範囲ダメージを与える。さらにその亀裂から多数の小さな亀裂のランダムな枝分かれが生じる。このスキルで地面を三回叩きつけるごとにエンデュランスチャージを消費する。使用するにはメイス、セプター、剣、斧またはスタッフを装備するか素手状態である必要がある。</t>
  </si>
  <si>
    <t>物理ダメージの60%を火ダメージに変換する</t>
  </si>
  <si>
    <t>火ダメージが11%増加する</t>
  </si>
  <si>
    <t>エンデュランスチャージ1個ごとに効果範囲が5%上昇する</t>
  </si>
  <si>
    <t>エンデュランスチャージ1個ごとに亀裂の枝分かれ確率が+5%される</t>
  </si>
  <si>
    <t>30%の確率で亀裂が枝分かれする</t>
  </si>
  <si>
    <t>経験値: 4,897,423/15,138,193</t>
  </si>
  <si>
    <t>アイテムクラス: スタック可能カレンシー</t>
  </si>
  <si>
    <t>レアリティ: カレンシー</t>
  </si>
  <si>
    <t>混沌のオーブ</t>
  </si>
  <si>
    <t>スタック数: 1/20</t>
  </si>
  <si>
    <t>レアアイテムをランダムなモッドを持つレアアイテムにリフォージする。</t>
  </si>
  <si>
    <t>このアイテムを右クリックした後、レアアイテムを左クリックして使用する。</t>
  </si>
  <si>
    <t>アイテムクラス: デルヴスタック可能ソケット可能カレンシー</t>
  </si>
  <si>
    <t>素朴な混沌のレゾネーター</t>
  </si>
  <si>
    <t>スタック数: 1/10</t>
  </si>
  <si>
    <t>ソケットされた化石が1 (unmet)個必要です。</t>
  </si>
  <si>
    <t xml:space="preserve">ソケット: D </t>
  </si>
  <si>
    <t>このアイテムを使用するには、化石がすべてのソケットに入っている必要がある。</t>
  </si>
  <si>
    <t>アイテムクラス: 占いカード</t>
  </si>
  <si>
    <t>レアリティ: 占いカード</t>
  </si>
  <si>
    <t>混沌とした気質</t>
  </si>
  <si>
    <t>5x 混沌のオーブ</t>
  </si>
  <si>
    <t>人生は自分で作るものじゃない、既に作られているんだ。</t>
  </si>
  <si>
    <t>アイテムクラス: メタモルフサンプル</t>
  </si>
  <si>
    <t>レアリティ: ユニーク</t>
  </si>
  <si>
    <t>呪われしクレーボーン船長の脳</t>
  </si>
  <si>
    <t>使用スキル: ソウルボルト</t>
  </si>
  <si>
    <t>アイテムレベル: 80</t>
  </si>
  <si>
    <t>追加のカレンシーアイテムをドロップ</t>
  </si>
  <si>
    <t>追加の高品質ジェムをドロップ</t>
  </si>
  <si>
    <t>5-リンクレア武器をドロップ</t>
  </si>
  <si>
    <t>ターネの研究所でこのサンプルと別箇所のサンプル4つを組み合わせる。</t>
  </si>
  <si>
    <t>アイテムクラス: マップ</t>
  </si>
  <si>
    <t>レアリティ: ノーマル</t>
  </si>
  <si>
    <t>ブライトに覆われた晶洞のマップ</t>
  </si>
  <si>
    <t>マップティア: 13</t>
  </si>
  <si>
    <t>エリアは真菌に覆われている (implicit)</t>
  </si>
  <si>
    <t>マップのアイテムの数量のモッドはその数値の20%がブライトチェストにも影響する (implicit)</t>
  </si>
  <si>
    <t>3回アノイントすることができる (implicit)</t>
  </si>
  <si>
    <t>このエリアに元々生息していた生物はいなくなる (implicit)</t>
  </si>
  <si>
    <t>自身のマップデバイスで使用することでこのマップに移動する。一度のみ使用できる。</t>
  </si>
  <si>
    <t>ブライト</t>
  </si>
  <si>
    <t>ブライトに破壊された監房のマップ</t>
  </si>
  <si>
    <t>マップティア: 15</t>
  </si>
  <si>
    <t>アイテムレベル: 81</t>
  </si>
  <si>
    <t>モンスターレベル: 85 (implicit)</t>
  </si>
  <si>
    <t>モンスターのライフが200%上昇する (implicit)</t>
  </si>
  <si>
    <t>モンスターの移動スピードが20%増加する (implicit)</t>
  </si>
  <si>
    <t>マップのアイテムの数量のモッドはその数値の40%がブライトチェストにも影響する (implicit)</t>
  </si>
  <si>
    <t>9回アノイントすることができる (implicit)</t>
  </si>
  <si>
    <t>ブライトに破壊された</t>
  </si>
  <si>
    <t>アイテムクラス: 計画書</t>
  </si>
  <si>
    <t>計画書: 研究所</t>
  </si>
  <si>
    <t>ハイスト目標: 異常なジェム</t>
  </si>
  <si>
    <t>エリアレベル: 74</t>
  </si>
  <si>
    <t>情報を聞いた区画: 1/3</t>
  </si>
  <si>
    <t>情報を聞いた脱出ルート: 1/6</t>
  </si>
  <si>
    <t>情報を聞いた報酬部屋: 2/15</t>
  </si>
  <si>
    <t>必要ジョブ 爆破 (レベル 2)</t>
  </si>
  <si>
    <t>必要ジョブ 罠解除 (レベル 1)</t>
  </si>
  <si>
    <t>必要ジョブ 敏捷性 (レベル 1)</t>
  </si>
  <si>
    <t>アイテムレベル: 74</t>
  </si>
  <si>
    <t>ローグハーバーにいる特定のNPCに話しかけ、諜報を使って追加の区画や部屋の情報を聞くことができます。この計画書をアーディアに渡して、グランドハイストに着手してください。</t>
  </si>
  <si>
    <t>アイテムクラス: 依頼書</t>
  </si>
  <si>
    <t>レアリティ: マジック</t>
  </si>
  <si>
    <t>妨げる 依頼書: バンカー</t>
  </si>
  <si>
    <t>依頼人: マーシン・クラ―ヴァス</t>
  </si>
  <si>
    <t>ハイスト目標: 謎の装置の部品 C5 (中程度な価値)</t>
  </si>
  <si>
    <t>エリアレベル: 6</t>
  </si>
  <si>
    <t>必要ジョブ 工作 (レベル 1)</t>
  </si>
  <si>
    <t>アイテム数量: +13% (augmented)</t>
  </si>
  <si>
    <t>アイテムレアリティ: +8% (augmented)</t>
  </si>
  <si>
    <t>アラートレベル減少: +5% (augmented)</t>
  </si>
  <si>
    <t>ロックダウンまでの時間: +5% (augmented)</t>
  </si>
  <si>
    <t>活動可能な増援の最大数: +5% (augmented)</t>
  </si>
  <si>
    <t>アイテムレベル: 6</t>
  </si>
  <si>
    <t>ジョブスピードが14%減少する</t>
  </si>
  <si>
    <t>「この装置の追求のために家族の財産を使い果たしてしまった。これを組み立て、起動させることだけが私に残されたことだ。」</t>
  </si>
  <si>
    <t>ローグハーバーでこの依頼書をアーディアに渡し、ハイストに着手する。</t>
  </si>
  <si>
    <t>アイテムクラス: エクスペディションログブック</t>
  </si>
  <si>
    <t>エクスペディションログブック</t>
  </si>
  <si>
    <t>エリアレベル: 76</t>
  </si>
  <si>
    <t>アイテムレベル: 76</t>
  </si>
  <si>
    <t>砂漠の遺跡</t>
  </si>
  <si>
    <t>杯の教団</t>
  </si>
  <si>
    <t>モンスターがドロップするアーティファクトの数量が10%増加する (implicit)</t>
  </si>
  <si>
    <t>エリアにあるレムナントの数が23%増加する (implicit)</t>
  </si>
  <si>
    <t>カルイの戦没者墓所</t>
  </si>
  <si>
    <t>爆発物の数が40%増加する (implicit)</t>
  </si>
  <si>
    <t>エリアにあるモンスターの目印の数が15%増加する (implicit)</t>
  </si>
  <si>
    <t>このアイテムをダンニグに渡し、自身の隠れ家でエクスペディションへのポータルを開く。</t>
  </si>
  <si>
    <t>素早い 環礁のマップ</t>
  </si>
  <si>
    <t>マップティア: 16</t>
  </si>
  <si>
    <t>アイテム数量: +19% (augmented)</t>
  </si>
  <si>
    <t>アイテムレアリティ: +11% (augmented)</t>
  </si>
  <si>
    <t>モンスターパックサイズ: +7% (augmented)</t>
  </si>
  <si>
    <t>アイテムレベル: 84</t>
  </si>
  <si>
    <t>モンスターの移動スピードが26%増加する</t>
  </si>
  <si>
    <t>モンスターのアタックスピードが43%増加する</t>
  </si>
  <si>
    <t>モンスターのキャストスピードが38%増加する</t>
  </si>
  <si>
    <t>アイテムクラス: マップの断片</t>
  </si>
  <si>
    <t>黄昏の生贄</t>
  </si>
  <si>
    <t>ヴァールは我らの太陽が沈むことを決して恐れぬ。</t>
  </si>
  <si>
    <t>自身のマップデバイスで使用できる。</t>
  </si>
  <si>
    <t>アイテムクラス: 記憶</t>
  </si>
  <si>
    <t>裂け目の ニコの記憶</t>
  </si>
  <si>
    <t>エリアに追加のアビスが出現する</t>
  </si>
  <si>
    <t>アビスは既に完全に開いている</t>
  </si>
  <si>
    <t>このレルムではアビスにビヨンドモンスターが含まれる</t>
  </si>
  <si>
    <t>このアイテム上で右クリックし、アトラス上の完了済みマップをクリックすることでメモリーを適用します。</t>
  </si>
  <si>
    <t>変更不可</t>
  </si>
  <si>
    <t>アイテムクラス: その他マップアイテム</t>
  </si>
  <si>
    <t>悶える招待状</t>
  </si>
  <si>
    <t>アイテムレベル: 83</t>
  </si>
  <si>
    <t>アイテムの数量のモッドはボスからドロップする報酬の量に影響する (implicit)</t>
  </si>
  <si>
    <t>果てなき渇望が宇宙の胃袋の中で待ち受けている。</t>
  </si>
  <si>
    <t>そこでは文明すべてが消化され、しかし死ぬことはない</t>
  </si>
  <si>
    <t>自身のマップデバイスで使用することで、煮え滾る糜粥へのポータルを開きます。</t>
  </si>
  <si>
    <t>アイテムクラス: ハイブリッドフラスコ</t>
  </si>
  <si>
    <t>上質な 聖なるハイブリッドフラスコ</t>
  </si>
  <si>
    <t>品質: +18% (augmented)</t>
  </si>
  <si>
    <t>5秒間で1699 (augmented)ライフ回復</t>
  </si>
  <si>
    <t>5秒間で472 (augmented)マナ回復</t>
  </si>
  <si>
    <t>使用時に40中20チャージを消費</t>
  </si>
  <si>
    <t>現在0チャージ</t>
  </si>
  <si>
    <t>レベル: 50</t>
  </si>
  <si>
    <t>アイテムレベル: 77</t>
  </si>
  <si>
    <t>右クリックして飲む。腰につけているときだけチャージを貯めることができる。モンスターを倒すことで充填される。</t>
  </si>
  <si>
    <t>アイテムクラス: マナフラスコ</t>
  </si>
  <si>
    <t>上質な 永遠のマナフラスコ</t>
  </si>
  <si>
    <t>品質: +15% (augmented)</t>
  </si>
  <si>
    <t>7秒間で2070 (augmented)マナ回復</t>
  </si>
  <si>
    <t>使用時に42中8チャージを消費</t>
  </si>
  <si>
    <t>レベル: 65</t>
  </si>
  <si>
    <t>アイテムレベル: 70</t>
  </si>
  <si>
    <t>アイテムクラス: ライフフラスコ</t>
  </si>
  <si>
    <t>上質な 永遠のライフフラスコ</t>
  </si>
  <si>
    <t>品質: +8% (augmented)</t>
  </si>
  <si>
    <t>2秒間で2246 (augmented)ライフ回復</t>
  </si>
  <si>
    <t>使用時に45中15チャージを消費</t>
  </si>
  <si>
    <t>アイテムレベル: 68</t>
  </si>
  <si>
    <t>上質な</t>
  </si>
  <si>
    <t>アイテムクラス: ユーティリティフラスコ</t>
  </si>
  <si>
    <t>学者の センザンコウの シルバーフラスコ</t>
  </si>
  <si>
    <t>品質: +2% (augmented)</t>
  </si>
  <si>
    <t>6.10 (augmented)秒間持続</t>
  </si>
  <si>
    <t>使用時に60中32 (augmented)チャージを消費</t>
  </si>
  <si>
    <t>猛攻</t>
  </si>
  <si>
    <t>レベル: 46</t>
  </si>
  <si>
    <t>アイテムレベル: 63</t>
  </si>
  <si>
    <t>使用に必要なチャージ量が18%減少する</t>
  </si>
  <si>
    <t>効果中はアーマーが53%増加する</t>
  </si>
  <si>
    <t>アイテムクラス: アミュレット</t>
  </si>
  <si>
    <t>ビスコの首輪</t>
  </si>
  <si>
    <t>金のアミュレット</t>
  </si>
  <si>
    <t>レベル: 30</t>
  </si>
  <si>
    <t>アイテムレベル: 75</t>
  </si>
  <si>
    <t>見つかるアイテムのレアリティが20%増加する (implicit)</t>
  </si>
  <si>
    <t>マジックの敵を倒してドロップしたアイテムのレアリティが146%増加する</t>
  </si>
  <si>
    <t>ノーマルの敵を倒してドロップするアイテムの数量が39%増加する</t>
  </si>
  <si>
    <t>値千金の友情、</t>
  </si>
  <si>
    <t>毎日の宝物。</t>
  </si>
  <si>
    <t>共に老いると思ったが、</t>
  </si>
  <si>
    <t>運命が君を連れ去った。</t>
  </si>
  <si>
    <t>フォイルユニーク (サンセット)</t>
  </si>
  <si>
    <t>アイテムクラス: 指輪</t>
  </si>
  <si>
    <t>パウア貝の指輪</t>
  </si>
  <si>
    <t>最大マナ +24 (implicit)</t>
  </si>
  <si>
    <t>未鑑定</t>
  </si>
  <si>
    <t>アイテムクラス: 兜</t>
  </si>
  <si>
    <t>アビサス</t>
  </si>
  <si>
    <t>エゾマイトバーゴネット</t>
  </si>
  <si>
    <t>アーマー: 702 (augmented)</t>
  </si>
  <si>
    <t>レベル: 60</t>
  </si>
  <si>
    <t xml:space="preserve">ソケット: R-R </t>
  </si>
  <si>
    <t>アイテムレベル: 85</t>
  </si>
  <si>
    <t>全ての能力値 +21</t>
  </si>
  <si>
    <t>40から60の物理ダメージをアタックに追加する</t>
  </si>
  <si>
    <t>近接クリティカルダメージ倍率 +112%</t>
  </si>
  <si>
    <t>アーマーが103%増加する</t>
  </si>
  <si>
    <t>受ける物理ダメージが49%増加する</t>
  </si>
  <si>
    <t>「全ての敵を殺してしまえば、</t>
  </si>
  <si>
    <t>何を恐れることがあろうか？」</t>
  </si>
  <si>
    <t>アイテムクラス: 鎧</t>
  </si>
  <si>
    <t>カーカス・ジャック</t>
  </si>
  <si>
    <t>バーニッシュコート</t>
  </si>
  <si>
    <t>回避力: 964 (augmented)</t>
  </si>
  <si>
    <t>エナジーシールド: 197 (augmented)</t>
  </si>
  <si>
    <t>器用さ: 96</t>
  </si>
  <si>
    <t>知性: 96</t>
  </si>
  <si>
    <t xml:space="preserve">ソケット: B-B </t>
  </si>
  <si>
    <t>回避力およびエナジーシールドが149%増加する</t>
  </si>
  <si>
    <t>最大ライフ +51</t>
  </si>
  <si>
    <t>全ての元素耐性 +11%</t>
  </si>
  <si>
    <t>効果範囲が47%増加する</t>
  </si>
  <si>
    <t>範囲ダメージが42%増加する</t>
  </si>
  <si>
    <t>追加ゴア表現</t>
  </si>
  <si>
    <t>「...皆の不快感は愉快だが、我が作品が</t>
  </si>
  <si>
    <t>波紋を起こしたことは誰にも否定のしようがない...」</t>
  </si>
  <si>
    <t>―マリガロの手記</t>
  </si>
  <si>
    <t>アイテムクラス: 盾</t>
  </si>
  <si>
    <t>ミストウォール</t>
  </si>
  <si>
    <t>漆塗のバックラー</t>
  </si>
  <si>
    <t>ブロック率: 24%</t>
  </si>
  <si>
    <t>回避力: 1154 (augmented)</t>
  </si>
  <si>
    <t>器用さ: 154</t>
  </si>
  <si>
    <t xml:space="preserve">ソケット: R </t>
  </si>
  <si>
    <t>移動スピードが6%増加する (implicit)</t>
  </si>
  <si>
    <t>回避力が142%増加する</t>
  </si>
  <si>
    <t>移動スピードが10%増加する</t>
  </si>
  <si>
    <t>火および冷気耐性 +16%</t>
  </si>
  <si>
    <t>透明化中は+10%の確率でヒットによる元素系状態異常を無効化する</t>
  </si>
  <si>
    <t>直近ブロックをしていなければアタックブロック率が最大値になる</t>
  </si>
  <si>
    <t>直近プレイヤーがブロックをしていれば透明化する</t>
  </si>
  <si>
    <t>板のように軽く、</t>
  </si>
  <si>
    <t>羽のように固い。</t>
  </si>
  <si>
    <t>アイテムクラス: ルーンの短剣</t>
  </si>
  <si>
    <t>白い風</t>
  </si>
  <si>
    <t>インペリアルスキーン</t>
  </si>
  <si>
    <t>ルーンの短剣</t>
  </si>
  <si>
    <t>物理ダメージ: 18-73</t>
  </si>
  <si>
    <t>元素ダメージ: 167-304 (augmented)</t>
  </si>
  <si>
    <t>クリティカル率: 6.30%</t>
  </si>
  <si>
    <t>秒間アタック回数: 1.68 (augmented)</t>
  </si>
  <si>
    <t>武器攻撃距離：1 メートル</t>
  </si>
  <si>
    <t>レベル: 66</t>
  </si>
  <si>
    <t>器用さ: 95</t>
  </si>
  <si>
    <t>知性: 131</t>
  </si>
  <si>
    <t xml:space="preserve">ソケット: B </t>
  </si>
  <si>
    <t>グローバルクリティカル率が30%増加する (implicit)</t>
  </si>
  <si>
    <t>167から304の冷気ダメージを追加する</t>
  </si>
  <si>
    <t>アタックスピードが12%増加する</t>
  </si>
  <si>
    <t>回避力 +368</t>
  </si>
  <si>
    <t>オフハンドに何も装備していない時に冷気ダメージが100%増加する</t>
  </si>
  <si>
    <t>オフハンドに何も装備していない時にスペルダメージ抑制確率 +20%</t>
  </si>
  <si>
    <t>マラケスが恐れるものは少ないが</t>
  </si>
  <si>
    <t>冬の風に乗って飛ぶ悪魔の名を</t>
  </si>
  <si>
    <t>彼らは恐ろしくて囁かない。</t>
  </si>
  <si>
    <t>レアリティ: レア</t>
  </si>
  <si>
    <t>茨の魔除け</t>
  </si>
  <si>
    <t>琥珀のアミュレット</t>
  </si>
  <si>
    <t>レベル: 54</t>
  </si>
  <si>
    <t>筋力 +22 (implicit)</t>
  </si>
  <si>
    <t>知性 +8</t>
  </si>
  <si>
    <t>知性が6%増加する</t>
  </si>
  <si>
    <t>3から6の物理ダメージをアタックに追加する</t>
  </si>
  <si>
    <t>雷耐性 +13%</t>
  </si>
  <si>
    <t>クルセイダーアイテム</t>
  </si>
  <si>
    <t>アイテムクラス: 靴</t>
  </si>
  <si>
    <t>獣の拍車</t>
  </si>
  <si>
    <t>カーナルブーツ</t>
  </si>
  <si>
    <t>回避力: 129 (augmented)</t>
  </si>
  <si>
    <t>エナジーシールド: 31 (augmented)</t>
  </si>
  <si>
    <t>レベル: 55</t>
  </si>
  <si>
    <t>器用さ: 35 (augmented)</t>
  </si>
  <si>
    <t>知性: 35 (augmented)</t>
  </si>
  <si>
    <t xml:space="preserve">ソケット: G-B-B-G </t>
  </si>
  <si>
    <t>ソケットされたジェムはレベル20堅牢化によりサポートされる</t>
  </si>
  <si>
    <t>要求能力値が32%減少する</t>
  </si>
  <si>
    <t>回避力 +22</t>
  </si>
  <si>
    <t>最大エナジーシールド +9</t>
  </si>
  <si>
    <t>毎秒59.2のライフを自動回復する</t>
  </si>
  <si>
    <t>見つかるアイテムのレアリティが14%増加する</t>
  </si>
  <si>
    <t>エルダーアイテム</t>
  </si>
  <si>
    <t>痛みの猛進</t>
  </si>
  <si>
    <t>粒起皮のブーツ</t>
  </si>
  <si>
    <t>回避力: 195</t>
  </si>
  <si>
    <t>器用さ: 97</t>
  </si>
  <si>
    <t xml:space="preserve">ソケット: B G </t>
  </si>
  <si>
    <t>アイテムレベル: 79</t>
  </si>
  <si>
    <t>器用さ +19</t>
  </si>
  <si>
    <t>最大ライフ +85</t>
  </si>
  <si>
    <t>移動スピードが25%増加する</t>
  </si>
  <si>
    <t>付与した出血がダメージを与える速度が9%速くなる</t>
  </si>
  <si>
    <t>ハンターアイテム</t>
  </si>
  <si>
    <t>悲哀のループ</t>
  </si>
  <si>
    <t>トパーズの指輪</t>
  </si>
  <si>
    <t>レベル: 67</t>
  </si>
  <si>
    <t>雷耐性 +21% (implicit)</t>
  </si>
  <si>
    <t>マナ自動回復レートが32%増加する</t>
  </si>
  <si>
    <t>見つかるアイテムのレアリティが27%増加する</t>
  </si>
  <si>
    <t>火耐性 +44%</t>
  </si>
  <si>
    <t>ヒット時に敵をフロストバイトで呪う</t>
  </si>
  <si>
    <t>最大マナ +50 (crafted)</t>
  </si>
  <si>
    <t>レディーマーアイテム</t>
  </si>
  <si>
    <t>アルコンカイトシールド</t>
  </si>
  <si>
    <t>ブロック率: 22%</t>
  </si>
  <si>
    <t>アーマー: 156</t>
  </si>
  <si>
    <t>エナジーシールド: 32</t>
  </si>
  <si>
    <t>筋力: 85</t>
  </si>
  <si>
    <t>知性: 85</t>
  </si>
  <si>
    <t xml:space="preserve">ソケット: R R R </t>
  </si>
  <si>
    <t>全ての元素耐性 +12% (implicit)</t>
  </si>
  <si>
    <t>シェイパーアイテム</t>
  </si>
  <si>
    <t>棘のある 征伐の アストラルプレート</t>
  </si>
  <si>
    <t>品質: +30% (augmented)</t>
  </si>
  <si>
    <t>アーマー: 924 (augmented)</t>
  </si>
  <si>
    <t>筋力: 180 (unmet)</t>
  </si>
  <si>
    <t xml:space="preserve">ソケット: W-W-W-W-W-W </t>
  </si>
  <si>
    <t>アイテムレベル: 100</t>
  </si>
  <si>
    <t>アイテムはベンダーにより高い値段で売れる (implicit)</t>
  </si>
  <si>
    <t>全ての元素耐性 +17%</t>
  </si>
  <si>
    <t>6の物理ダメージを近接アタックしてきた敵に反射する</t>
  </si>
  <si>
    <t>ウォーロードアイテム</t>
  </si>
  <si>
    <t>アイテムクラス: アビスジュエル</t>
  </si>
  <si>
    <t>虚ろな球体</t>
  </si>
  <si>
    <t>凶暴な眼のジュエル</t>
  </si>
  <si>
    <t>アビス</t>
  </si>
  <si>
    <t>移動中は回避力が30%増加する (fractured)</t>
  </si>
  <si>
    <t>11から20の混沌ダメージをアタックに追加する</t>
  </si>
  <si>
    <t>最大マナ +35</t>
  </si>
  <si>
    <t>アイテムのアビスソケットまたはパッシブツリーで割り当てられたジュエルソケットにはめる。右クリックしてソケットから取り外すことができる。</t>
  </si>
  <si>
    <t>フラクチャーアイテム</t>
  </si>
  <si>
    <t>アイテムクラス: ベルト</t>
  </si>
  <si>
    <t>ダイヤディアンの黎明</t>
  </si>
  <si>
    <t>ヘビーベルト</t>
  </si>
  <si>
    <t>レベル: 52</t>
  </si>
  <si>
    <t>筋力 +25 (implicit)</t>
  </si>
  <si>
    <t>最大ライフ +73</t>
  </si>
  <si>
    <t>火耐性 +29%</t>
  </si>
  <si>
    <t>冷気耐性 +32%</t>
  </si>
  <si>
    <t>冷却状態の敵に対するアタックダメージの1%をライフとしてリーチする</t>
  </si>
  <si>
    <t>プレイヤーがアタックにより付与した発火がダメージを与える速度が35%速くなる</t>
  </si>
  <si>
    <t>物理ダメージを与えない</t>
  </si>
  <si>
    <t>彼女の冷たい決意と</t>
  </si>
  <si>
    <t>燃える犠牲で</t>
  </si>
  <si>
    <t>永遠なる双子は立ち上がった。</t>
  </si>
  <si>
    <t>ワンダーラスト</t>
  </si>
  <si>
    <t>羊毛の靴</t>
  </si>
  <si>
    <t>エナジーシールド: 22 (augmented)</t>
  </si>
  <si>
    <t xml:space="preserve">ソケット: G-B-B B </t>
  </si>
  <si>
    <t>器用さ +5</t>
  </si>
  <si>
    <t>最大エナジーシールド +17</t>
  </si>
  <si>
    <t>マナ自動回復レートが37%増加する</t>
  </si>
  <si>
    <t>移動スピードが20%増加する</t>
  </si>
  <si>
    <t>凍結を付与されることがない</t>
  </si>
  <si>
    <t>世界全てが我が故郷だ。</t>
  </si>
  <si>
    <t>アイテムクラス: 手袋</t>
  </si>
  <si>
    <t>ヘモフィリア</t>
  </si>
  <si>
    <t>蛇鱗のガントレット</t>
  </si>
  <si>
    <t>アーマー: 78</t>
  </si>
  <si>
    <t>回避力: 78</t>
  </si>
  <si>
    <t>レベル: 43</t>
  </si>
  <si>
    <t>筋力: 34</t>
  </si>
  <si>
    <t>器用さ: 34</t>
  </si>
  <si>
    <t xml:space="preserve">ソケット: R-R-G </t>
  </si>
  <si>
    <t>筋力 +25</t>
  </si>
  <si>
    <t>継続ダメージが25%増加する</t>
  </si>
  <si>
    <t>アタックは25%の確率で出血を付与する</t>
  </si>
  <si>
    <t>出血状態の敵に対するアタックダメージが34%増加する</t>
  </si>
  <si>
    <t>プレイヤーが倒した出血状態の敵は爆発し、その最大ライフの5%を物理ダメージとして与える</t>
  </si>
  <si>
    <t>出血持続時間が25%減少する</t>
  </si>
  <si>
    <t>「芸術の達人は絵を書く時には時間をかける。</t>
  </si>
  <si>
    <t>残念ながら、私のような者にはそのような贅沢が許されないことが多い」</t>
  </si>
  <si>
    <t>ー沈黙の一党のコラリート</t>
  </si>
  <si>
    <t>アイテムクラス: 弓</t>
  </si>
  <si>
    <t>嵐の雲</t>
  </si>
  <si>
    <t>ロングボウ</t>
  </si>
  <si>
    <t>弓</t>
  </si>
  <si>
    <t>元素ダメージ: 1-85 (augmented)</t>
  </si>
  <si>
    <t>クリティカル率: 6.00%</t>
  </si>
  <si>
    <t>秒間アタック回数: 1.93 (augmented)</t>
  </si>
  <si>
    <t>レベル: 9</t>
  </si>
  <si>
    <t>器用さ: 38</t>
  </si>
  <si>
    <t xml:space="preserve">ソケット: G </t>
  </si>
  <si>
    <t>アイテムレベル: 73</t>
  </si>
  <si>
    <t>物理ダメージを持たない</t>
  </si>
  <si>
    <t>1から85の雷ダメージを追加する</t>
  </si>
  <si>
    <t>アタックスピードが48%増加する</t>
  </si>
  <si>
    <t>何世紀もの鋼鉄製の鎧造りの発展は</t>
  </si>
  <si>
    <t>永遠なる帝国の軍隊を</t>
  </si>
  <si>
    <t>非常に効果的な避雷針と化した。</t>
  </si>
  <si>
    <t>アイテムクラス: 鉤爪</t>
  </si>
  <si>
    <t>ブラッドシーカー</t>
  </si>
  <si>
    <t>ヘリオンの前足</t>
  </si>
  <si>
    <t>鉤爪</t>
  </si>
  <si>
    <t>物理ダメージ: 99-171 (augmented)</t>
  </si>
  <si>
    <t>武器攻撃距離：1.1 メートル</t>
  </si>
  <si>
    <t>器用さ: 131</t>
  </si>
  <si>
    <t>知性: 95</t>
  </si>
  <si>
    <t xml:space="preserve">ソケット: G-B </t>
  </si>
  <si>
    <t>物理アタックダメージの1.6%をライフとしてリーチする (implicit)</t>
  </si>
  <si>
    <t>物理ダメージが155%増加する</t>
  </si>
  <si>
    <t>10から12の物理ダメージを追加する</t>
  </si>
  <si>
    <t>アタックスピードが5%増加する</t>
  </si>
  <si>
    <t>物理アタックダメージの1.2%をライフとしてリーチする</t>
  </si>
  <si>
    <t>移動スピードが5%増加する</t>
  </si>
  <si>
    <t>この武器のヒットによるライフリーチは即時となる</t>
  </si>
  <si>
    <t>「肉体の生命はいつだって血の中にあるのだから」</t>
  </si>
  <si>
    <t>―ヴァールの神官アタルイ</t>
  </si>
  <si>
    <t>アイテムクラス: 短剣</t>
  </si>
  <si>
    <t>ゴアドリル</t>
  </si>
  <si>
    <t>皮切りナイフ</t>
  </si>
  <si>
    <t>短剣</t>
  </si>
  <si>
    <t>物理ダメージ: 8-31 (augmented)</t>
  </si>
  <si>
    <t>クリティカル率: 7.80% (augmented)</t>
  </si>
  <si>
    <t>秒間アタック回数: 1.45</t>
  </si>
  <si>
    <t>レベル: 5</t>
  </si>
  <si>
    <t>器用さ: 16</t>
  </si>
  <si>
    <t xml:space="preserve">ソケット: G-G </t>
  </si>
  <si>
    <t>器用さ +14</t>
  </si>
  <si>
    <t>物理ダメージが57%増加する</t>
  </si>
  <si>
    <t>1から3の物理ダメージを追加する</t>
  </si>
  <si>
    <t>クリティカル率が30%増加する</t>
  </si>
  <si>
    <t>出血状態の敵に対するアタックダメージが40%増加する</t>
  </si>
  <si>
    <t>クリティカルストライク時に50%の確率で出血を付与する</t>
  </si>
  <si>
    <t>肩を叩き</t>
  </si>
  <si>
    <t>頬を一突き</t>
  </si>
  <si>
    <t>あなたのワインを一口</t>
  </si>
  <si>
    <t>とても赤くてなめらか</t>
  </si>
  <si>
    <t>アイテムクラス: ジュエル</t>
  </si>
  <si>
    <t>筋力</t>
  </si>
  <si>
    <t>クリムゾンジュエル</t>
  </si>
  <si>
    <t>筋力が5%増加する</t>
  </si>
  <si>
    <t>器用さが6%増加する</t>
  </si>
  <si>
    <t>知性が15%減少する</t>
  </si>
  <si>
    <t>「時間をかけて計画を立てていいぞ。</t>
  </si>
  <si>
    <t>後でどの計画がお前のあばらから</t>
  </si>
  <si>
    <t>俺の斧を抜けるのか教えてくれ」</t>
  </si>
  <si>
    <t>―解体師バークル</t>
  </si>
  <si>
    <t>パッシブツリーで割り当てられたジュエルソケットにはめる。右クリックしてソケットから取り外すことができる。</t>
  </si>
  <si>
    <t>アイテムクラス: 矢筒</t>
  </si>
  <si>
    <t>リアガード</t>
  </si>
  <si>
    <t>太矢じりの矢筒</t>
  </si>
  <si>
    <t>レベル: 28</t>
  </si>
  <si>
    <t>アイテムレベル: 82</t>
  </si>
  <si>
    <t>弓によるアタックに6から12の追加物理ダメージ (implicit)</t>
  </si>
  <si>
    <t>アタックブロック率が24%</t>
  </si>
  <si>
    <t>スペルブロック率が15%</t>
  </si>
  <si>
    <t>アーマー +421</t>
  </si>
  <si>
    <t>投射物スピードが20%増加する</t>
  </si>
  <si>
    <t>スタンおよびブロック復帰が50%増加する</t>
  </si>
  <si>
    <t>投射物ダメージが19%増加する</t>
  </si>
  <si>
    <t>「頭の後ろに目がついている者は稀だ」</t>
  </si>
  <si>
    <t>―ヴァールの射手キラヴィ</t>
  </si>
  <si>
    <t>アイテムクラス: セプター</t>
  </si>
  <si>
    <t>ビタードリーム</t>
  </si>
  <si>
    <t>闇のセプター</t>
  </si>
  <si>
    <t>セプター</t>
  </si>
  <si>
    <t>物理ダメージ: 29-44</t>
  </si>
  <si>
    <t>クリティカル率: 6.20%</t>
  </si>
  <si>
    <t>秒間アタック回数: 1.25</t>
  </si>
  <si>
    <t>レベル: 32</t>
  </si>
  <si>
    <t>筋力: 52</t>
  </si>
  <si>
    <t>知性: 62</t>
  </si>
  <si>
    <t xml:space="preserve">ソケット: B-R </t>
  </si>
  <si>
    <t>元素ダメージが22%増加する (implicit)</t>
  </si>
  <si>
    <t>ソケットされたジェムはレベル1低体温化によりサポートされる</t>
  </si>
  <si>
    <t>ソケットされたジェムはレベル1氷傷によりサポートされる</t>
  </si>
  <si>
    <t>ソケットされたジェムはレベル1冷気耐性突破によりサポートされる</t>
  </si>
  <si>
    <t>ソケットされたジェムはレベル1マナリーチによりサポートされる</t>
  </si>
  <si>
    <t>ソケットされたジェムはレベル10冷気ダメージ追加によりサポートされる</t>
  </si>
  <si>
    <t>ソケットされたジェムはレベル1インスピレーションによりサポートされる</t>
  </si>
  <si>
    <t>寒さに抗うな</t>
  </si>
  <si>
    <t>希望を捨てよ</t>
  </si>
  <si>
    <t>じっとせよ。</t>
  </si>
  <si>
    <t>アイテムクラス: スタッフ</t>
  </si>
  <si>
    <t>フェンコイル</t>
  </si>
  <si>
    <t>ねじれた枝</t>
  </si>
  <si>
    <t>スタッフ</t>
  </si>
  <si>
    <t>物理ダメージ: 9-19</t>
  </si>
  <si>
    <t>秒間アタック回数: 1.30</t>
  </si>
  <si>
    <t>武器攻撃距離：1.3 メートル</t>
  </si>
  <si>
    <t>スタッフ装備中のアタックブロック率 +18% (implicit)</t>
  </si>
  <si>
    <t>ソケットされたジェムはレベル8トラップ化によりサポートされる</t>
  </si>
  <si>
    <t>グローバルダメージが45%増加する</t>
  </si>
  <si>
    <t>最大ライフが18%増加する</t>
  </si>
  <si>
    <t>最大マナが11%増加する</t>
  </si>
  <si>
    <t>「其方が湿原の根であれば、恐怖する理由は何もない」</t>
  </si>
  <si>
    <t>―エゾマイトの古い諺</t>
  </si>
  <si>
    <t>アイテムクラス: ワンド</t>
  </si>
  <si>
    <t>ライフスプリッグ</t>
  </si>
  <si>
    <t>流木のワンド</t>
  </si>
  <si>
    <t>ワンド</t>
  </si>
  <si>
    <t>物理ダメージ: 5-9</t>
  </si>
  <si>
    <t>クリティカル率: 7.00%</t>
  </si>
  <si>
    <t>秒間アタック回数: 1.40</t>
  </si>
  <si>
    <t>スペルダメージが12%増加する (implicit)</t>
  </si>
  <si>
    <t>ソケットされたスペルジェムのレベル +1</t>
  </si>
  <si>
    <t>スペルダメージが26%増加する</t>
  </si>
  <si>
    <t>キャストスピードが6%増加する</t>
  </si>
  <si>
    <t>最大ライフ +16</t>
  </si>
  <si>
    <t>最大マナ +19</t>
  </si>
  <si>
    <t>プレイヤーがスペルをキャストした時に7のライフを1秒間かけて自動回復する</t>
  </si>
  <si>
    <t>最も小さな種子から</t>
  </si>
  <si>
    <t>最も大きな大樹まで、</t>
  </si>
  <si>
    <t>レイクラストで命は生き抜いている。</t>
  </si>
  <si>
    <t>アイテムクラス: ウォースタッフ</t>
  </si>
  <si>
    <t>レルムシェイパー</t>
  </si>
  <si>
    <t>アイアンスタッフ</t>
  </si>
  <si>
    <t>ウォースタッフ</t>
  </si>
  <si>
    <t>物理ダメージ: 14-42</t>
  </si>
  <si>
    <t>元素ダメージ: 13-25 (augmented), 13-24 (augmented)</t>
  </si>
  <si>
    <t>クリティカル率: 6.40%</t>
  </si>
  <si>
    <t>レベル: 13</t>
  </si>
  <si>
    <t>筋力: 27</t>
  </si>
  <si>
    <t>知性: 27</t>
  </si>
  <si>
    <t>ソケットされた火ジェムのレベル +1</t>
  </si>
  <si>
    <t>ソケットされた冷気ジェムのレベル +1</t>
  </si>
  <si>
    <t>ソケットされたジェムはレベル5冷気から火変換によりサポートされる</t>
  </si>
  <si>
    <t>13から25の火ダメージを追加する</t>
  </si>
  <si>
    <t>13から24の冷気ダメージを追加する</t>
  </si>
  <si>
    <t>元素ダメージが48%増加する</t>
  </si>
  <si>
    <t>「神の創造物は必ず炎と氷で始まり終わる。</t>
  </si>
  <si>
    <t>どちらも見なかった時我らは幸運だ」</t>
  </si>
  <si>
    <t>―大司教ジェフリ</t>
  </si>
  <si>
    <t>アイテムクラス: 片手剣</t>
  </si>
  <si>
    <t>イチモンジ</t>
  </si>
  <si>
    <t>コルセアソード</t>
  </si>
  <si>
    <t>片手剣</t>
  </si>
  <si>
    <t>物理ダメージ: 55-183 (augmented)</t>
  </si>
  <si>
    <t>クリティカル率: 5.00%</t>
  </si>
  <si>
    <t>秒間アタック回数: 1.91 (augmented)</t>
  </si>
  <si>
    <t>レベル: 58</t>
  </si>
  <si>
    <t>筋力: 81</t>
  </si>
  <si>
    <t>器用さ: 117</t>
  </si>
  <si>
    <t xml:space="preserve">ソケット: R B G </t>
  </si>
  <si>
    <t>アイテムレベル: 78</t>
  </si>
  <si>
    <t>グローバル命中力が40%増加する (implicit)</t>
  </si>
  <si>
    <t>物理ダメージが85%増加する</t>
  </si>
  <si>
    <t>10から19の物理ダメージを追加する</t>
  </si>
  <si>
    <t>アタックスピードが23%増加する</t>
  </si>
  <si>
    <t>プレイヤーに対するバフの効果が10%増加する</t>
  </si>
  <si>
    <t>スキルのマナリザーブ効率が10%増加する</t>
  </si>
  <si>
    <t>味方のオーラのバフはプレイヤーに影響しない</t>
  </si>
  <si>
    <t>プレイヤーのオーラのバフは味方に影響しない</t>
  </si>
  <si>
    <t>他者を律する前に己を律せよ。</t>
  </si>
  <si>
    <t>アイテムクラス: 刺突剣</t>
  </si>
  <si>
    <t>アルムヴォラックス</t>
  </si>
  <si>
    <t>バスケットヒルトレイピア</t>
  </si>
  <si>
    <t>物理ダメージ: 27-62 (augmented)</t>
  </si>
  <si>
    <t>クリティカル率: 5.50%</t>
  </si>
  <si>
    <t>秒間アタック回数: 1.55</t>
  </si>
  <si>
    <t>武器攻撃距離：1.4 メートル</t>
  </si>
  <si>
    <t>レベル: 17</t>
  </si>
  <si>
    <t>器用さ: 62</t>
  </si>
  <si>
    <t xml:space="preserve">ソケット: G R-G </t>
  </si>
  <si>
    <t>グローバルクリティカルダメージ倍率 +25% (implicit)</t>
  </si>
  <si>
    <t>物理ダメージが149%増加する</t>
  </si>
  <si>
    <t>見つかるアイテムのレアリティが20%減少する</t>
  </si>
  <si>
    <t>全ての元素耐性 +57%</t>
  </si>
  <si>
    <t>ヒットを与えた敵1体ごとに3のライフを付与する</t>
  </si>
  <si>
    <t>「幾人もの珍品の収集家がこの剣に宿る知性ある霊は</t>
  </si>
  <si>
    <t>主人の注目を独り占めしたがるということを</t>
  </si>
  <si>
    <t>身を持って知ることとなった」</t>
  </si>
  <si>
    <t>アイテムクラス: 両手剣</t>
  </si>
  <si>
    <t>ターミナス・エスト</t>
  </si>
  <si>
    <t>タイガーソード</t>
  </si>
  <si>
    <t>両手剣</t>
  </si>
  <si>
    <t>物理ダメージ: 192-316 (augmented)</t>
  </si>
  <si>
    <t>クリティカル率: 7.90% (augmented)</t>
  </si>
  <si>
    <t>レベル: 51</t>
  </si>
  <si>
    <t>筋力: 80</t>
  </si>
  <si>
    <t xml:space="preserve">ソケット: G R </t>
  </si>
  <si>
    <t>命中力 +360 (implicit)</t>
  </si>
  <si>
    <t>物理ダメージが255%増加する</t>
  </si>
  <si>
    <t>アタックスピードが20%増加する</t>
  </si>
  <si>
    <t>クリティカル率が58%増加する</t>
  </si>
  <si>
    <t>倒した敵1体ごとに10のマナを獲得する</t>
  </si>
  <si>
    <t>クリティカルストライク時にフレンジーチャージを1個獲得する</t>
  </si>
  <si>
    <t>彼の最後の感覚は処刑人の刃だった。</t>
  </si>
  <si>
    <t>それは冷たくなく、暖かく安心するもので、</t>
  </si>
  <si>
    <t>より良い未来の約束を呟いた。</t>
  </si>
  <si>
    <t>彼は微笑み、死の抱擁を返した。</t>
  </si>
  <si>
    <t>アイテムクラス: 片手斧</t>
  </si>
  <si>
    <t>ダイヤダス</t>
  </si>
  <si>
    <t>地獄の斧</t>
  </si>
  <si>
    <t>片手斧</t>
  </si>
  <si>
    <t>物理ダメージ: 51-85</t>
  </si>
  <si>
    <t>元素ダメージ: 276-323 (augmented), 282-315 (augmented)</t>
  </si>
  <si>
    <t>秒間アタック回数: 1.45 (augmented)</t>
  </si>
  <si>
    <t>レベル: 69</t>
  </si>
  <si>
    <t>筋力: 158</t>
  </si>
  <si>
    <t>器用さ: 76</t>
  </si>
  <si>
    <t xml:space="preserve">ソケット: R-G </t>
  </si>
  <si>
    <t>276から323の火ダメージをメインハンドに追加する</t>
  </si>
  <si>
    <t>282から315の冷気ダメージをオフハンドに追加する</t>
  </si>
  <si>
    <t>アタックスピードが11%増加する</t>
  </si>
  <si>
    <t>メインハンドに装備中は25%の確率で敵を発火させる</t>
  </si>
  <si>
    <t>冷却状態の敵に付与した発火のダメージが100%増加する</t>
  </si>
  <si>
    <t>オフハンドに装備時にこの武器によるヒットは敵を1秒間冷却する</t>
  </si>
  <si>
    <t>愛より生まれ、血に鍛えられ</t>
  </si>
  <si>
    <t>彼は暗黒の夜の松明のように燃え</t>
  </si>
  <si>
    <t>彼女は冬の陽光に照らされた氷のように輝いた</t>
  </si>
  <si>
    <t>誇り高く、苛烈に</t>
  </si>
  <si>
    <t>母の傍らに、永遠に。</t>
  </si>
  <si>
    <t>アイテムクラス: 両手斧</t>
  </si>
  <si>
    <t>リムスプリット</t>
  </si>
  <si>
    <t>ウッドスプリッター</t>
  </si>
  <si>
    <t>両手斧</t>
  </si>
  <si>
    <t>物理ダメージ: 45-91 (augmented)</t>
  </si>
  <si>
    <t>筋力: 36</t>
  </si>
  <si>
    <t>器用さ: 17</t>
  </si>
  <si>
    <t>ソケットされた筋力ジェムのレベル +1</t>
  </si>
  <si>
    <t>筋力 +27</t>
  </si>
  <si>
    <t>物理ダメージが86%増加する</t>
  </si>
  <si>
    <t>5から10の物理ダメージを追加する</t>
  </si>
  <si>
    <t>カリングストライク</t>
  </si>
  <si>
    <t>それは歌う、空中を閃いて</t>
  </si>
  <si>
    <t>切られ、断たれ、失われたものについて。</t>
  </si>
  <si>
    <t>アイテムクラス: 片手メイス</t>
  </si>
  <si>
    <t>フロストブレス</t>
  </si>
  <si>
    <t>装飾メイス</t>
  </si>
  <si>
    <t>片手メイス</t>
  </si>
  <si>
    <t>物理ダメージ: 83-105 (augmented)</t>
  </si>
  <si>
    <t>元素ダメージ: 31-40 (augmented)</t>
  </si>
  <si>
    <t>秒間アタック回数: 1.36 (augmented)</t>
  </si>
  <si>
    <t>筋力: 161</t>
  </si>
  <si>
    <t>敵スタン閾値が15%減少する (implicit)</t>
  </si>
  <si>
    <t>30から38の物理ダメージを追加する</t>
  </si>
  <si>
    <t>31から40の冷気ダメージを追加する</t>
  </si>
  <si>
    <t>アタックスピードが13%増加する</t>
  </si>
  <si>
    <t>火耐性 +50%</t>
  </si>
  <si>
    <t>敵に対する冷却の持続時間が39%増加する</t>
  </si>
  <si>
    <t>この武器によるアタックは冷却状態の敵に対してダブルダメージを与える</t>
  </si>
  <si>
    <t>慈悲深い殺人鬼がサーンの通りを駆け抜け</t>
  </si>
  <si>
    <t>弱き者と無価値な者の息を盗んでいった。</t>
  </si>
  <si>
    <t>アイテムクラス: 両手メイス</t>
  </si>
  <si>
    <t>ヴォイドホーム</t>
  </si>
  <si>
    <t>脅威の大鎚</t>
  </si>
  <si>
    <t>両手メイス</t>
  </si>
  <si>
    <t>物理ダメージ: 193-260 (augmented)</t>
  </si>
  <si>
    <t>秒間アタック回数: 1.88 (augmented)</t>
  </si>
  <si>
    <t>筋力: 173</t>
  </si>
  <si>
    <t xml:space="preserve">ソケット: R R-R </t>
  </si>
  <si>
    <t>敵に対するスタンの持続時間が30%増加する (implicit)</t>
  </si>
  <si>
    <t>物理ダメージが150%増加する</t>
  </si>
  <si>
    <t>アタックスピードが50%増加する</t>
  </si>
  <si>
    <t>見つかるアイテムのレアリティが50%減少する</t>
  </si>
  <si>
    <t>獲得経験値が35%減少する</t>
  </si>
  <si>
    <t>物理アタックダメージの0.4%をマナとしてリーチする</t>
  </si>
  <si>
    <t>呪われしはそれがいた星。</t>
  </si>
  <si>
    <t>アイテムクラス: ハイストブローチ</t>
  </si>
  <si>
    <t>恐怖の喉当て</t>
  </si>
  <si>
    <t>銀のブローチ</t>
  </si>
  <si>
    <t>ハイストメンバーがこのアイテムを装備可能です。</t>
  </si>
  <si>
    <t>レベル2のいずれかのジョブ</t>
  </si>
  <si>
    <t>ハイストでドロップするアイテムのレアリティが14%増加する (implicit)</t>
  </si>
  <si>
    <t>ダメージが38%増加する</t>
  </si>
  <si>
    <t>ハイストの宝箱は7%の確率で含まれるデリリウムオーブとデリリウムの破片を複製する</t>
  </si>
  <si>
    <t>雇用コストが7%減少する</t>
  </si>
  <si>
    <t>ハイストでドロップするアイテムのレアリティが23%増加する</t>
  </si>
  <si>
    <t>ハイストメンバーだけが装備することができる。</t>
  </si>
  <si>
    <t>アイテムクラス: ハイストクローク</t>
  </si>
  <si>
    <t>死体の聖骸布</t>
  </si>
  <si>
    <t>ボロボロのマント</t>
  </si>
  <si>
    <t>レベル3のいずれかのジョブ</t>
  </si>
  <si>
    <t>アラートレベルの増え方が3%減少する (implicit)</t>
  </si>
  <si>
    <t>エリアがロックダウン状態でない時はダメージが23%増加する</t>
  </si>
  <si>
    <t>エリアがロックダウン状態でない時は全てのプレイヤーのダメージが23%増加する</t>
  </si>
  <si>
    <t>宝箱を開けることによるアラートレベルの増え方が3%減少する</t>
  </si>
  <si>
    <t>アイテムクラス: ハイストギア</t>
  </si>
  <si>
    <t>不死鳥のギア</t>
  </si>
  <si>
    <t>粗雑な研ぎ石</t>
  </si>
  <si>
    <t>アイテムレベル: 71</t>
  </si>
  <si>
    <t>近接ダメージが14%増加する (implicit)</t>
  </si>
  <si>
    <t>12から20の追加冷気ダメージ</t>
  </si>
  <si>
    <t>全てのプレイヤーとそのミニオンは12から20の追加冷気ダメージを持つ</t>
  </si>
  <si>
    <t>雇用コストが6%減少する</t>
  </si>
  <si>
    <t>レベル5のプライドスキルを付与する</t>
  </si>
  <si>
    <t>アイテムクラス: ハイストターゲット</t>
  </si>
  <si>
    <t>牙を持つヒト科の頭蓋骨</t>
  </si>
  <si>
    <t>アイテムレベル: 27</t>
  </si>
  <si>
    <t>「もしその頭蓋骨が本物で、作り物でないとしたら、我が種族が、他のものの信じるような忌まわしきものではないことを示せるかもしれない。「人間」という言葉がもっと広い意味を持つようになるのかもしれない。」</t>
  </si>
  <si>
    <t>ローグハーバーの故買人、ファースタスと交換することができます</t>
  </si>
  <si>
    <t>アイテムクラス: ハイストツール</t>
  </si>
  <si>
    <t>苦悩する資材</t>
  </si>
  <si>
    <t>基礎的なキーリング</t>
  </si>
  <si>
    <t>装備可能NPC:</t>
  </si>
  <si>
    <t>解体屋、ヴィンデーリ</t>
  </si>
  <si>
    <t>こそ泥、トゥリナ</t>
  </si>
  <si>
    <t>エンジニア、アイラ</t>
  </si>
  <si>
    <t>レベル2の罠解除</t>
  </si>
  <si>
    <t>罠解除のスピードが4%増加する (implicit)</t>
  </si>
  <si>
    <t>リングの取り分が9%減少する</t>
  </si>
  <si>
    <t>ロックダウンタイマー +2秒</t>
  </si>
  <si>
    <t>ジョブの獲得経験値が3%増加する</t>
  </si>
  <si>
    <t>アイテムクラス: トリンケット</t>
  </si>
  <si>
    <t>黙示録の数珠</t>
  </si>
  <si>
    <t>盗賊のトリンケット</t>
  </si>
  <si>
    <t>レベル: 40</t>
  </si>
  <si>
    <t>ハイストで報酬のチェストを開けた時に3%の確率で追加のブリーチアイテムを入手する</t>
  </si>
  <si>
    <t>ハイスト中は15%の確率で改変のオーブに代わり錬金術のオーブがドロップする</t>
  </si>
  <si>
    <t>ハイスト中は20%の確率で色彩のオーブに代わり結合のオーブがドロップする</t>
  </si>
  <si>
    <t>これを装備するには密輸人の巣窟か無法地帯の計画書で彫刻『ザ・キャッチ』を発見する必要があります</t>
  </si>
  <si>
    <t>アイテムクラス: 釣り竿</t>
  </si>
  <si>
    <t>リーフベーン</t>
  </si>
  <si>
    <t>釣り竿</t>
  </si>
  <si>
    <t>物理ダメージ: 8-15</t>
  </si>
  <si>
    <t>秒間アタック回数: 1.20</t>
  </si>
  <si>
    <t>キャストスピードが34%増加する</t>
  </si>
  <si>
    <t>魔術のルアー</t>
  </si>
  <si>
    <t>捕まえる魚の数量が15%増加する</t>
  </si>
  <si>
    <t>ユニークの魚がいるエリアにいる時に光る</t>
  </si>
  <si>
    <t>彼は海の奥へと竿を投げ</t>
  </si>
  <si>
    <t>彼女の心臓を引きずり出した。</t>
  </si>
  <si>
    <t>アイテムクラス: サンクタム調査書</t>
  </si>
  <si>
    <t>禁断の学術書</t>
  </si>
  <si>
    <t>エリアレベル: 81</t>
  </si>
  <si>
    <t>禁断のサンクタムにあるレリックの祭壇にこのアイテムを持っていき禁断のサンクタムに入る。</t>
  </si>
  <si>
    <t>아이템 종류: 성역 연구</t>
  </si>
  <si>
    <t>아이템 희귀도: 화폐</t>
  </si>
  <si>
    <t>금지된 책</t>
  </si>
  <si>
    <t>지역 레벨: 81</t>
  </si>
  <si>
    <t>아이템 레벨: 81</t>
  </si>
  <si>
    <t>문두스 노스테르 케키디트. 다이모네스 우비퀘 순트. 리브룸</t>
  </si>
  <si>
    <t>훙크 인 사크라리움 코니키오, 우트 포르테 알리우스 비암 인베니아트...</t>
  </si>
  <si>
    <t>이 아이템을 금지된 성역에 있는 유물 제단에 가져가 성역에 입장하십시오.</t>
  </si>
  <si>
    <t>아이템 종류: 스킬 젬</t>
  </si>
  <si>
    <t>아이템 희귀도: 젬</t>
  </si>
  <si>
    <t>기묘한 연발 사격</t>
  </si>
  <si>
    <t>공격, 투사체, 활</t>
  </si>
  <si>
    <t>레벨: 20 (최대)</t>
  </si>
  <si>
    <t>소모: 마나 11</t>
  </si>
  <si>
    <t>공격 피해: 기본 수치의 54.6%</t>
  </si>
  <si>
    <t>추가 피해 효율: 55%</t>
  </si>
  <si>
    <t>퀄리티: +11% (augmented)</t>
  </si>
  <si>
    <t>대체 퀄리티</t>
  </si>
  <si>
    <t>요구사항:</t>
  </si>
  <si>
    <t>레벨: 70</t>
  </si>
  <si>
    <t>민첩: 155</t>
  </si>
  <si>
    <t>잠깐의 준비 시간 후 원거리 무기로 빠르게 연속 사격합니다. 이 공격은 무작위로 좁은 범위에 확산됩니다. 활과 마법봉으로만 사용할 수 있습니다. 이 스킬은 발동되지 않습니다.</t>
  </si>
  <si>
    <t>명중 시 11%의 확률로 적을 밀어냄</t>
  </si>
  <si>
    <t>투사체 4개 추가 발사</t>
  </si>
  <si>
    <t>연속해서 투사체 발사</t>
  </si>
  <si>
    <t>일치하는 색의 홈에 장착하여 스킬을 획득하십시오. 제거하려면 홈을 우클릭하십시오.</t>
  </si>
  <si>
    <t>타락</t>
  </si>
  <si>
    <t>아이템 종류: 보조 젬</t>
  </si>
  <si>
    <t>상이한 신성한 축복 보조</t>
  </si>
  <si>
    <t>보조, 오라, 지속시간, 축복</t>
  </si>
  <si>
    <t>퀄리티: +20% (augmented)</t>
  </si>
  <si>
    <t>힘: 70</t>
  </si>
  <si>
    <t>지능: 48</t>
  </si>
  <si>
    <t>플레이어 주변에 영구적인 오라를 생성하는 오라 스킬에 적용됩니다. 오라의 점유가 소모로 바뀌며 일시적 오라로 변경됩니다. 깃발 또는 태세 스킬에는 적용되지 않습니다</t>
  </si>
  <si>
    <t>보조 대상 스킬의 마나 소모 5% 감소</t>
  </si>
  <si>
    <t>보조 대상 스킬의 오라 효과 29% 증가</t>
  </si>
  <si>
    <t>보조 대상 스킬의 마나 소모 +233</t>
  </si>
  <si>
    <t>보조 대상 스킬을 축복 스킬로 간주</t>
  </si>
  <si>
    <t>자신의 축복 스킬로 발생하는 오라는 1개만 보유 가능</t>
  </si>
  <si>
    <t>보조 대상 스킬로 발생하는 오라의 기본 지속시간 10.90초</t>
  </si>
  <si>
    <t>보조 젬입니다. 캐릭터가 아닌, 홈을 통해 연결된 젬이 보유한 스킬에 영향을 줍니다. 강화하고 싶은 스킬 젬과 연결된 빈 홈에 장착하십시오. 제거하려면 홈을 우클릭하십시오.</t>
  </si>
  <si>
    <t>몽환적인 지층 강타</t>
  </si>
  <si>
    <t>화염, 공격, 효과 범위, 강타, 근접</t>
  </si>
  <si>
    <t>레벨: 16</t>
  </si>
  <si>
    <t>소모: 마나 10</t>
  </si>
  <si>
    <t>공격 속도: 기본 수치의 80%</t>
  </si>
  <si>
    <t>공격 피해: 기본 수치의 255%</t>
  </si>
  <si>
    <t>추가 피해 효율: 255%</t>
  </si>
  <si>
    <t>레벨: 62</t>
  </si>
  <si>
    <t>힘: 138</t>
  </si>
  <si>
    <t>지면을 강타하면 전방에 불타는 균열을 만들어 범위 피해를 주고, 그 균열에서 여러 개의 작은 균열을 무작위로 만들어 냅니다. 이 스킬로 지면을 3번 강타할 때마다 인내 충전을 1 소모합니다. 철퇴나 셉터, 검, 도끼, 지팡이 착용 혹은 비무장 상태여야 합니다.</t>
  </si>
  <si>
    <t>물리 피해의 60%를 화염 피해로 전환</t>
  </si>
  <si>
    <t>화염 피해 11% 증가</t>
  </si>
  <si>
    <t>인내 충전 하나당 효과 범위 5% 증폭</t>
  </si>
  <si>
    <t>인내 충전 하나당 균열 파생 확률 +5%</t>
  </si>
  <si>
    <t>균열 파생 확률 30%</t>
  </si>
  <si>
    <t>경험치: 4,897,423/15,138,193</t>
  </si>
  <si>
    <t>아이템 종류: 중첩 가능 화폐</t>
  </si>
  <si>
    <t>카오스 오브</t>
  </si>
  <si>
    <t>중첩 개수: 1/20</t>
  </si>
  <si>
    <t>희귀 아이템을 재련해 무작위 신규 속성 부여</t>
  </si>
  <si>
    <t>해당 아이템을 우클릭한 뒤, 희귀 아이템을 좌클릭해 적용할 수 있습니다.</t>
  </si>
  <si>
    <t>아이템 종류: 탐광 중첩 및 결합형 화폐</t>
  </si>
  <si>
    <t>초기형 혼돈 공명기</t>
  </si>
  <si>
    <t>중첩 개수: 1/10</t>
  </si>
  <si>
    <t>장착된 화석 1 (unmet)개 필요</t>
  </si>
  <si>
    <t xml:space="preserve">홈: D </t>
  </si>
  <si>
    <t>이 아이템을 사용하려면 모든 홈에 화석을 장착해야 합니다.</t>
  </si>
  <si>
    <t>아이템 종류: 점술 카드</t>
  </si>
  <si>
    <t>아이템 희귀도: 점술 카드</t>
  </si>
  <si>
    <t>혼돈의 결정</t>
  </si>
  <si>
    <t>카오스 오브 x5</t>
  </si>
  <si>
    <t>인생은 만들어가는 것이 아니라 이미 만들어져 있는 것이다.</t>
  </si>
  <si>
    <t>아이템 종류: 변형 샘플</t>
  </si>
  <si>
    <t>아이템 희귀도: 고유</t>
  </si>
  <si>
    <t>저주받은 자 클레이본 대장의 뇌</t>
  </si>
  <si>
    <t>사용: 영혼 화살</t>
  </si>
  <si>
    <t>아이템 레벨: 80</t>
  </si>
  <si>
    <t>화폐 아이템을 추가로 떨어뜨림</t>
  </si>
  <si>
    <t>퀄리티 젬을 추가로 떨어뜨림</t>
  </si>
  <si>
    <t>5연결 희귀 무기를 떨어뜨림</t>
  </si>
  <si>
    <t>테인의 연구실에서 이 아이템을 다른 샘플과 조합하십시오.</t>
  </si>
  <si>
    <t>아이템 종류: 지도</t>
  </si>
  <si>
    <t>아이템 희귀도: 일반</t>
  </si>
  <si>
    <t>역병 걸린 정동석 지도</t>
  </si>
  <si>
    <t>지도 등급: 13</t>
  </si>
  <si>
    <t>지역이 번식하는 진균에 오염 (implicit)</t>
  </si>
  <si>
    <t>지도의 아이템 수량 속성 부여의 25%만큼 역병 상자에도 적용 (implicit)</t>
  </si>
  <si>
    <t>최대 3번까지 성유 부을 수 있음 (implicit)</t>
  </si>
  <si>
    <t>해당 지역의 자연적인 몬스터 제거됨 (implicit)</t>
  </si>
  <si>
    <t>전용 지도 장치에서 해당 아이템을 사용해 지도 안으로 이동할 수 있습니다. 한 번만 사용할 수 있습니다.</t>
  </si>
  <si>
    <t>역병에 유린당한 감방 지도</t>
  </si>
  <si>
    <t>지도 등급: 15</t>
  </si>
  <si>
    <t>몬스터 레벨: 85 (implicit)</t>
  </si>
  <si>
    <t>몬스터의 생명력 200% 증폭 (implicit)</t>
  </si>
  <si>
    <t>몬스터의 이동 속도 20% 증가 (implicit)</t>
  </si>
  <si>
    <t>지도의 아이템 수량 속성 부여의 50%만큼 역병 상자에도 적용 (implicit)</t>
  </si>
  <si>
    <t>최대 9번까지 성유 부을 수 있음 (implicit)</t>
  </si>
  <si>
    <t>아이템 종류: 도면</t>
  </si>
  <si>
    <t>도면: 저장소</t>
  </si>
  <si>
    <t>강탈 대상: 특이한 젬</t>
  </si>
  <si>
    <t>지역 레벨: 74</t>
  </si>
  <si>
    <t>부속 건물 드러남: 1/3</t>
  </si>
  <si>
    <t>탈출 경로 드러남: 1/6</t>
  </si>
  <si>
    <t>보물 창고 드러남: 2/15</t>
  </si>
  <si>
    <t>파괴 공작 필요(2레벨)</t>
  </si>
  <si>
    <t>덫 해제 필요(1레벨)</t>
  </si>
  <si>
    <t>민첩함 필요(1레벨)</t>
  </si>
  <si>
    <t>아이템 레벨: 74</t>
  </si>
  <si>
    <t>도둑 항구에 있는 특정 NPC들과 대화하고 정보를 사용하여 추가 부속 건물과 방을 드러내야 합니다. 대강탈을 진행하려면 아디야에게 이 도면을 건네십시오.</t>
  </si>
  <si>
    <t>아이템 종류: 계약</t>
  </si>
  <si>
    <t>아이템 희귀도: 마법</t>
  </si>
  <si>
    <t>가로막는 계약: 벙커</t>
  </si>
  <si>
    <t>고객: 마신 클라부스</t>
  </si>
  <si>
    <t>강탈 대상: 수수께끼 조립물 C5 (보통 가치)</t>
  </si>
  <si>
    <t>지역 레벨: 6</t>
  </si>
  <si>
    <t>공학 필요(1레벨)</t>
  </si>
  <si>
    <t>아이템 수량: +13% (augmented)</t>
  </si>
  <si>
    <t>아이템 희귀도: +8% (augmented)</t>
  </si>
  <si>
    <t>경보 레벨 감소: +5% (augmented)</t>
  </si>
  <si>
    <t>폐쇄까지 남은 시간: +5% (augmented)</t>
  </si>
  <si>
    <t>최대 생존 지원군: +5% (augmented)</t>
  </si>
  <si>
    <t>아이템 레벨: 6</t>
  </si>
  <si>
    <t>작업 속도 14% 감소</t>
  </si>
  <si>
    <t>이 장치를 만들기 위해 우리 가족의 전 재산을 쏟아부었어._x000D_
이제 장치를 조립하고 켜는 것만 남았어.</t>
  </si>
  <si>
    <t>강탈을 진행하려면 도둑 항구에 있는 아디야에게 이 계약을 건네십시오.</t>
  </si>
  <si>
    <t>아이템 종류: 탐험 일지</t>
  </si>
  <si>
    <t>탐험 일지</t>
  </si>
  <si>
    <t>지역 레벨: 76</t>
  </si>
  <si>
    <t>아이템 레벨: 76</t>
  </si>
  <si>
    <t>사막 폐허</t>
  </si>
  <si>
    <t>성배단</t>
  </si>
  <si>
    <t>몬스터가 떨어뜨리는 유물의 수량 10% 증가 (implicit)</t>
  </si>
  <si>
    <t>지역 내 유적 수 23% 증가 (implicit)</t>
  </si>
  <si>
    <t>카루이 전쟁 무덤</t>
  </si>
  <si>
    <t>폭발물 개수 40% 증가 (implicit)</t>
  </si>
  <si>
    <t>지역에 몬스터 표시물 수량 15% 증가 (implicit)</t>
  </si>
  <si>
    <t>이 아이템을 은신처의 대닉에게 가져가면 탐험 포탈을 열 수 있습니다.</t>
  </si>
  <si>
    <t>쾌속의 산호섬 지도</t>
  </si>
  <si>
    <t>지도 등급: 16</t>
  </si>
  <si>
    <t>아이템 수량: +19% (augmented)</t>
  </si>
  <si>
    <t>아이템 희귀도: +11% (augmented)</t>
  </si>
  <si>
    <t>몬스터 무리 규모: +7% (augmented)</t>
  </si>
  <si>
    <t>아이템 레벨: 84</t>
  </si>
  <si>
    <t>몬스터의 이동 속도 26% 증가</t>
  </si>
  <si>
    <t>몬스터의 공격 속도 43% 증가</t>
  </si>
  <si>
    <t>몬스터의 시전 속도 38% 증가</t>
  </si>
  <si>
    <t>아이템 종류: 지도 조각</t>
  </si>
  <si>
    <t>황혼의 희생</t>
  </si>
  <si>
    <t>바알인들은 결코 우리의 해가 지는 것을 두려워하지 않을지어다.</t>
  </si>
  <si>
    <t>전용 지도 장치에서 사용할 수 있습니다.</t>
  </si>
  <si>
    <t>아이템 종류: 기억</t>
  </si>
  <si>
    <t>니코의 기억 - 절벽길</t>
  </si>
  <si>
    <t>지역 내 심연 추가 등장</t>
  </si>
  <si>
    <t>심연이 이미 완전히 열려 있음</t>
  </si>
  <si>
    <t>심연에 이계 몬스터 등장</t>
  </si>
  <si>
    <t>우클릭한 후 아틀라스에서 완료한 지도를 좌클릭하면 이 기억을 적용할 수 있습니다.</t>
  </si>
  <si>
    <t>속성 부여 불가</t>
  </si>
  <si>
    <t>아이템 종류: 기타 지도 아이템</t>
  </si>
  <si>
    <t>꿈틀거리는 초대</t>
  </si>
  <si>
    <t>아이템 레벨: 83</t>
  </si>
  <si>
    <t>아이템 수량에 부여된 속성이 보스가 떨어뜨리는 보상의 수량에도 적용 (implicit)</t>
  </si>
  <si>
    <t>문명이 통째로 삼켜지나 죽지는 않는</t>
  </si>
  <si>
    <t>우주의 위장 속에서 무한한 허기가 기다린다.</t>
  </si>
  <si>
    <t>전용 지도 장치에서 사용해 끓어오르는 유미즙으로 가는 포탈을 열 수 있습니다.</t>
  </si>
  <si>
    <t>아이템 종류: 하이브리드 플라스크</t>
  </si>
  <si>
    <t>상급 성스러운 하이브리드 플라스크</t>
  </si>
  <si>
    <t>퀄리티: +18% (augmented)</t>
  </si>
  <si>
    <t>5초 동안 1699 (augmented) 생명력 회복</t>
  </si>
  <si>
    <t>5초 동안 472 (augmented) 마나 회복</t>
  </si>
  <si>
    <t>사용 시 충전 40 중 20 소모</t>
  </si>
  <si>
    <t>현재 충전량: 0</t>
  </si>
  <si>
    <t>레벨: 50</t>
  </si>
  <si>
    <t>아이템 레벨: 77</t>
  </si>
  <si>
    <t>마시려면 우클릭하십시오. 허리띠에 장착 중일 때만 충전이 유지됩니다. 몬스터를 처치하면 충전량이 차오릅니다.</t>
  </si>
  <si>
    <t>아이템 종류: 마나 플라스크</t>
  </si>
  <si>
    <t>상급 영원의 마나 플라스크</t>
  </si>
  <si>
    <t>퀄리티: +15% (augmented)</t>
  </si>
  <si>
    <t>7초 동안 2070 (augmented) 마나 회복</t>
  </si>
  <si>
    <t>사용 시 충전 42 중 8 소모</t>
  </si>
  <si>
    <t>레벨: 65</t>
  </si>
  <si>
    <t>아이템 레벨: 70</t>
  </si>
  <si>
    <t>아이템 종류: 생명력 플라스크</t>
  </si>
  <si>
    <t>상급 영원의 생명력 플라스크</t>
  </si>
  <si>
    <t>퀄리티: +8% (augmented)</t>
  </si>
  <si>
    <t>2초 동안 2246 (augmented) 생명력 회복</t>
  </si>
  <si>
    <t>사용 시 충전 45 중 15 소모</t>
  </si>
  <si>
    <t>아이템 레벨: 68</t>
  </si>
  <si>
    <t>아이템 종류: 특수 플라스크</t>
  </si>
  <si>
    <t>학자의 은 플라스크 - 천산갑</t>
  </si>
  <si>
    <t>퀄리티: +2% (augmented)</t>
  </si>
  <si>
    <t>6.10 (augmented)초 지속</t>
  </si>
  <si>
    <t>사용 시 충전 60 중 32 (augmented) 소모</t>
  </si>
  <si>
    <t>맹공</t>
  </si>
  <si>
    <t>레벨: 46</t>
  </si>
  <si>
    <t>아이템 레벨: 63</t>
  </si>
  <si>
    <t>사용 1회당 충전 소모량 18% 감소</t>
  </si>
  <si>
    <t>효과를 받는 동안 방어도 53% 증가</t>
  </si>
  <si>
    <t>아이템 종류: 목걸이</t>
  </si>
  <si>
    <t>비스코의 목걸이</t>
  </si>
  <si>
    <t>황금 목걸이</t>
  </si>
  <si>
    <t>레벨: 30</t>
  </si>
  <si>
    <t>아이템 레벨: 75</t>
  </si>
  <si>
    <t>발견하는 아이템 희귀도 20% 증가 (implicit)</t>
  </si>
  <si>
    <t>처치한 마법 적이 떨어뜨리는 아이템 희귀도 146% 증가</t>
  </si>
  <si>
    <t>처치한 일반 적이 떨어뜨리는 아이템 수량 39% 증가</t>
  </si>
  <si>
    <t>금옥 같은 우정은</t>
  </si>
  <si>
    <t>나날의 보물이었다.</t>
  </si>
  <si>
    <t>나는 그대와 함께 나이 들어갈 것이라 생각했으나</t>
  </si>
  <si>
    <t>운명이 그대를 멀리 데려갔다.</t>
  </si>
  <si>
    <t>반짝이 버전 고유 아이템 (노을빛)</t>
  </si>
  <si>
    <t>아이템 종류: 반지</t>
  </si>
  <si>
    <t>파우아 반지</t>
  </si>
  <si>
    <t>마나 최대치 +24 (implicit)</t>
  </si>
  <si>
    <t>미확인</t>
  </si>
  <si>
    <t>아이템 종류: 투구</t>
  </si>
  <si>
    <t>깊은 심연</t>
  </si>
  <si>
    <t>에조미어 기병 투구</t>
  </si>
  <si>
    <t>방어도: 702 (augmented)</t>
  </si>
  <si>
    <t>레벨: 60</t>
  </si>
  <si>
    <t xml:space="preserve">홈: R-R </t>
  </si>
  <si>
    <t>아이템 레벨: 85</t>
  </si>
  <si>
    <t>모든 능력치 +21</t>
  </si>
  <si>
    <t>공격 시 물리 피해 40~60 추가</t>
  </si>
  <si>
    <t>근접 치명타 피해 배율 +112%</t>
  </si>
  <si>
    <t>방어도 103% 증가</t>
  </si>
  <si>
    <t>받는 물리 피해 49% 증가</t>
  </si>
  <si>
    <t>적을 모두 주살해버렸다면,</t>
  </si>
  <si>
    <t>두려워할 게 뭐가 남겠는가?</t>
  </si>
  <si>
    <t>아이템 종류: 갑옷</t>
  </si>
  <si>
    <t>시체 상인</t>
  </si>
  <si>
    <t>광택 나는 외투</t>
  </si>
  <si>
    <t>회피: 964 (augmented)</t>
  </si>
  <si>
    <t>에너지 보호막: 197 (augmented)</t>
  </si>
  <si>
    <t>민첩: 96</t>
  </si>
  <si>
    <t>지능: 96</t>
  </si>
  <si>
    <t xml:space="preserve">홈: B-B </t>
  </si>
  <si>
    <t>회피 및 에너지 보호막 149% 증가</t>
  </si>
  <si>
    <t>생명력 최대치 +51</t>
  </si>
  <si>
    <t>모든 원소 저항 +11%</t>
  </si>
  <si>
    <t>효과 범위 47% 증가</t>
  </si>
  <si>
    <t>범위 피해 42% 증가</t>
  </si>
  <si>
    <t>잔인함</t>
  </si>
  <si>
    <t>...다른 자들이 보이는 이 묘한 불편함이 흥미로운 건 사실이다._x000D_
어찌 됐건, 경이로운 내 업적을 부정하는 이는 없지 않을까...</t>
  </si>
  <si>
    <t xml:space="preserve"> - 말리가로의 일지</t>
  </si>
  <si>
    <t>아이템 종류: 방패</t>
  </si>
  <si>
    <t>안개 벽</t>
  </si>
  <si>
    <t>옻칠한 버클러</t>
  </si>
  <si>
    <t>막기 확률: 24%</t>
  </si>
  <si>
    <t>회피: 1154 (augmented)</t>
  </si>
  <si>
    <t>민첩: 154</t>
  </si>
  <si>
    <t xml:space="preserve">홈: R </t>
  </si>
  <si>
    <t>이동 속도 6% 증가 (implicit)</t>
  </si>
  <si>
    <t>회피 142% 증가</t>
  </si>
  <si>
    <t>이동 속도 10% 증가</t>
  </si>
  <si>
    <t>화염 및 냉기 저항 +16%</t>
  </si>
  <si>
    <t>차원 능력 상태에서 피격 시 +10% 확률로 원소 피해 긴급회피</t>
  </si>
  <si>
    <t>최근 4초 이내 피해를 막지 못한 경우 최대 확률로 공격 피해를 막아냄</t>
  </si>
  <si>
    <t>최근 4초 이내 막아낸 경우 차원 능력 획득</t>
  </si>
  <si>
    <t>널빤지처럼 가벼이</t>
  </si>
  <si>
    <t>깃털처럼 견고하게.</t>
  </si>
  <si>
    <t>아이템 종류: 룬 단검</t>
  </si>
  <si>
    <t>눈바람</t>
  </si>
  <si>
    <t>제국 양날 단검</t>
  </si>
  <si>
    <t>룬 단검</t>
  </si>
  <si>
    <t>물리 피해: 18-73</t>
  </si>
  <si>
    <t>원소 피해: 167-304 (augmented)</t>
  </si>
  <si>
    <t>치명타 확률: 6.30%</t>
  </si>
  <si>
    <t>초당 공격 횟수: 1.68 (augmented)</t>
  </si>
  <si>
    <t>무기 범위: 1미터</t>
  </si>
  <si>
    <t>레벨: 66</t>
  </si>
  <si>
    <t>민첩: 95</t>
  </si>
  <si>
    <t>지능: 131</t>
  </si>
  <si>
    <t xml:space="preserve">홈: B </t>
  </si>
  <si>
    <t>일반 치명타 확률 30% 증가 (implicit)</t>
  </si>
  <si>
    <t>냉기 피해 167~304 추가</t>
  </si>
  <si>
    <t>공격 속도 12% 증가</t>
  </si>
  <si>
    <t>회피 +368</t>
  </si>
  <si>
    <t>보조 장비가 없을 시 냉기 피해 100% 증가</t>
  </si>
  <si>
    <t>보조 장비가 없을 시 주문 피해 억제 확률 +20%</t>
  </si>
  <si>
    <t>두려움이 없는 마라케스인들조차</t>
  </si>
  <si>
    <t>겨울의 돌풍을 타고 노니는 악마의</t>
  </si>
  <si>
    <t>이름을 감히 속삭이지 못한다.</t>
  </si>
  <si>
    <t>아이템 희귀도: 희귀</t>
  </si>
  <si>
    <t>가시나무 부적</t>
  </si>
  <si>
    <t>호박 목걸이</t>
  </si>
  <si>
    <t>레벨: 54</t>
  </si>
  <si>
    <t>힘 +22 (implicit)</t>
  </si>
  <si>
    <t>지능 +8</t>
  </si>
  <si>
    <t>지능 6% 증가</t>
  </si>
  <si>
    <t>공격 시 물리 피해 3~6 추가</t>
  </si>
  <si>
    <t>번개 저항 +13%</t>
  </si>
  <si>
    <t>십자군 아이템</t>
  </si>
  <si>
    <t>아이템 종류: 장화</t>
  </si>
  <si>
    <t>야수의 박차</t>
  </si>
  <si>
    <t>육욕의 장화</t>
  </si>
  <si>
    <t>회피: 129 (augmented)</t>
  </si>
  <si>
    <t>에너지 보호막: 31 (augmented)</t>
  </si>
  <si>
    <t>레벨: 55</t>
  </si>
  <si>
    <t>민첩: 35 (augmented)</t>
  </si>
  <si>
    <t>지능: 35 (augmented)</t>
  </si>
  <si>
    <t xml:space="preserve">홈: G-B-B-G </t>
  </si>
  <si>
    <t>장착된 젬에 20레벨 방어 상승 보조 효과 적용</t>
  </si>
  <si>
    <t>능력치 요구사항 32% 감소</t>
  </si>
  <si>
    <t>회피 +22</t>
  </si>
  <si>
    <t>에너지 보호막 최대치 +9</t>
  </si>
  <si>
    <t>1초마다 생명력 59.2 재생</t>
  </si>
  <si>
    <t>발견하는 아이템 희귀도 14% 증가</t>
  </si>
  <si>
    <t>엘더 아이템</t>
  </si>
  <si>
    <t>고통의 질주</t>
  </si>
  <si>
    <t>거친 생가죽 장화</t>
  </si>
  <si>
    <t>회피: 195</t>
  </si>
  <si>
    <t>민첩: 97</t>
  </si>
  <si>
    <t xml:space="preserve">홈: B G </t>
  </si>
  <si>
    <t>아이템 레벨: 79</t>
  </si>
  <si>
    <t>민첩 +19</t>
  </si>
  <si>
    <t>생명력 최대치 +85</t>
  </si>
  <si>
    <t>이동 속도 25% 증가</t>
  </si>
  <si>
    <t>플레이어가 유발한 출혈이 피해 9% 가속</t>
  </si>
  <si>
    <t>사냥꾼 아이템</t>
  </si>
  <si>
    <t>슬픔의 고리</t>
  </si>
  <si>
    <t>토파즈 반지</t>
  </si>
  <si>
    <t>레벨: 67</t>
  </si>
  <si>
    <t>번개 저항 +21% (implicit)</t>
  </si>
  <si>
    <t>마나 재생 속도 32% 증가</t>
  </si>
  <si>
    <t>발견하는 아이템 희귀도 27% 증가</t>
  </si>
  <si>
    <t>화염 저항 +44%</t>
  </si>
  <si>
    <t>명중 시 적이 동상 저주에 걸림</t>
  </si>
  <si>
    <t>마나 최대치 +50 (crafted)</t>
  </si>
  <si>
    <t>대속자 아이템</t>
  </si>
  <si>
    <t>집정관의 연모양 방패</t>
  </si>
  <si>
    <t>막기 확률: 22%</t>
  </si>
  <si>
    <t>방어도: 156</t>
  </si>
  <si>
    <t>에너지 보호막: 32</t>
  </si>
  <si>
    <t>힘: 85</t>
  </si>
  <si>
    <t>지능: 85</t>
  </si>
  <si>
    <t xml:space="preserve">홈: R R R </t>
  </si>
  <si>
    <t>모든 원소 저항 +12% (implicit)</t>
  </si>
  <si>
    <t>쉐이퍼 아이템</t>
  </si>
  <si>
    <t>가시투성이 우주의 판금 갑옷 - 점령자</t>
  </si>
  <si>
    <t>퀄리티: +30% (augmented)</t>
  </si>
  <si>
    <t>방어도: 924 (augmented)</t>
  </si>
  <si>
    <t>힘: 180 (unmet)</t>
  </si>
  <si>
    <t xml:space="preserve">홈: W-W-W-W-W-W </t>
  </si>
  <si>
    <t>아이템 레벨: 100</t>
  </si>
  <si>
    <t>상인에게 더 비싸게 아이템 판매 (implicit)</t>
  </si>
  <si>
    <t>모든 원소 저항 +17%</t>
  </si>
  <si>
    <t>근접 공격자에게 6의 물리 피해 반사</t>
  </si>
  <si>
    <t>전쟁군주 아이템</t>
  </si>
  <si>
    <t>아이템 종류: 심연 주얼</t>
  </si>
  <si>
    <t>텅 빈 구</t>
  </si>
  <si>
    <t>살인적인 눈 주얼</t>
  </si>
  <si>
    <t>심연</t>
  </si>
  <si>
    <t>이동 중 회피 30% 증가 (fractured)</t>
  </si>
  <si>
    <t>공격 시 카오스 피해 11~20 추가</t>
  </si>
  <si>
    <t>마나 최대치 +35</t>
  </si>
  <si>
    <t>아이템의 심연 홈이나 패시브 스킬 트리에서 포인트를 할당한 주얼 슬롯에 장착하십시오. 우클릭하면 홈에서 제거됩니다.</t>
  </si>
  <si>
    <t>분열된 아이템</t>
  </si>
  <si>
    <t>아이템 종류: 허리띠</t>
  </si>
  <si>
    <t>쌍둥이의 여명</t>
  </si>
  <si>
    <t>무거운 허리띠</t>
  </si>
  <si>
    <t>레벨: 52</t>
  </si>
  <si>
    <t>힘 +25 (implicit)</t>
  </si>
  <si>
    <t>생명력 최대치 +73</t>
  </si>
  <si>
    <t>화염 저항 +29%</t>
  </si>
  <si>
    <t>냉기 저항 +32%</t>
  </si>
  <si>
    <t>냉각된 적에 대한 공격 피해의 1%를 생명력으로 흡수</t>
  </si>
  <si>
    <t>플레이어의 공격으로 유발한 점화가 피해 35% 가속</t>
  </si>
  <si>
    <t>물리 피해를 주지 않음</t>
  </si>
  <si>
    <t>그녀의 차가운 결심과</t>
  </si>
  <si>
    <t>불타는 희생으로</t>
  </si>
  <si>
    <t>영원의 쌍둥이가 일어서다.</t>
  </si>
  <si>
    <t>방랑벽</t>
  </si>
  <si>
    <t>양모 신발</t>
  </si>
  <si>
    <t>에너지 보호막: 22 (augmented)</t>
  </si>
  <si>
    <t xml:space="preserve">홈: G-B-B B </t>
  </si>
  <si>
    <t>민첩 +5</t>
  </si>
  <si>
    <t>에너지 보호막 최대치 +17</t>
  </si>
  <si>
    <t>마나 재생 속도 37% 증가</t>
  </si>
  <si>
    <t>이동 속도 20% 증가</t>
  </si>
  <si>
    <t>동결될 수 없음</t>
  </si>
  <si>
    <t>온 세상을 집 삼아.</t>
  </si>
  <si>
    <t>아이템 종류: 장갑</t>
  </si>
  <si>
    <t>혈우병</t>
  </si>
  <si>
    <t>뱀 비늘 건틀릿</t>
  </si>
  <si>
    <t>방어도: 78</t>
  </si>
  <si>
    <t>회피: 78</t>
  </si>
  <si>
    <t>레벨: 43</t>
  </si>
  <si>
    <t>힘: 34</t>
  </si>
  <si>
    <t>민첩: 34</t>
  </si>
  <si>
    <t xml:space="preserve">홈: R-R-G </t>
  </si>
  <si>
    <t>힘 +25</t>
  </si>
  <si>
    <t>지속 피해 25% 증가</t>
  </si>
  <si>
    <t>공격 시 25%의 확률로 출혈 유발</t>
  </si>
  <si>
    <t>출혈 중인 적에 대한 공격 피해 34% 증가</t>
  </si>
  <si>
    <t>출혈 중인 적을 처치하면 적이 폭발하여</t>
  </si>
  <si>
    <t>최대 생명력의 5%를 물리 피해로 줌</t>
  </si>
  <si>
    <t>출혈 지속시간 25% 감소</t>
  </si>
  <si>
    <t>예술의 대가는 그림을 그릴 때 시간을 들인다더군._x000D_
안 됐지만 나 같은 이들은 그런 사치를 부리지 않아서 말이지.</t>
  </si>
  <si>
    <t>아이템 종류: 활</t>
  </si>
  <si>
    <t>태풍 구름</t>
  </si>
  <si>
    <t>장궁</t>
  </si>
  <si>
    <t>활</t>
  </si>
  <si>
    <t>원소 피해: 1-85 (augmented)</t>
  </si>
  <si>
    <t>치명타 확률: 6.00%</t>
  </si>
  <si>
    <t>초당 공격 횟수: 1.93 (augmented)</t>
  </si>
  <si>
    <t>레벨: 9</t>
  </si>
  <si>
    <t>민첩: 38</t>
  </si>
  <si>
    <t xml:space="preserve">홈: G </t>
  </si>
  <si>
    <t>아이템 레벨: 73</t>
  </si>
  <si>
    <t>물리 피해 없음</t>
  </si>
  <si>
    <t>번개 피해 1~85 추가</t>
  </si>
  <si>
    <t>공격 속도 48% 증가</t>
  </si>
  <si>
    <t>강철 갑옷 제작 기술이 몇 세기에 걸쳐 발달하자</t>
  </si>
  <si>
    <t>영원한 제국의 군대는</t>
  </si>
  <si>
    <t>효과적인 피뢰침이 되어 주었다.</t>
  </si>
  <si>
    <t>아이템 종류: 클로</t>
  </si>
  <si>
    <t>피의 탐색자</t>
  </si>
  <si>
    <t>헬리온의 발</t>
  </si>
  <si>
    <t>클로</t>
  </si>
  <si>
    <t>물리 피해: 99-171 (augmented)</t>
  </si>
  <si>
    <t>무기 범위: 1.1미터</t>
  </si>
  <si>
    <t>민첩: 131</t>
  </si>
  <si>
    <t>지능: 95</t>
  </si>
  <si>
    <t xml:space="preserve">홈: G-B </t>
  </si>
  <si>
    <t>물리 공격 피해의 1.6%를 생명력으로 흡수 (implicit)</t>
  </si>
  <si>
    <t>물리 피해 155% 증가</t>
  </si>
  <si>
    <t>물리 피해 10~12 추가</t>
  </si>
  <si>
    <t>공격 속도 5% 증가</t>
  </si>
  <si>
    <t>물리 공격 피해의 1.2%를 생명력으로 흡수</t>
  </si>
  <si>
    <t>이동 속도 5% 증가</t>
  </si>
  <si>
    <t>이 무기로 적 명중 시 생명력 흡수 즉시 적용</t>
  </si>
  <si>
    <t>육체의 생명은 항시 피에 있음이라.</t>
  </si>
  <si>
    <t xml:space="preserve"> - 바알 사제 아탈루이</t>
  </si>
  <si>
    <t>아이템 종류: 단검</t>
  </si>
  <si>
    <t>유혈 관통</t>
  </si>
  <si>
    <t>무두질용 단도</t>
  </si>
  <si>
    <t>단검</t>
  </si>
  <si>
    <t>물리 피해: 8-31 (augmented)</t>
  </si>
  <si>
    <t>치명타 확률: 7.80% (augmented)</t>
  </si>
  <si>
    <t>초당 공격 횟수: 1.45</t>
  </si>
  <si>
    <t>레벨: 5</t>
  </si>
  <si>
    <t>민첩: 16</t>
  </si>
  <si>
    <t xml:space="preserve">홈: G-G </t>
  </si>
  <si>
    <t>민첩 +14</t>
  </si>
  <si>
    <t>물리 피해 57% 증가</t>
  </si>
  <si>
    <t>물리 피해 1~3 추가</t>
  </si>
  <si>
    <t>치명타 확률 30% 증가</t>
  </si>
  <si>
    <t>출혈 중인 적에 대한 공격 피해 40% 증가</t>
  </si>
  <si>
    <t>치명타 명중 시 50%의 확률로 출혈 유발</t>
  </si>
  <si>
    <t>어깨에 톡</t>
  </si>
  <si>
    <t>볼에 쪽</t>
  </si>
  <si>
    <t>너의 와인 한 모금</t>
  </si>
  <si>
    <t>빨갛고도 매끈하구나</t>
  </si>
  <si>
    <t>아이템 종류: 주얼</t>
  </si>
  <si>
    <t>근육</t>
  </si>
  <si>
    <t>진홍색 주얼</t>
  </si>
  <si>
    <t>힘 5% 증가</t>
  </si>
  <si>
    <t>민첩 6% 증가</t>
  </si>
  <si>
    <t>지능 15% 감소</t>
  </si>
  <si>
    <t>여유 좀 갖고 계획 좀 잘 세워봐._x000D_
다 되면 어떤 계획이_x000D_
네 갈비뼈에서 내 도끼를 빼게 만들 수 있을지 말해주고.</t>
  </si>
  <si>
    <t>패시브 스킬 트리에서 포인트를 할당한 주얼 슬롯에 장착하십시오. 우클릭하면 슬롯에서 제거됩니다.</t>
  </si>
  <si>
    <t>아이템 종류: 화살통</t>
  </si>
  <si>
    <t>후위 경계</t>
  </si>
  <si>
    <t>넓은 촉 화살통</t>
  </si>
  <si>
    <t>레벨: 28</t>
  </si>
  <si>
    <t>아이템 레벨: 82</t>
  </si>
  <si>
    <t>활 공격 시 물리 피해 6~12 추가 (implicit)</t>
  </si>
  <si>
    <t>24%의 확률로 공격 피해를 막아냄</t>
  </si>
  <si>
    <t>15%의 확률로 주문 피해를 막아냄</t>
  </si>
  <si>
    <t>방어도 +421</t>
  </si>
  <si>
    <t>투사체 속도 20% 증가</t>
  </si>
  <si>
    <t>기절 및 막기 회복 50% 증가</t>
  </si>
  <si>
    <t>투사체 피해 19% 증가</t>
  </si>
  <si>
    <t>뒤통수에도 눈이 달린 사람은 드물더군.</t>
  </si>
  <si>
    <t>아이템 종류: 셉터</t>
  </si>
  <si>
    <t>악몽</t>
  </si>
  <si>
    <t>그림자 셉터</t>
  </si>
  <si>
    <t>셉터</t>
  </si>
  <si>
    <t>물리 피해: 29-44</t>
  </si>
  <si>
    <t>치명타 확률: 6.20%</t>
  </si>
  <si>
    <t>초당 공격 횟수: 1.25</t>
  </si>
  <si>
    <t>레벨: 32</t>
  </si>
  <si>
    <t>힘: 52</t>
  </si>
  <si>
    <t>지능: 62</t>
  </si>
  <si>
    <t xml:space="preserve">홈: B-R </t>
  </si>
  <si>
    <t>원소 피해 22% 증가 (implicit)</t>
  </si>
  <si>
    <t>장착된 젬에 1레벨 체온저하 보조 효과 적용</t>
  </si>
  <si>
    <t>장착된 젬에 1레벨 얼음 쐐기 보조 효과 적용</t>
  </si>
  <si>
    <t>장착된 젬에 1레벨 냉기 관통 보조 효과 적용</t>
  </si>
  <si>
    <t>장착된 젬에 1레벨 마나 흡수 보조 효과 적용</t>
  </si>
  <si>
    <t>장착된 젬에 10레벨 냉기 피해 추가 보조 효과 적용</t>
  </si>
  <si>
    <t>장착된 젬에 1레벨 영감 보조 효과 적용</t>
  </si>
  <si>
    <t>추위에 맞서지 마라.</t>
  </si>
  <si>
    <t>희망은 저버려라</t>
  </si>
  <si>
    <t>조용히 받아들여라.</t>
  </si>
  <si>
    <t>아이템 종류: 지팡이</t>
  </si>
  <si>
    <t>늪 감긴 가지</t>
  </si>
  <si>
    <t>울퉁불퉁한 나뭇가지</t>
  </si>
  <si>
    <t>지팡이</t>
  </si>
  <si>
    <t>물리 피해: 9-19</t>
  </si>
  <si>
    <t>초당 공격 횟수: 1.30</t>
  </si>
  <si>
    <t>무기 범위: 1.3미터</t>
  </si>
  <si>
    <t>지팡이 장착 시 공격 피해 막기 확률 +18% (implicit)</t>
  </si>
  <si>
    <t>장착된 젬에 8레벨 덫 보조 효과 적용</t>
  </si>
  <si>
    <t>일반 피해 45% 증가</t>
  </si>
  <si>
    <t>최대 생명력 18% 증가</t>
  </si>
  <si>
    <t>최대 마나 11% 증가</t>
  </si>
  <si>
    <t>늪 속의 뿌리라면 두려워할 이유가 없다</t>
  </si>
  <si>
    <t xml:space="preserve"> - 옛 에조미어 속담.</t>
  </si>
  <si>
    <t>아이템 종류: 마법봉</t>
  </si>
  <si>
    <t>생명의 가지</t>
  </si>
  <si>
    <t>표류목 마법봉</t>
  </si>
  <si>
    <t>마법봉</t>
  </si>
  <si>
    <t>물리 피해: 5-9</t>
  </si>
  <si>
    <t>치명타 확률: 7.00%</t>
  </si>
  <si>
    <t>초당 공격 횟수: 1.40</t>
  </si>
  <si>
    <t>주문 피해 12% 증가 (implicit)</t>
  </si>
  <si>
    <t>장착된 주문 젬 레벨 +1</t>
  </si>
  <si>
    <t>주문 피해 26% 증가</t>
  </si>
  <si>
    <t>시전 속도 6% 증가</t>
  </si>
  <si>
    <t>생명력 최대치 +16</t>
  </si>
  <si>
    <t>마나 최대치 +19</t>
  </si>
  <si>
    <t>주문 시전 시 1초 동안 생명력 7 재생</t>
  </si>
  <si>
    <t>조그마한 씨앗부터</t>
  </si>
  <si>
    <t>커다란 삼나무까지,</t>
  </si>
  <si>
    <t>레이클라스트의 생명은 참고 기다린다.</t>
  </si>
  <si>
    <t>아이템 종류: 전쟁지팡이</t>
  </si>
  <si>
    <t>영역 형성자</t>
  </si>
  <si>
    <t>철제 지팡이</t>
  </si>
  <si>
    <t>전쟁지팡이</t>
  </si>
  <si>
    <t>물리 피해: 14-42</t>
  </si>
  <si>
    <t>원소 피해: 13-25 (augmented), 13-24 (augmented)</t>
  </si>
  <si>
    <t>치명타 확률: 6.40%</t>
  </si>
  <si>
    <t>레벨: 13</t>
  </si>
  <si>
    <t>힘: 27</t>
  </si>
  <si>
    <t>지능: 27</t>
  </si>
  <si>
    <t>장착된 화염 속성 젬 레벨 +1</t>
  </si>
  <si>
    <t>장착된 냉기 속성 젬 레벨 +1</t>
  </si>
  <si>
    <t>장착된 젬에 5레벨 냉기 화염 전환 보조 효과 적용</t>
  </si>
  <si>
    <t>화염 피해 13~25 추가</t>
  </si>
  <si>
    <t>냉기 피해 13~24 추가</t>
  </si>
  <si>
    <t>원소 피해 48% 증가</t>
  </si>
  <si>
    <t>신의 창조는 항상 화염과_x000D_
얼음으로 시작하고 끝나네._x000D_
둘 다 본 적이 없다고? 그럼 행운으로 여겨야 할 걸세.</t>
  </si>
  <si>
    <t>아이템 종류: 한손 검</t>
  </si>
  <si>
    <t>이치몬지</t>
  </si>
  <si>
    <t>해적의 검</t>
  </si>
  <si>
    <t>한손 검</t>
  </si>
  <si>
    <t>물리 피해: 55-183 (augmented)</t>
  </si>
  <si>
    <t>치명타 확률: 5.00%</t>
  </si>
  <si>
    <t>초당 공격 횟수: 1.91 (augmented)</t>
  </si>
  <si>
    <t>레벨: 58</t>
  </si>
  <si>
    <t>힘: 81</t>
  </si>
  <si>
    <t>민첩: 117</t>
  </si>
  <si>
    <t xml:space="preserve">홈: R B G </t>
  </si>
  <si>
    <t>아이템 레벨: 78</t>
  </si>
  <si>
    <t>일반 정확도 40% 증가 (implicit)</t>
  </si>
  <si>
    <t>물리 피해 85% 증가</t>
  </si>
  <si>
    <t>물리 피해 10~19 추가</t>
  </si>
  <si>
    <t>공격 속도 23% 증가</t>
  </si>
  <si>
    <t>플레이어에게 적용되는 버프 효과 10% 증가</t>
  </si>
  <si>
    <t>스킬의 마나 점유 효율 10% 증가</t>
  </si>
  <si>
    <t>동료들의 오라 버프 효과가 자신에게는 영향을 주지 않음</t>
  </si>
  <si>
    <t>자신의 오라 버프 효과가 동료들에게는 영향을 주지 않음</t>
  </si>
  <si>
    <t>남을 지배하려고 들기 전에 스스로 먼저 지배하라.</t>
  </si>
  <si>
    <t>아이템 종류: 날카로운 한손 검</t>
  </si>
  <si>
    <t>금빛 욕망</t>
  </si>
  <si>
    <t>손보호구 레이피어</t>
  </si>
  <si>
    <t>물리 피해: 27-62 (augmented)</t>
  </si>
  <si>
    <t>치명타 확률: 5.50%</t>
  </si>
  <si>
    <t>초당 공격 횟수: 1.55</t>
  </si>
  <si>
    <t>무기 범위: 1.4미터</t>
  </si>
  <si>
    <t>레벨: 17</t>
  </si>
  <si>
    <t>민첩: 62</t>
  </si>
  <si>
    <t xml:space="preserve">홈: G R-G </t>
  </si>
  <si>
    <t>일반 치명타 피해 배율 +25% (implicit)</t>
  </si>
  <si>
    <t>물리 피해 149% 증가</t>
  </si>
  <si>
    <t>발견하는 아이템 희귀도 20% 감소</t>
  </si>
  <si>
    <t>모든 원소 저항 +57%</t>
  </si>
  <si>
    <t>명중한 적 하나당 생명력 3 획득</t>
  </si>
  <si>
    <t>이 검을 발견한 수집가들에게는 낭패스러운 일이었다.</t>
  </si>
  <si>
    <t>검 속의 지성을 갖춘 영혼은</t>
  </si>
  <si>
    <t>주인의 손길 외에는 관심이 없었다.</t>
  </si>
  <si>
    <t>아이템 종류: 양손 검</t>
  </si>
  <si>
    <t>다가온 최후</t>
  </si>
  <si>
    <t>호랑이 검</t>
  </si>
  <si>
    <t>양손 검</t>
  </si>
  <si>
    <t>물리 피해: 192-316 (augmented)</t>
  </si>
  <si>
    <t>치명타 확률: 7.90% (augmented)</t>
  </si>
  <si>
    <t>레벨: 51</t>
  </si>
  <si>
    <t>힘: 80</t>
  </si>
  <si>
    <t xml:space="preserve">홈: G R </t>
  </si>
  <si>
    <t>정확도 +360 (implicit)</t>
  </si>
  <si>
    <t>물리 피해 255% 증가</t>
  </si>
  <si>
    <t>공격 속도 20% 증가</t>
  </si>
  <si>
    <t>치명타 확률 58% 증가</t>
  </si>
  <si>
    <t>처치한 적 하나당 마나 10 획득</t>
  </si>
  <si>
    <t>치명타 명중 시 격분 충전 획득</t>
  </si>
  <si>
    <t>마지막 느낀 감각은 사형 집행인의 칼날이었다.</t>
  </si>
  <si>
    <t>칼날은 차갑지 않고 따뜻하고 안심할 수 있게</t>
  </si>
  <si>
    <t>더 좋은 앞날을 귓말로 약속해주고 있었다.</t>
  </si>
  <si>
    <t>그는 웃으며 죽음을 받아들였다.</t>
  </si>
  <si>
    <t>아이템 종류: 한손 도끼</t>
  </si>
  <si>
    <t>디아두스</t>
  </si>
  <si>
    <t>지옥불 도끼</t>
  </si>
  <si>
    <t>한손 도끼</t>
  </si>
  <si>
    <t>물리 피해: 51-85</t>
  </si>
  <si>
    <t>원소 피해: 276-323 (augmented), 282-315 (augmented)</t>
  </si>
  <si>
    <t>초당 공격 횟수: 1.45 (augmented)</t>
  </si>
  <si>
    <t>레벨: 69</t>
  </si>
  <si>
    <t>힘: 158</t>
  </si>
  <si>
    <t>민첩: 76</t>
  </si>
  <si>
    <t xml:space="preserve">홈: R-G </t>
  </si>
  <si>
    <t>주 무기로 사용 시 화염 피해 276~323 추가</t>
  </si>
  <si>
    <t>보조 장비로 사용 시 냉기 피해 282~315 추가</t>
  </si>
  <si>
    <t>공격 속도 11% 증가</t>
  </si>
  <si>
    <t>주 무기로 장착 시 25%의 확률로 점화 유발</t>
  </si>
  <si>
    <t>냉각된 적에게 주는 점화 피해 100% 증가</t>
  </si>
  <si>
    <t>보조 장비로 장착하고 이 무기로 명중 시 1초 동안 적 냉각</t>
  </si>
  <si>
    <t>그는 사랑으로 태어나, 피에서 만들어져</t>
  </si>
  <si>
    <t>칠흑 같은 밤에 횃불처럼 불탔다.</t>
  </si>
  <si>
    <t>그녀는 겨울 해를 받은 얼음처럼 빛났다</t>
  </si>
  <si>
    <t>자랑스럽고, 맹렬하게</t>
  </si>
  <si>
    <t>언제나 어머니 곁에서.</t>
  </si>
  <si>
    <t>아이템 종류: 양손 도끼</t>
  </si>
  <si>
    <t>사지 분할기</t>
  </si>
  <si>
    <t>벌목스플리터</t>
  </si>
  <si>
    <t>양손 도끼</t>
  </si>
  <si>
    <t>물리 피해: 45-91 (augmented)</t>
  </si>
  <si>
    <t>힘: 36</t>
  </si>
  <si>
    <t>민첩: 17</t>
  </si>
  <si>
    <t>장착된 힘 젬 레벨 +1</t>
  </si>
  <si>
    <t>힘 +27</t>
  </si>
  <si>
    <t>물리 피해 86% 증가</t>
  </si>
  <si>
    <t>물리 피해 5~10 추가</t>
  </si>
  <si>
    <t>마무리 타격</t>
  </si>
  <si>
    <t>허공을 가르며</t>
  </si>
  <si>
    <t>갈라지고 찢어지고 잃어버린 것들을 노래하다.</t>
  </si>
  <si>
    <t>아이템 종류: 한손 철퇴</t>
  </si>
  <si>
    <t>서리 숨결</t>
  </si>
  <si>
    <t>화려한 철퇴</t>
  </si>
  <si>
    <t>한손 철퇴</t>
  </si>
  <si>
    <t>물리 피해: 83-105 (augmented)</t>
  </si>
  <si>
    <t>원소 피해: 31-40 (augmented)</t>
  </si>
  <si>
    <t>초당 공격 횟수: 1.36 (augmented)</t>
  </si>
  <si>
    <t>힘: 161</t>
  </si>
  <si>
    <t>적 기절 한계치 15% 감소 (implicit)</t>
  </si>
  <si>
    <t>물리 피해 30~38 추가</t>
  </si>
  <si>
    <t>냉기 피해 31~40 추가</t>
  </si>
  <si>
    <t>공격 속도 13% 증가</t>
  </si>
  <si>
    <t>화염 저항 +50%</t>
  </si>
  <si>
    <t>적에게 적용되는 냉각 지속시간 39% 증가</t>
  </si>
  <si>
    <t>이 무기로 공격 시 냉각된 적에게 주는 피해 2배</t>
  </si>
  <si>
    <t>자비로운 살인자가 사안의 골목을 휩쓸면서</t>
  </si>
  <si>
    <t>약하고 쓸모없는 자들의 목숨을 앗아갔다.</t>
  </si>
  <si>
    <t>아이템 종류: 양손 철퇴</t>
  </si>
  <si>
    <t>공허한 고향</t>
  </si>
  <si>
    <t>끔찍한 대형 망치</t>
  </si>
  <si>
    <t>양손 철퇴</t>
  </si>
  <si>
    <t>물리 피해: 193-260 (augmented)</t>
  </si>
  <si>
    <t>초당 공격 횟수: 1.88 (augmented)</t>
  </si>
  <si>
    <t>힘: 173</t>
  </si>
  <si>
    <t xml:space="preserve">홈: R R-R </t>
  </si>
  <si>
    <t>적에게 적용되는 기절 지속시간 30% 증가 (implicit)</t>
  </si>
  <si>
    <t>물리 피해 150% 증가</t>
  </si>
  <si>
    <t>공격 속도 50% 증가</t>
  </si>
  <si>
    <t>발견하는 아이템 희귀도 50% 감소</t>
  </si>
  <si>
    <t>경험치 획득 35% 감소</t>
  </si>
  <si>
    <t>물리 공격 피해의 0.4%를 마나로 흡수</t>
  </si>
  <si>
    <t>근원부터 저주받은 별.</t>
  </si>
  <si>
    <t>아이템 종류: 강탈 브로치</t>
  </si>
  <si>
    <t>경악의 목가리개</t>
  </si>
  <si>
    <t>은 브로치</t>
  </si>
  <si>
    <t>아무 강탈 단원이나 이 아이템을 장착할 수 있습니다.</t>
  </si>
  <si>
    <t>아무 작업이나 2레벨</t>
  </si>
  <si>
    <t>강탈에서 떨어지는 아이템 희귀도 14% 증가 (implicit)</t>
  </si>
  <si>
    <t>피해 38% 증가</t>
  </si>
  <si>
    <t>7%의 확률로 강탈 상자에 들어 있는 환영의 오브 및 파편 복제</t>
  </si>
  <si>
    <t>고용 비용 7% 감소</t>
  </si>
  <si>
    <t>강탈에서 떨어지는 아이템 희귀도 23% 증가</t>
  </si>
  <si>
    <t>강탈 단원만 장착할 수 있습니다.</t>
  </si>
  <si>
    <t>아이템 종류: 강탈 망토</t>
  </si>
  <si>
    <t>시신의 연막</t>
  </si>
  <si>
    <t>해진 망토</t>
  </si>
  <si>
    <t>아무 작업이나 3레벨</t>
  </si>
  <si>
    <t>경보 레벨 상승률 3% 감소 (implicit)</t>
  </si>
  <si>
    <t>지역이 폐쇄 중이 아닐 때 피해 23% 증가</t>
  </si>
  <si>
    <t>지역이 폐쇄 중이 아닐 때 플레이어가 주는 피해 23% 증가</t>
  </si>
  <si>
    <t>상자를 열었을 때의 경보 레벨 상승률 3% 감소</t>
  </si>
  <si>
    <t>아이템 종류: 강탈 장비</t>
  </si>
  <si>
    <t>불사조 장비</t>
  </si>
  <si>
    <t>거친 숫돌</t>
  </si>
  <si>
    <t>아이템 레벨: 71</t>
  </si>
  <si>
    <t>근접 피해 14% 증가 (implicit)</t>
  </si>
  <si>
    <t>냉기 피해 12~20 추가</t>
  </si>
  <si>
    <t>플레이어 및 소환수의 냉기 피해 12~20 추가</t>
  </si>
  <si>
    <t>고용 비용 6% 감소</t>
  </si>
  <si>
    <t>5레벨 자부심 스킬 사용 가능</t>
  </si>
  <si>
    <t>아이템 종류: 강탈 대상</t>
  </si>
  <si>
    <t>엄니 있는 인간형 해골</t>
  </si>
  <si>
    <t>아이템 레벨: 27</t>
  </si>
  <si>
    <t>그 해골이 가짜가 아닌 진짜라면, 우리가 흉물이라는 세간의 인식을 불식할 수 있을지도 몰라._x000D_
'인간'이라는 단어가 더 넓은 의미를 지닐 수 있겠지.</t>
  </si>
  <si>
    <t>도둑 항구에 있는 장물거래인 파우스투스와 교환할 수 있습니다.</t>
  </si>
  <si>
    <t>아이템 종류: 강탈 도구</t>
  </si>
  <si>
    <t>고통 재료</t>
  </si>
  <si>
    <t>필수 열쇠고리</t>
  </si>
  <si>
    <t>이 아이템을 장착할 수 있는 단원:</t>
  </si>
  <si>
    <t>해체전문가 빈데리</t>
  </si>
  <si>
    <t>밤도둑 툴리나</t>
  </si>
  <si>
    <t>기술자 아이슬라</t>
  </si>
  <si>
    <t>덫 해제 2레벨</t>
  </si>
  <si>
    <t>덫 해제 속도 4% 증가 (implicit)</t>
  </si>
  <si>
    <t>강탈단 세금 9% 감소</t>
  </si>
  <si>
    <t>폐쇄까지 남은 시간 +2초</t>
  </si>
  <si>
    <t>획득하는 임무 경험치 3% 증가</t>
  </si>
  <si>
    <t>아이템 종류: 장신구</t>
  </si>
  <si>
    <t>종말의 구슬</t>
  </si>
  <si>
    <t>도둑 장신구</t>
  </si>
  <si>
    <t>레벨: 40</t>
  </si>
  <si>
    <t>강탈에서 보상 상자를 열 때 3%의 확률로 균열 아이템 추가 획득</t>
  </si>
  <si>
    <t>강탈에서 15% 확률로 변화의 오브가 연금술의 오브로 떨어짐</t>
  </si>
  <si>
    <t>강탈에서 20% 확률로 색채의 오브가 연결의 오브로 떨어짐</t>
  </si>
  <si>
    <t>밀수범 소굴 또는 취약 지점 도면에서 포획 조각상을 찾아야 장착할 수 있습니다</t>
  </si>
  <si>
    <t>아이템 종류: 낚싯대</t>
  </si>
  <si>
    <t>암초의 파멸</t>
  </si>
  <si>
    <t>낚싯대</t>
  </si>
  <si>
    <t>물리 피해: 8-15</t>
  </si>
  <si>
    <t>초당 공격 횟수: 1.20</t>
  </si>
  <si>
    <t>시전 속도 34% 증가</t>
  </si>
  <si>
    <t>마석학 루어</t>
  </si>
  <si>
    <t>포획하는 물고기 수 15% 증가</t>
  </si>
  <si>
    <t>고유 생선이 있는 지역에 있는 동안 빛남</t>
  </si>
  <si>
    <t>그는 바다 깊숙이 줄을 담그고</t>
  </si>
  <si>
    <t>그녀의 심장을 뜯어냈다.</t>
  </si>
  <si>
    <t>상</t>
  </si>
  <si>
    <t>역병</t>
  </si>
  <si>
    <t>역병에 유린당한</t>
  </si>
  <si>
    <t>기묘한</t>
  </si>
  <si>
    <t>분기하는</t>
  </si>
  <si>
    <t>환영의</t>
  </si>
  <si>
    <t>Classe do Item: Gemas de Habilidades</t>
  </si>
  <si>
    <t>Raridade: Gema</t>
  </si>
  <si>
    <t>Anômalo Barragem</t>
  </si>
  <si>
    <t>Ataque, Projétil, Arco</t>
  </si>
  <si>
    <t>Nível: 20 (Máx)</t>
  </si>
  <si>
    <t>Custo: 11 Mana</t>
  </si>
  <si>
    <t>Dano de Ataque: 54.6% de base</t>
  </si>
  <si>
    <t>Eficácia do Dano Adicionado: 55%</t>
  </si>
  <si>
    <t>Qualidade: +11% (augmented)</t>
  </si>
  <si>
    <t>Qualidade Alternativa</t>
  </si>
  <si>
    <t>Nível: 70</t>
  </si>
  <si>
    <t>Após uma rápida preparação, você ataca repetidamente com uma arma à distância. Estes ataques têm uma distribuição aleatória pequena. Só funciona com Arcos e Varinhas. Esta habilidade não pode ser Ativada.</t>
  </si>
  <si>
    <t>11% de chance de Empurrar Inimigos ao acertar</t>
  </si>
  <si>
    <t>Dispara 4 Projéteis adicionais</t>
  </si>
  <si>
    <t>Dispara Projéteis em sequência</t>
  </si>
  <si>
    <t>Coloque o item em um encaixe da cor certa para obter esta habilidade. Clique com o botão direito para remover de um encaixe.</t>
  </si>
  <si>
    <t>Corrompido</t>
  </si>
  <si>
    <t>Classe do Item: Gemas de Suporte</t>
  </si>
  <si>
    <t>Divergente Suporte: Bênção Divina</t>
  </si>
  <si>
    <t>Suporte, Aura, Duração, Bênção</t>
  </si>
  <si>
    <t>Qualidade: +20% (augmented)</t>
  </si>
  <si>
    <t>Suporta habilidades de aura que criam auras permanentes ao seu redor, mudando sua reserva para um custo e tornando-as temporárias. Não pode suportar habilidades de estandarte ou postura.</t>
  </si>
  <si>
    <t>Habilidades Suportadas têm 5% do Custo de Mana reduzido</t>
  </si>
  <si>
    <t>Habilidades Suportadas têm  Efeito das Auras aumentado em 29%</t>
  </si>
  <si>
    <t>Habilidades Suportadas Custam +233 de Mana</t>
  </si>
  <si>
    <t>Habilidades Suportadas também contam como Habilidades Bênção</t>
  </si>
  <si>
    <t>Você só pode ter uma Aura de suas Habilidades Bênção</t>
  </si>
  <si>
    <t>Auras das Habilidades Suportadas têm uma duração base de 10.90 segundos</t>
  </si>
  <si>
    <t>Esta é uma Gema de Suporte. Ela não concede um bônus para seu personagem, mas sim para as habilidades em encaixes conectados a ela. Coloque-a em um encaixe de item conectado a um encaixe contendo a Gema de Habilidade que você deseja melhorar. Clique com o botão direito para remover de um encaixe.</t>
  </si>
  <si>
    <t>Fantasmal Impacto Tectônico</t>
  </si>
  <si>
    <t>Fogo, Ataque, Área, Impacto, Corpo a Corpo</t>
  </si>
  <si>
    <t>Nível: 16</t>
  </si>
  <si>
    <t>Custo: 10 Mana</t>
  </si>
  <si>
    <t>Velocidade de Ataque: 80% de base</t>
  </si>
  <si>
    <t>Dano de Ataque: 255% de base</t>
  </si>
  <si>
    <t>Eficácia do Dano Adicionado: 255%</t>
  </si>
  <si>
    <t>Nível: 62</t>
  </si>
  <si>
    <t>Golpeia o chão, liberando uma fissura ardente na sua frente, causando dano em área e liberando um número aleatório de fissuras menores que se ramificam dela. Pode consumir uma Carga de Tolerância a cada terceira vez que você golpear o chão com essa habilidade. Requer uma Maça, Cetro, Espada, Machado, Cajado ou Desarmado.</t>
  </si>
  <si>
    <t>60% do Dano Físico Convertido para Dano de Fogo</t>
  </si>
  <si>
    <t>Dano de Fogo aumentado em 11%</t>
  </si>
  <si>
    <t>5% mais Área de Efeito por Carga de Tolerância</t>
  </si>
  <si>
    <t>+5% de chance de ramificar fissuras por Carga de Tolerância</t>
  </si>
  <si>
    <t>30% de chance de ramificar fissuras</t>
  </si>
  <si>
    <t>Experiência: 4,897,423/15,138,193</t>
  </si>
  <si>
    <t>Classe do Item: Moedas Empilháveis</t>
  </si>
  <si>
    <t>Raridade: Moeda</t>
  </si>
  <si>
    <t>Orbe do Caos</t>
  </si>
  <si>
    <t>Tamanho da Pilha: 1/20</t>
  </si>
  <si>
    <t>Reforja um item raro com novas propriedades aleatórias</t>
  </si>
  <si>
    <t>Clique com o botão direito neste item e então clique com o botão esquerdo em um item raro para aplicar.</t>
  </si>
  <si>
    <t>Classe do Item: Item Monetário Aglomerável e Encaixável Delve</t>
  </si>
  <si>
    <t>Ressonador Caótico Primitivo</t>
  </si>
  <si>
    <t>Tamanho da Pilha: 1/10</t>
  </si>
  <si>
    <t>Requer 1 (unmet) Fóssil Encaixado</t>
  </si>
  <si>
    <t xml:space="preserve">Encaixes: D </t>
  </si>
  <si>
    <t>Reforja um item raro com novos modificadores aleatórios</t>
  </si>
  <si>
    <t>Todos os encaixes precisam ser preenchidos com fósseis antes deste item ser usado.</t>
  </si>
  <si>
    <t>Classe do Item: Cartas de Adivinhação</t>
  </si>
  <si>
    <t>Raridade: Carta de Adivinhação</t>
  </si>
  <si>
    <t>A Disposição Caótica</t>
  </si>
  <si>
    <t>5x Orbe do Caos</t>
  </si>
  <si>
    <t>Não se faz nada na vida, ela já está feita para você.</t>
  </si>
  <si>
    <t>Classe do Item: Amostras Metamorfas</t>
  </si>
  <si>
    <t>Raridade: Único</t>
  </si>
  <si>
    <t>Captão Clayborn, o Amaldiçoado's Cérebro</t>
  </si>
  <si>
    <t>Usos: Tiro D'alma</t>
  </si>
  <si>
    <t>Nível do Item: 80</t>
  </si>
  <si>
    <t>Derruba Itens Monetários adicionais</t>
  </si>
  <si>
    <t>Derruba Gemas com Qualidade adicional</t>
  </si>
  <si>
    <t>Derruba uma Arma Rara com 5 Encaixes Conectados</t>
  </si>
  <si>
    <t>Combine este com quatro outras amostras diferentes no Laboratório de Tane.</t>
  </si>
  <si>
    <t>Classe do Item: Mapas</t>
  </si>
  <si>
    <t>Raridade: Normal</t>
  </si>
  <si>
    <t>Mapa: Geodo Infestado</t>
  </si>
  <si>
    <t>Tier do Mapa: 13</t>
  </si>
  <si>
    <t>Área está infestada por Fungos (implicit)</t>
  </si>
  <si>
    <t>Os Modificadores de Quantidade de Itens do Mapa também afetam os Baús Blight em 20% de seu valor (implicit)</t>
  </si>
  <si>
    <t>Pode ser Ungido até 3 vezes (implicit)</t>
  </si>
  <si>
    <t>Habitantes Naturais desta área foram removidos (implicit)</t>
  </si>
  <si>
    <t>Viaje para este Mapa utilizando um Dispositivo de Mapas pessoal. Mapas só podem ser utilizados uma vez.</t>
  </si>
  <si>
    <t>Mapa: Celas Devastado</t>
  </si>
  <si>
    <t>Tier do Mapa: 15</t>
  </si>
  <si>
    <t>Nível do Item: 81</t>
  </si>
  <si>
    <t>Nível dos Monstros: 85 (implicit)</t>
  </si>
  <si>
    <t>200% mais Vida de Monstros (implicit)</t>
  </si>
  <si>
    <t>Velocidade de Movimento dos Monstros aumentada em 20% (implicit)</t>
  </si>
  <si>
    <t>Os Modificadores de Quantidade de Itens do Mapa também afetam os Baús Blight em 40% de seu valor (implicit)</t>
  </si>
  <si>
    <t>Pode ser Ungido até 9 vezes (implicit)</t>
  </si>
  <si>
    <t>Classe do Item: Plantas</t>
  </si>
  <si>
    <t>Planta: Repositório</t>
  </si>
  <si>
    <t>Alvo do Golpe: Gemas Diferentes</t>
  </si>
  <si>
    <t>Nível da Área: 74</t>
  </si>
  <si>
    <t>Alas Reveladas: 1/3</t>
  </si>
  <si>
    <t>Rotas de Escape Reveladas: 1/6</t>
  </si>
  <si>
    <t>Salas de Recompensas Reveladas: 2/15</t>
  </si>
  <si>
    <t>Requer Demolição (Nível 2)</t>
  </si>
  <si>
    <t>Requer Desarme de Armadilhas (Nível 1)</t>
  </si>
  <si>
    <t>Requer Agilidade (Nível 1)</t>
  </si>
  <si>
    <t>Nível do Item: 74</t>
  </si>
  <si>
    <t>Use Informações para descobrir Alas e Salas adicionais falando com certos NPCs no Porto dos Renegados. Dê esta Planta para Adiyah para embarcar no Grande Golpe.</t>
  </si>
  <si>
    <t>Classe do Item: Contratos</t>
  </si>
  <si>
    <t>Raridade: Mágico</t>
  </si>
  <si>
    <t>Contrato: Abrigo Iminente</t>
  </si>
  <si>
    <t>Alvo do Golpe: Montagem Enigmática C5 (Valor Moderado)</t>
  </si>
  <si>
    <t>Nível da Área: 6</t>
  </si>
  <si>
    <t>Requer Engenharia (Nível 1)</t>
  </si>
  <si>
    <t>Quantidade de Itens: +13% (augmented)</t>
  </si>
  <si>
    <t>Raridade de Itens: +8% (augmented)</t>
  </si>
  <si>
    <t>Redução do Nível de Alerta: +5% (augmented)</t>
  </si>
  <si>
    <t>Tempo Antes do Confinamento: +5% (augmented)</t>
  </si>
  <si>
    <t>Máximo de Reforços Vivos: +5% (augmented)</t>
  </si>
  <si>
    <t>Nível do Item: 6</t>
  </si>
  <si>
    <t>Velocidade do Serviço reduzida em 14%</t>
  </si>
  <si>
    <t>Gastei toda a fortuna da minha família na busca por este disposotivo. Montá-lo e ligá-lo é tudo que me resta.</t>
  </si>
  <si>
    <t>Dê este contrato para Adiyah no Porto dos Renegados para embarcar no Golpe.</t>
  </si>
  <si>
    <t>Classe do Item: Diários de Bordo Expedition</t>
  </si>
  <si>
    <t>Diário de Bordo Expedition</t>
  </si>
  <si>
    <t>Nível da Área: 76</t>
  </si>
  <si>
    <t>Nível do Item: 76</t>
  </si>
  <si>
    <t>Ruínas do Deserto</t>
  </si>
  <si>
    <t>Ordem do Cálice</t>
  </si>
  <si>
    <t>Quantidade dos Artefatos derrubados por Monstros aumentada em 10% (implicit)</t>
  </si>
  <si>
    <t>Área contém número de Restos aumentado em 23% (implicit)</t>
  </si>
  <si>
    <t>Túmulos de Guerra Karui</t>
  </si>
  <si>
    <t>Número de Explosivos aumentado em 40% (implicit)</t>
  </si>
  <si>
    <t>Área contém número de Marcadores de Monstros aumentado em 15% (implicit)</t>
  </si>
  <si>
    <t>Leve este item até Dannig em seu Refúgio para abrir portais para uma expedição.</t>
  </si>
  <si>
    <t>Mapa: Atol Célere</t>
  </si>
  <si>
    <t>Tier do Mapa: 16</t>
  </si>
  <si>
    <t>Quantidade de Itens: +19% (augmented)</t>
  </si>
  <si>
    <t>Raridade de Itens: +11% (augmented)</t>
  </si>
  <si>
    <t>Tamanho do Grupo de Monstros: +7% (augmented)</t>
  </si>
  <si>
    <t>Nível do Item: 84</t>
  </si>
  <si>
    <t>Velocidade de Movimento dos Monstros aumentada em 26%</t>
  </si>
  <si>
    <t>Velocidade de Ataque dos Monstros aumentada em 43%</t>
  </si>
  <si>
    <t>Velocidade de Conjuração dos Monstros aumentada em 38%</t>
  </si>
  <si>
    <t>Classe do Item: Fragmentos de Mapas</t>
  </si>
  <si>
    <t>Sacrifício ao Anoitecer</t>
  </si>
  <si>
    <t>Os Vaal nunca irão temer o pôr do sol.</t>
  </si>
  <si>
    <t>Pode ser utilizado em um Dispositivo de Mapas.</t>
  </si>
  <si>
    <t>Classe do Item: Memórias</t>
  </si>
  <si>
    <t>Memória de Niko dos Abismos</t>
  </si>
  <si>
    <t>Áreas contêm um Abismo adicional</t>
  </si>
  <si>
    <t>Abismos já estão completamente abertos</t>
  </si>
  <si>
    <t>Abismos contêm monstros do Além neste reino</t>
  </si>
  <si>
    <t>Clique com o botão direito nisso, então com o esquerdo em um Mapa completado em seu Atlas para aplicar esta memória.</t>
  </si>
  <si>
    <t>Não Modificável</t>
  </si>
  <si>
    <t>Classe do Item: Itens Mapas Variados</t>
  </si>
  <si>
    <t>Convite Contorcido</t>
  </si>
  <si>
    <t>Nível do Item: 83</t>
  </si>
  <si>
    <t>Modificadores a Quantidade de Itens afetam a quantidade de recompensas derrubadas pelo chefe (implicit)</t>
  </si>
  <si>
    <t>A Fome Infinita espera em um estômago cósmico onde</t>
  </si>
  <si>
    <t xml:space="preserve">civilizações inteiras são digeridas - mas não morrem </t>
  </si>
  <si>
    <t>Abra portais para Quimo Fervente usando este item em um Dispositivo de Mapas pessoal.</t>
  </si>
  <si>
    <t>Classe do Item: Frascos Híbridos</t>
  </si>
  <si>
    <t>Frasco Híbrido Sagrado Superior</t>
  </si>
  <si>
    <t>Qualidade: +18% (augmented)</t>
  </si>
  <si>
    <t>Recupera 1699 (augmented) de Vida por 5 Segundos</t>
  </si>
  <si>
    <t>Recupera 472 (augmented) de Mana por 5 Segundos</t>
  </si>
  <si>
    <t>Consome 20 de 40 Cargas na utilização</t>
  </si>
  <si>
    <t>Atualmente tem 0 Cargas</t>
  </si>
  <si>
    <t>Nível: 50</t>
  </si>
  <si>
    <t>Nível do Item: 77</t>
  </si>
  <si>
    <t>Clique com o botão direito para beber. Só é possível manter cargas no cinto. Recarrega conforme você mata monstros.</t>
  </si>
  <si>
    <t>Classe do Item: Frascos de Mana</t>
  </si>
  <si>
    <t>Frasco de Mana Eterno Superior</t>
  </si>
  <si>
    <t>Qualidade: +15% (augmented)</t>
  </si>
  <si>
    <t>Recupera 2070 (augmented) de Mana por 7 Segundos</t>
  </si>
  <si>
    <t>Consome 8 de 42 Cargas na utilização</t>
  </si>
  <si>
    <t>Nível: 65</t>
  </si>
  <si>
    <t>Nível do Item: 70</t>
  </si>
  <si>
    <t>Classe do Item: Frascos de Vida</t>
  </si>
  <si>
    <t>Frasco de Vida Eterno Superior</t>
  </si>
  <si>
    <t>Qualidade: +8% (augmented)</t>
  </si>
  <si>
    <t>Recupera 2246 (augmented) de Vida por 2 Segundos</t>
  </si>
  <si>
    <t>Consome 15 de 45 Cargas na utilização</t>
  </si>
  <si>
    <t>Nível do Item: 68</t>
  </si>
  <si>
    <t>Classe do Item: Frascos de Utilidade</t>
  </si>
  <si>
    <t>Frasco de Prata do Erudito do Pangolim</t>
  </si>
  <si>
    <t>Qualidade: +2% (augmented)</t>
  </si>
  <si>
    <t>Dura 6.10 (augmented) Segundos</t>
  </si>
  <si>
    <t>Consome 32 (augmented) de 60 Cargas na utilização</t>
  </si>
  <si>
    <t>Agressividade</t>
  </si>
  <si>
    <t>Nível: 46</t>
  </si>
  <si>
    <t>Nível do Item: 63</t>
  </si>
  <si>
    <t>Cargas reduzidas em 18% por uso</t>
  </si>
  <si>
    <t>Armadura aumentada em 53% durante o Efeito</t>
  </si>
  <si>
    <t>Classe do Item: Amuletos</t>
  </si>
  <si>
    <t>Colar de Bisco</t>
  </si>
  <si>
    <t>Amuleto de Ouro</t>
  </si>
  <si>
    <t>Nível: 30</t>
  </si>
  <si>
    <t>Nível do Item: 75</t>
  </si>
  <si>
    <t>Raridade de Itens encontrados aumentada em 20% (implicit)</t>
  </si>
  <si>
    <t>Quantidade de Itens Derrubados por Inimigos Mágicos Mortos aumentada em 146%</t>
  </si>
  <si>
    <t>Quantidade de Itens Derrubados por Inimigos Normais Mortos aumentada em 39%</t>
  </si>
  <si>
    <t>Amizade mede seu peso em ouro,</t>
  </si>
  <si>
    <t>um tesouro a cada dia.</t>
  </si>
  <si>
    <t>Pensei que cresceríamos juntos,</t>
  </si>
  <si>
    <t>até que o destino lhe levou embora.</t>
  </si>
  <si>
    <t>Único Laminado (Por do Sol)</t>
  </si>
  <si>
    <t>Classe do Item: Anéis</t>
  </si>
  <si>
    <t>Anel de Paua</t>
  </si>
  <si>
    <t>+24 de Mana máxima (implicit)</t>
  </si>
  <si>
    <t>Não Identificado</t>
  </si>
  <si>
    <t>Classe do Item: Elmos</t>
  </si>
  <si>
    <t>Elmo Ezomita com Visor</t>
  </si>
  <si>
    <t>Nível: 60</t>
  </si>
  <si>
    <t xml:space="preserve">Encaixes: R-R </t>
  </si>
  <si>
    <t>Nível do Item: 85</t>
  </si>
  <si>
    <t>+21 de todos Atributos</t>
  </si>
  <si>
    <t>Adiciona 40 a 60 de Dano Físico em Ataques</t>
  </si>
  <si>
    <t>+112% ao Multiplicador de Crítico Corpo a Corpo</t>
  </si>
  <si>
    <t>Armadura aumentada em 103%</t>
  </si>
  <si>
    <t>Dano Físico recebido aumentado em 49%</t>
  </si>
  <si>
    <t>Quando você matar todos os seus inimigos,</t>
  </si>
  <si>
    <t>o que sobra para temer?</t>
  </si>
  <si>
    <t>Classe do Item: Peitorais</t>
  </si>
  <si>
    <t>Jaqueta de Carcaça</t>
  </si>
  <si>
    <t>Casaco Envernizado</t>
  </si>
  <si>
    <t>Evasão: 964 (augmented)</t>
  </si>
  <si>
    <t>Escudo de Energia: 197 (augmented)</t>
  </si>
  <si>
    <t xml:space="preserve">Encaixes: B-B </t>
  </si>
  <si>
    <t>Evasão e Escudo de Energia aumentados em 149%</t>
  </si>
  <si>
    <t>+51 de Vida máxima</t>
  </si>
  <si>
    <t>+11% de todas Resistências Elementais</t>
  </si>
  <si>
    <t>Área de Efeito aumentada em 47%</t>
  </si>
  <si>
    <t>Dano em Área aumentado em 42%</t>
  </si>
  <si>
    <t>Sanguinolência Extra</t>
  </si>
  <si>
    <t>...O desconforto exibido pelos outros me diverte, mas_x000D_
é inegável que meu trabalho causou uma bela impressão...</t>
  </si>
  <si>
    <t>Classe do Item: Escudos</t>
  </si>
  <si>
    <t>Parede de Névoa</t>
  </si>
  <si>
    <t>Broquel Laqueado</t>
  </si>
  <si>
    <t>Chance de Bloquear: 24%</t>
  </si>
  <si>
    <t>Evasão: 1154 (augmented)</t>
  </si>
  <si>
    <t xml:space="preserve">Encaixes: R </t>
  </si>
  <si>
    <t>Velocidade de Movimento aumentada em 6% (implicit)</t>
  </si>
  <si>
    <t>Evasão aumentada em 142%</t>
  </si>
  <si>
    <t>Velocidade de Movimento aumentada em 10%</t>
  </si>
  <si>
    <t>+16% de Resistências a Fogo e Gelo</t>
  </si>
  <si>
    <t>+10% de chance de Evitar Dano Elemental dos Acertos enquanto Trespassando</t>
  </si>
  <si>
    <t>Você está na Chance Máxima de Bloquear o Dano de Ataques caso não tenha Bloqueado Recentemente</t>
  </si>
  <si>
    <t>Você tem Trespassar caso tenha Bloqueado Recentemente</t>
  </si>
  <si>
    <t>Leve como uma tábua,</t>
  </si>
  <si>
    <t>Rígido como uma pluma.</t>
  </si>
  <si>
    <t>Classe do Item: Adagas Rúnicas</t>
  </si>
  <si>
    <t>Vento Branco</t>
  </si>
  <si>
    <t>Adaga Imperial</t>
  </si>
  <si>
    <t>Adaga Rúnica</t>
  </si>
  <si>
    <t>Dano Físico: 18-73</t>
  </si>
  <si>
    <t>Dano Elemental: 167-304 (augmented)</t>
  </si>
  <si>
    <t>Chance de Crítico: 6.30%</t>
  </si>
  <si>
    <t>Ataques por Segundo: 1.68 (augmented)</t>
  </si>
  <si>
    <t>Alcance da Arma: 1 metro</t>
  </si>
  <si>
    <t>Nível: 66</t>
  </si>
  <si>
    <t xml:space="preserve">Encaixes: B </t>
  </si>
  <si>
    <t>Chance Global de Crítico aumentada em 30% (implicit)</t>
  </si>
  <si>
    <t>Adiciona 167 a 304 de Dano de Gelo</t>
  </si>
  <si>
    <t>Velocidade de Ataque aumentada em 12%</t>
  </si>
  <si>
    <t>+368 de Evasão</t>
  </si>
  <si>
    <t>Dano de Gelo aumentado em 100% enquanto sua Mão Secundário estiver vazia</t>
  </si>
  <si>
    <t>+20% de chance de Suprimir Dano Mágico enquanto sua Mão Secundária estiver vazia</t>
  </si>
  <si>
    <t>Os Maraketh possuem poucos medos,</t>
  </si>
  <si>
    <t>mas eles não se atrevem a sussurrar o nome</t>
  </si>
  <si>
    <t>do demônio que paira na geada Invernal.</t>
  </si>
  <si>
    <t>Raridade: Raro</t>
  </si>
  <si>
    <t>Charme Espinheiro</t>
  </si>
  <si>
    <t>Amuleto de Âmbar</t>
  </si>
  <si>
    <t>Nível: 54</t>
  </si>
  <si>
    <t>+22 de Força (implicit)</t>
  </si>
  <si>
    <t>+8 de Inteligência</t>
  </si>
  <si>
    <t>Inteligência aumentada em 6%</t>
  </si>
  <si>
    <t>Adiciona 3 a 6 de Dano Físico em Ataques</t>
  </si>
  <si>
    <t>+13% de Resistência a Raio</t>
  </si>
  <si>
    <t>Item do Cruzado</t>
  </si>
  <si>
    <t>Classe do Item: Botas</t>
  </si>
  <si>
    <t>Esporão Bestial</t>
  </si>
  <si>
    <t>Botas Carnais</t>
  </si>
  <si>
    <t>Evasão: 129 (augmented)</t>
  </si>
  <si>
    <t>Escudo de Energia: 31 (augmented)</t>
  </si>
  <si>
    <t>Nível: 55</t>
  </si>
  <si>
    <t xml:space="preserve">Encaixes: G-B-B-G </t>
  </si>
  <si>
    <t>Gemas Encaixadas são Suportadas por Fortificar nível 20</t>
  </si>
  <si>
    <t>Requisito de Nível reduzido em 32%</t>
  </si>
  <si>
    <t>+22 de Evasão</t>
  </si>
  <si>
    <t>+9 de Escudo de Energia máximo</t>
  </si>
  <si>
    <t>59.2 de Vida Regenerada por segundo</t>
  </si>
  <si>
    <t>Raridade de Itens encontrados aumentada em 14%</t>
  </si>
  <si>
    <t>Item do Ancião</t>
  </si>
  <si>
    <t>Arranque da Dor</t>
  </si>
  <si>
    <t>Botas de Chagrém</t>
  </si>
  <si>
    <t>Evasão: 195</t>
  </si>
  <si>
    <t xml:space="preserve">Encaixes: B G </t>
  </si>
  <si>
    <t>Nível do Item: 79</t>
  </si>
  <si>
    <t>+19 de Destreza</t>
  </si>
  <si>
    <t>+85 de Vida máxima</t>
  </si>
  <si>
    <t>Velocidade de Movimento aumentada em 25%</t>
  </si>
  <si>
    <t>Sangramentos infligidos por você causam Dano 9% mais rápido</t>
  </si>
  <si>
    <t>Item do Caçador</t>
  </si>
  <si>
    <t>Laço da Mágoa</t>
  </si>
  <si>
    <t>Anel de Topázio</t>
  </si>
  <si>
    <t>Nível: 67</t>
  </si>
  <si>
    <t>+21% de Resistência a Raio (implicit)</t>
  </si>
  <si>
    <t>Regeneração de Mana aumentada em 32%</t>
  </si>
  <si>
    <t>Raridade de Itens encontrados aumentada em 27%</t>
  </si>
  <si>
    <t>+44% de Resistência a Fogo</t>
  </si>
  <si>
    <t>Amaldiçoa Inimigos com Congelabilidade ao Acertar</t>
  </si>
  <si>
    <t>+50 de Mana máxima (crafted)</t>
  </si>
  <si>
    <t>Item do Redentor</t>
  </si>
  <si>
    <t>Escudo Triangular do Arconte</t>
  </si>
  <si>
    <t>Chance de Bloquear: 22%</t>
  </si>
  <si>
    <t>Escudo de Energia: 32</t>
  </si>
  <si>
    <t xml:space="preserve">Encaixes: R R R </t>
  </si>
  <si>
    <t>+12% de todas Resistências Elementais (implicit)</t>
  </si>
  <si>
    <t>Item do Criador</t>
  </si>
  <si>
    <t>Placas Astrais Espinhosas das Conquistas</t>
  </si>
  <si>
    <t>Qualidade: +30% (augmented)</t>
  </si>
  <si>
    <t xml:space="preserve">Encaixes: W-W-W-W-W-W </t>
  </si>
  <si>
    <t>Nível do Item: 100</t>
  </si>
  <si>
    <t>Item é vendido por muito mais para os vendedores (implicit)</t>
  </si>
  <si>
    <t>+17% de todas Resistências Elementais</t>
  </si>
  <si>
    <t>Reflete 6 de Dano Físico para Agressores Corpo a Corpo</t>
  </si>
  <si>
    <t>Item do Senhor da Guerra</t>
  </si>
  <si>
    <t>Classe do Item: Joias Abissais</t>
  </si>
  <si>
    <t>EsferaOca</t>
  </si>
  <si>
    <t>Joia do Olho Assassino</t>
  </si>
  <si>
    <t>Abissal</t>
  </si>
  <si>
    <t>Evasão aumentada em 30% enquanto movendo-se (fractured)</t>
  </si>
  <si>
    <t>Adiciona 11 a 20 de Dano de Caos em Ataques</t>
  </si>
  <si>
    <t>+35 de Mana máxima</t>
  </si>
  <si>
    <t>Coloque-a em um Encaixe Abissal em um Item ou em um Encaixe de Joia alocado na Árvore de Habilidades Passivas. Clique com o botão direito para removê-la do Encaixe.</t>
  </si>
  <si>
    <t>Item Fixado</t>
  </si>
  <si>
    <t>Classe do Item: Cintos</t>
  </si>
  <si>
    <t>Amanhecer Dyadiano</t>
  </si>
  <si>
    <t>Cinto Pesado</t>
  </si>
  <si>
    <t>Nível: 52</t>
  </si>
  <si>
    <t>+25 de Força (implicit)</t>
  </si>
  <si>
    <t>+73 de Vida máxima</t>
  </si>
  <si>
    <t>+29% de Resistência a Fogo</t>
  </si>
  <si>
    <t>+32% de Resistência a Gelo</t>
  </si>
  <si>
    <t>1% do Dano de Ataques contra Inimigos Resfriados é Drenado como Vida</t>
  </si>
  <si>
    <t>Incêndios infligidos por você com Ataques causam Dano 35% mais rápido</t>
  </si>
  <si>
    <t>Não causa Dano Físico</t>
  </si>
  <si>
    <t>Com sua vontade gélida</t>
  </si>
  <si>
    <t>E sacrifício ardente,</t>
  </si>
  <si>
    <t>erguem-se os gêmeos Eternos.</t>
  </si>
  <si>
    <t>Sede de Viajar</t>
  </si>
  <si>
    <t>Sapatos de Lã</t>
  </si>
  <si>
    <t>Escudo de Energia: 22 (augmented)</t>
  </si>
  <si>
    <t xml:space="preserve">Encaixes: G-B-B B </t>
  </si>
  <si>
    <t>+5 de Destreza</t>
  </si>
  <si>
    <t>+17 de Escudo de Energia máximo</t>
  </si>
  <si>
    <t>Regeneração de Mana aumentada em 37%</t>
  </si>
  <si>
    <t>Velocidade de Movimento aumentada em 20%</t>
  </si>
  <si>
    <t>Não pode ser Congelado</t>
  </si>
  <si>
    <t>O mundo inteiro é meu lar.</t>
  </si>
  <si>
    <t>Classe do Item: Luvas</t>
  </si>
  <si>
    <t>Manoplas de Escamas de Serpente</t>
  </si>
  <si>
    <t>Evasão: 78</t>
  </si>
  <si>
    <t>Nível: 43</t>
  </si>
  <si>
    <t xml:space="preserve">Encaixes: R-R-G </t>
  </si>
  <si>
    <t>+25 de Força</t>
  </si>
  <si>
    <t>Dano Degenerativo aumentado em 25%</t>
  </si>
  <si>
    <t>Ataques têm 25% de chance de causar Sangramento</t>
  </si>
  <si>
    <t>Dano de Ataques contra Inimigos com Sangramento aumentado em 34%</t>
  </si>
  <si>
    <t>Inimigos com Sangramento Explodem quando você matá-los,</t>
  </si>
  <si>
    <t>causando 5% de suas Vidas Máximas com Dano Físico</t>
  </si>
  <si>
    <t>Duração do Sangramento reduzida em 25%</t>
  </si>
  <si>
    <t>Um mestre artista usa seu tempo ao fazer suas pinturas._x000D_
Infelizmente, o meu tipo geralmente não tem esse luxo.</t>
  </si>
  <si>
    <t>Classe do Item: Arcos</t>
  </si>
  <si>
    <t>Nuvem de Tempestade</t>
  </si>
  <si>
    <t>Arco Longo</t>
  </si>
  <si>
    <t>Dano Elemental: 1-85 (augmented)</t>
  </si>
  <si>
    <t>Chance de Crítico: 6.00%</t>
  </si>
  <si>
    <t>Ataques por Segundo: 1.93 (augmented)</t>
  </si>
  <si>
    <t>Nível: 9</t>
  </si>
  <si>
    <t xml:space="preserve">Encaixes: G </t>
  </si>
  <si>
    <t>Nível do Item: 73</t>
  </si>
  <si>
    <t>Sem Dano Físico</t>
  </si>
  <si>
    <t>Adiciona 1 a 85 de Dano de Raio</t>
  </si>
  <si>
    <t>Velocidade de Ataque aumentada em 48%</t>
  </si>
  <si>
    <t>Séculos de desenvolvimento de armaduras em aço</t>
  </si>
  <si>
    <t>tornaram os exércitos do Império Eterno</t>
  </si>
  <si>
    <t>em para-raios muito eficientes.</t>
  </si>
  <si>
    <t>Classe do Item: Adagas</t>
  </si>
  <si>
    <t>Broca Sanguinolenta</t>
  </si>
  <si>
    <t>Faca de Esfola</t>
  </si>
  <si>
    <t>Adaga</t>
  </si>
  <si>
    <t>Dano Físico: 8-31 (augmented)</t>
  </si>
  <si>
    <t>Chance de Crítico: 7.80% (augmented)</t>
  </si>
  <si>
    <t>Ataques por Segundo: 1.45</t>
  </si>
  <si>
    <t>Nível: 5</t>
  </si>
  <si>
    <t xml:space="preserve">Encaixes: G-G </t>
  </si>
  <si>
    <t>+14 de Destreza</t>
  </si>
  <si>
    <t>Dano Físico aumentado em 57%</t>
  </si>
  <si>
    <t>Adiciona 1 a 3 de Dano Físico</t>
  </si>
  <si>
    <t>Chance de Crítico aumentada em 30%</t>
  </si>
  <si>
    <t>Dano de Ataques contra Inimigos com Sangramento aumentado em 40%</t>
  </si>
  <si>
    <t>50% de chance de causar Sangramento com Golpes Críticos</t>
  </si>
  <si>
    <t>Tapinha no ombro</t>
  </si>
  <si>
    <t>Beijinho no rosto</t>
  </si>
  <si>
    <t>Golinho de vinho</t>
  </si>
  <si>
    <t>Vermelho e lustroso</t>
  </si>
  <si>
    <t>Classe do Item: Joias</t>
  </si>
  <si>
    <t>Joia Carmesim</t>
  </si>
  <si>
    <t>Força aumentada em 5%</t>
  </si>
  <si>
    <t>Destreza aumentada em 6%</t>
  </si>
  <si>
    <t>Inteligência reduzida em 15%</t>
  </si>
  <si>
    <t>Seja paciente, fala todos seus planos._x000D_
E então me diga qual plano_x000D_
puxará meu machado de suas costelas.</t>
  </si>
  <si>
    <t>Coloque-a em um Encaixe de Joias alocado na Árvore de Habilidades Passivas. Clique com o botão direito para removê-la do Encaixe.</t>
  </si>
  <si>
    <t>Classe do Item: Aljavas</t>
  </si>
  <si>
    <t>Retaguarda</t>
  </si>
  <si>
    <t>Aljava de Flechas de Ponta Larga</t>
  </si>
  <si>
    <t>Nível: 28</t>
  </si>
  <si>
    <t>Nível do Item: 82</t>
  </si>
  <si>
    <t>Adiciona 6 a 12 de Dano Físico aos Ataques com Arco (implicit)</t>
  </si>
  <si>
    <t>24% de Chance de Bloquear o Dano de Ataques</t>
  </si>
  <si>
    <t>15% de Chance de Bloquear o Dano Mágico</t>
  </si>
  <si>
    <t>+421 de Armadura</t>
  </si>
  <si>
    <t>Velocidade do Projétil aumentada em 20%</t>
  </si>
  <si>
    <t>Recuperação de Atordoamentos e Bloqueios aumentada em 50%</t>
  </si>
  <si>
    <t>Dano de Projétil aumentado em 19%</t>
  </si>
  <si>
    <t>O homem que possui olhos atrás da cabeça é um homem raro.</t>
  </si>
  <si>
    <t>Classe do Item: Cetros</t>
  </si>
  <si>
    <t>Sonho Cruel</t>
  </si>
  <si>
    <t>Cetro Sombrio</t>
  </si>
  <si>
    <t>Dano Físico: 29-44</t>
  </si>
  <si>
    <t>Chance de Crítico: 6.20%</t>
  </si>
  <si>
    <t>Ataques por Segundo: 1.25</t>
  </si>
  <si>
    <t>Alcance da Arma: 1.1 metros</t>
  </si>
  <si>
    <t>Nível: 32</t>
  </si>
  <si>
    <t xml:space="preserve">Encaixes: B-R </t>
  </si>
  <si>
    <t>Dano Elemental aumentado em 22% (implicit)</t>
  </si>
  <si>
    <t>Gemas Encaixadas são Suportadas por Hipotermia nível 1</t>
  </si>
  <si>
    <t>Gemas Encaixadas são Suportadas por Mordida Congelante nível 1</t>
  </si>
  <si>
    <t>Gemas Encaixadas são Suportadas por Penetração de Gelo nível 1</t>
  </si>
  <si>
    <t>Gemas Encaixadas são Suportadas por Dreno de Mana nível 1</t>
  </si>
  <si>
    <t>Gemas Encaixadas são Suportadas por Dano Adicional de Gelo nível 10</t>
  </si>
  <si>
    <t>Gemas Encaixadas são Suportadas por Inspiração Nível 1</t>
  </si>
  <si>
    <t>Não enfrente o frio</t>
  </si>
  <si>
    <t>Abandone a esperança</t>
  </si>
  <si>
    <t>Fique quietinho.</t>
  </si>
  <si>
    <t>Classe do Item: Cajados</t>
  </si>
  <si>
    <t>Bobina do Charco</t>
  </si>
  <si>
    <t>Ramo Torcido</t>
  </si>
  <si>
    <t>Cajado</t>
  </si>
  <si>
    <t>Dano Físico: 9-19</t>
  </si>
  <si>
    <t>Ataques por Segundo: 1.30</t>
  </si>
  <si>
    <t>Alcance da Arma: 1.3 metros</t>
  </si>
  <si>
    <t>+18% de Chance de Bloquear o Dano de Ataques enquanto portando um Cajado (implicit)</t>
  </si>
  <si>
    <t>Gemas Encaixadas são Suportadas por Armadilha nível 8</t>
  </si>
  <si>
    <t>45% de aumento do Dano Físico Global</t>
  </si>
  <si>
    <t>Vida máxima aumentada em 18%</t>
  </si>
  <si>
    <t>Mana máxima aumentada em 11%</t>
  </si>
  <si>
    <t>Quando você é uma raiz num pântano, não há nada o que temer</t>
  </si>
  <si>
    <t>Classe do Item: Varinhas</t>
  </si>
  <si>
    <t>Vergôntea</t>
  </si>
  <si>
    <t>Varinha de Madeira Balsa</t>
  </si>
  <si>
    <t>Varinha</t>
  </si>
  <si>
    <t>Dano Físico: 5-9</t>
  </si>
  <si>
    <t>Chance de Crítico: 7.00%</t>
  </si>
  <si>
    <t>Ataques por Segundo: 1.40</t>
  </si>
  <si>
    <t>Dano Mágico aumentado em 12% (implicit)</t>
  </si>
  <si>
    <t>+1 ao Nível das Gemas Mágicas Encaixadas</t>
  </si>
  <si>
    <t>Dano Mágico aumentado em 26%</t>
  </si>
  <si>
    <t>Velocidade de Conjuração aumentada em 6%</t>
  </si>
  <si>
    <t>+16 de Vida máxima</t>
  </si>
  <si>
    <t>+19 de Mana máxima</t>
  </si>
  <si>
    <t>Regenera 7 da Vida por 1 segundo quando você Conjurar uma Magia</t>
  </si>
  <si>
    <t>Das menores sementes</t>
  </si>
  <si>
    <t>Às maiores sequoias,</t>
  </si>
  <si>
    <t>a Vida dura em Wraeclast.</t>
  </si>
  <si>
    <t>Classe do Item: Cajados de Guerra</t>
  </si>
  <si>
    <t>Forja-Reino</t>
  </si>
  <si>
    <t>Cajado de Ferro</t>
  </si>
  <si>
    <t>Cajado de Guerra</t>
  </si>
  <si>
    <t>Dano Físico: 14-42</t>
  </si>
  <si>
    <t>Dano Elemental: 13-25 (augmented), 13-24 (augmented)</t>
  </si>
  <si>
    <t>Chance de Crítico: 6.40%</t>
  </si>
  <si>
    <t>Nível: 13</t>
  </si>
  <si>
    <t>+1 ao Nível das Gemas de Fogo Encaixadas</t>
  </si>
  <si>
    <t>+1 ao Nível das Gemas de Gelo Encaixadas</t>
  </si>
  <si>
    <t>Gemas Encaixadas são Suportadas por Gelo para Fogo nível 5</t>
  </si>
  <si>
    <t>Adiciona 13 a 25 de Dano de Fogo</t>
  </si>
  <si>
    <t>Adiciona 13 a 24 de Dano de Gelo</t>
  </si>
  <si>
    <t>Dano Elemental aumentado em 48%</t>
  </si>
  <si>
    <t>As criações de Deus sempre começam e terminam_x000D_
com fogo e frio._x000D_
Somos sortudos quando não testemunhamos nem um nem outro.</t>
  </si>
  <si>
    <t>Classe do Item: Espadas de Uma Mão</t>
  </si>
  <si>
    <t>Espada do Corsário</t>
  </si>
  <si>
    <t>Espada de Uma Mão</t>
  </si>
  <si>
    <t>Dano Físico: 55-183 (augmented)</t>
  </si>
  <si>
    <t>Chance de Crítico: 5.00%</t>
  </si>
  <si>
    <t>Ataques por Segundo: 1.91 (augmented)</t>
  </si>
  <si>
    <t>Nível: 58</t>
  </si>
  <si>
    <t xml:space="preserve">Encaixes: R B G </t>
  </si>
  <si>
    <t>Nível do Item: 78</t>
  </si>
  <si>
    <t>40% de aumento da Precisão Global (implicit)</t>
  </si>
  <si>
    <t>Dano Físico aumentado em 85%</t>
  </si>
  <si>
    <t>Adiciona 10 a 19 de Dano Físico</t>
  </si>
  <si>
    <t>Velocidade de Ataque aumentada em 23%</t>
  </si>
  <si>
    <t>Efeito de Buffs em você aumentado em 10%</t>
  </si>
  <si>
    <t>Eficácia da Reserva de Mana de Habilidades aumentada em 10%</t>
  </si>
  <si>
    <t>Buffs de Auras Aliadas não afetam você</t>
  </si>
  <si>
    <t>Os Buffs das Suas Auras não afetam aliados</t>
  </si>
  <si>
    <t>Domine-se antes de tentar dominar outros.</t>
  </si>
  <si>
    <t>Classe do Item: Espadas de Estocada de Uma Mão</t>
  </si>
  <si>
    <t>Rapieira de Cesta</t>
  </si>
  <si>
    <t>Dano Físico: 27-62 (augmented)</t>
  </si>
  <si>
    <t>Chance de Crítico: 5.50%</t>
  </si>
  <si>
    <t>Ataques por Segundo: 1.55</t>
  </si>
  <si>
    <t>Alcance da Arma: 1.4 metros</t>
  </si>
  <si>
    <t>Nível: 17</t>
  </si>
  <si>
    <t xml:space="preserve">Encaixes: G R-G </t>
  </si>
  <si>
    <t>+25% ao Multiplicador Global de Crítico (implicit)</t>
  </si>
  <si>
    <t>Dano Físico aumentado em 149%</t>
  </si>
  <si>
    <t>Raridade de Itens encontrados reduzida em 20%</t>
  </si>
  <si>
    <t>+57% de todas Resistências Elementais</t>
  </si>
  <si>
    <t>Concede 3 de Vida por Inimigo Acertado</t>
  </si>
  <si>
    <t>Muitos colecionadores de raridades descobrem,</t>
  </si>
  <si>
    <t>para seu terror, que o espírito inteligente desta espada</t>
  </si>
  <si>
    <t>não aceita dividir a atenção do se mestre</t>
  </si>
  <si>
    <t>Classe do Item: Espadas de Duas Mãos</t>
  </si>
  <si>
    <t>Espada do Tigre</t>
  </si>
  <si>
    <t>Espada de Duas Mãos</t>
  </si>
  <si>
    <t>Dano Físico: 192-316 (augmented)</t>
  </si>
  <si>
    <t>Chance de Crítico: 7.90% (augmented)</t>
  </si>
  <si>
    <t>Nível: 51</t>
  </si>
  <si>
    <t xml:space="preserve">Encaixes: G R </t>
  </si>
  <si>
    <t>+360 de Precisão (implicit)</t>
  </si>
  <si>
    <t>Dano Físico aumentado em 255%</t>
  </si>
  <si>
    <t>Velocidade de Ataque aumentada em 20%</t>
  </si>
  <si>
    <t>Chance de Crítico aumentada em 58%</t>
  </si>
  <si>
    <t>Ganha 10 de Mana por Inimigo Morto</t>
  </si>
  <si>
    <t>Receba uma Carga de Frenesi ao acertar um Golpe Crítico</t>
  </si>
  <si>
    <t>Sua última sensação foi da lâmina do executor.</t>
  </si>
  <si>
    <t>Não era fria, mas sim quente e decisiva,</t>
  </si>
  <si>
    <t>murmurando uma promessa de tempos melhores a vir.</t>
  </si>
  <si>
    <t>Sorrindo, ele retribuiu o abraço da morte.</t>
  </si>
  <si>
    <t>Classe do Item: Machados de Uma Mão</t>
  </si>
  <si>
    <t>Machado Infernal</t>
  </si>
  <si>
    <t>Machado de Uma Mão</t>
  </si>
  <si>
    <t>Dano Físico: 51-85</t>
  </si>
  <si>
    <t>Dano Elemental: 276-323 (augmented), 282-315 (augmented)</t>
  </si>
  <si>
    <t>Ataques por Segundo: 1.45 (augmented)</t>
  </si>
  <si>
    <t>Nível: 69</t>
  </si>
  <si>
    <t xml:space="preserve">Encaixes: R-G </t>
  </si>
  <si>
    <t>Adiciona 276 a 323 de Dano de Fogo na Mão Principal</t>
  </si>
  <si>
    <t>Adiciona 282 a 315 de Dano de Gelo na Mão Secundária</t>
  </si>
  <si>
    <t>Velocidade de Ataque aumentada em 11%</t>
  </si>
  <si>
    <t>25% de chance de Incendiar quando na Mão Principal</t>
  </si>
  <si>
    <t>100% de aumento do Dano com Incêndio causado em Inimigos Resfriados</t>
  </si>
  <si>
    <t>Resfria Inimigos por 1 segundo ao Acertar com esta Arma na Mão Secundária</t>
  </si>
  <si>
    <t>Nascido do amor, forjado no sangue</t>
  </si>
  <si>
    <t>Ele queimou como uma tocha na noite mais negra</t>
  </si>
  <si>
    <t>Ela brilhou como gelo no sol do inverno</t>
  </si>
  <si>
    <t>Orgulhosa, feroz</t>
  </si>
  <si>
    <t>Ao lado de sua mãe, eternamente.</t>
  </si>
  <si>
    <t>Classe do Item: Machados de Duas Mãos</t>
  </si>
  <si>
    <t>Desmembrador</t>
  </si>
  <si>
    <t>Cortador de Madeira</t>
  </si>
  <si>
    <t>Machado de Duas Mãos</t>
  </si>
  <si>
    <t>Dano Físico: 45-91 (augmented)</t>
  </si>
  <si>
    <t>+1 ao Nível das Gemas de Força Encaixadas</t>
  </si>
  <si>
    <t>+27 de Força</t>
  </si>
  <si>
    <t>Dano Físico aumentado em 86%</t>
  </si>
  <si>
    <t>Adiciona 5 a 10 de Dano Físico</t>
  </si>
  <si>
    <t>Golpe de Misericórdia</t>
  </si>
  <si>
    <t>Golpeando pelo ar, cantando de</t>
  </si>
  <si>
    <t>coisas quebradas, cortadas, perdidas.</t>
  </si>
  <si>
    <t>Classe do Item: Maças de Uma Mão</t>
  </si>
  <si>
    <t>Hálito Gélido</t>
  </si>
  <si>
    <t>Maça Ornamentada</t>
  </si>
  <si>
    <t>Maça de Uma Mão</t>
  </si>
  <si>
    <t>Dano Físico: 83-105 (augmented)</t>
  </si>
  <si>
    <t>Dano Elemental: 31-40 (augmented)</t>
  </si>
  <si>
    <t>Ataques por Segundo: 1.36 (augmented)</t>
  </si>
  <si>
    <t>Ponto de Atordoamento Inimigo reduzido em 15% (implicit)</t>
  </si>
  <si>
    <t>Adiciona 30 a 38 de Dano Físico</t>
  </si>
  <si>
    <t>Adiciona 31 a 40 de Dano de Gelo</t>
  </si>
  <si>
    <t>Velocidade de Ataque aumentada em 13%</t>
  </si>
  <si>
    <t>+50% de Resistência a Fogo</t>
  </si>
  <si>
    <t>Duração do Resfriamento em Inimigos aumentada em 39%</t>
  </si>
  <si>
    <t>Ataques com essa Arma causam Dano dobrado em Inimigos Congelados</t>
  </si>
  <si>
    <t>Um assassino misericordioso foi varrido das ruas de Sarn</t>
  </si>
  <si>
    <t>Roubando o fôlego dos fracos e inúteis.</t>
  </si>
  <si>
    <t>Classe do Item: Maças de Duas Mãos</t>
  </si>
  <si>
    <t>Lar do Além</t>
  </si>
  <si>
    <t>Marreta Horrenda</t>
  </si>
  <si>
    <t>Maça de Duas Mãos</t>
  </si>
  <si>
    <t>Dano Físico: 193-260 (augmented)</t>
  </si>
  <si>
    <t>Ataques por Segundo: 1.88 (augmented)</t>
  </si>
  <si>
    <t xml:space="preserve">Encaixes: R R-R </t>
  </si>
  <si>
    <t>Duração de Atordoamentos em Inimigos aumentada em 30% (implicit)</t>
  </si>
  <si>
    <t>Dano Físico aumentado em 150%</t>
  </si>
  <si>
    <t>Velocidade de Ataque aumentada em 50%</t>
  </si>
  <si>
    <t>Raridade de Itens encontrados reduzida em 50%</t>
  </si>
  <si>
    <t>Experiência adquirida reduzida em 35%</t>
  </si>
  <si>
    <t>0.4% do Dano de Ataques Físicos é Drenado como Mana</t>
  </si>
  <si>
    <t>Maldita é a estrela de onde veio.</t>
  </si>
  <si>
    <t>Classe do Item: Broches Heist</t>
  </si>
  <si>
    <t>Pescoceira do Horror</t>
  </si>
  <si>
    <t>Broche Prateado</t>
  </si>
  <si>
    <t>Qualquer membro Heist pode equipar este item.</t>
  </si>
  <si>
    <t>Nível 2 em Qualquer Tarefa</t>
  </si>
  <si>
    <t>Raridade de Itens derrubados em Golpes aumentada em 14% (implicit)</t>
  </si>
  <si>
    <t>Dano aumentado em 38%</t>
  </si>
  <si>
    <t>Baús Heist têm 7% de chance de Duplicarem os Orbes e Fragmentos do Delírio contidos</t>
  </si>
  <si>
    <t>Custo de Contratação reduzida em 7%</t>
  </si>
  <si>
    <t>Raridade de Itens derrubados em Golpes aumentada em 23%</t>
  </si>
  <si>
    <t>Só pode ser equipado em membros Heist.</t>
  </si>
  <si>
    <t>Classe do Item: Capas Heist</t>
  </si>
  <si>
    <t>Mortalha do Cadáver</t>
  </si>
  <si>
    <t>Manto Esfarrapado</t>
  </si>
  <si>
    <t>Nível 3 em Qualquer Tarefa</t>
  </si>
  <si>
    <t>Elevação do Nível de Alerta reduzida em 3% (implicit)</t>
  </si>
  <si>
    <t>Dano enquanto a área não estiver em Confinamento aumentado em 23%</t>
  </si>
  <si>
    <t>Jogadores causam Dano aumentado em 23% 23% enquanto a área não estiver em Confinamento</t>
  </si>
  <si>
    <t>Elevação do Nível de Alerta ao abrir Baús reduzida em 3%</t>
  </si>
  <si>
    <t>Classe do Item: Equipamento Heist</t>
  </si>
  <si>
    <t>Engrenagem da Fênix</t>
  </si>
  <si>
    <t>Pedra de Amolar Áspera</t>
  </si>
  <si>
    <t>Nível do Item: 71</t>
  </si>
  <si>
    <t>Dano Corpo a Corpo aumentado em 14% (implicit)</t>
  </si>
  <si>
    <t>12 a 20 de Dano de Gelo adicional</t>
  </si>
  <si>
    <t>Jogadores e seus Lacaios têm 12 a 20 de Dano de Gelo adicional</t>
  </si>
  <si>
    <t>Custo de Contratação reduzida em 6%</t>
  </si>
  <si>
    <t>Concede a Habilidade Orgulho Nível 5</t>
  </si>
  <si>
    <t>Classe do Item: Alvos Heist</t>
  </si>
  <si>
    <t>Crânio de Hominídeo com Presas</t>
  </si>
  <si>
    <t>Nível do Item: 27</t>
  </si>
  <si>
    <t>Se o crânio for real, e não forjado, então pode mostrar que meu povo não é a abominação que as pessoas acreditam. A palavra 'humano' pode ter um significado mais amplo.</t>
  </si>
  <si>
    <t>Pode ser trocado com Faustus, o Receptador no Porto dos Renegados</t>
  </si>
  <si>
    <t>Classe do Item: Ferramentas Heist</t>
  </si>
  <si>
    <t>Material do Tormento</t>
  </si>
  <si>
    <t>Chaveiro Essencial</t>
  </si>
  <si>
    <t>Este item pode ser equipado por:</t>
  </si>
  <si>
    <t>Vinderi, o Desmontador</t>
  </si>
  <si>
    <t>Tullina, a Ladina</t>
  </si>
  <si>
    <t>Isla, a Engenheira</t>
  </si>
  <si>
    <t>Nível 2 em Desarme de Armadilhas</t>
  </si>
  <si>
    <t>Velocidade de Desarmamento de Armadilhas aumentada em 4% (implicit)</t>
  </si>
  <si>
    <t>Cota do Círculo reduzida em 9%</t>
  </si>
  <si>
    <t>+2 segundos ao Contador de Confinamento</t>
  </si>
  <si>
    <t>Experiência de Serviço ganha aumentada em 3%</t>
  </si>
  <si>
    <t>Classe do Item: Adornos</t>
  </si>
  <si>
    <t>Conta do Apocalipse</t>
  </si>
  <si>
    <t>Adorno do Ladrão</t>
  </si>
  <si>
    <t>Nível: 40</t>
  </si>
  <si>
    <t>3% de chance de receber itens Breach adicionais ao abrir um Baú de Recompensas em um Golpe</t>
  </si>
  <si>
    <t>15% de chance de, em Golpes, Orbes da Alteração cairem como Orbes da Alquimia</t>
  </si>
  <si>
    <t>20% de chance de, em Golpes, Orbes Cromáticos cairem como Orbes da Fusão</t>
  </si>
  <si>
    <t>Você precisa encontrar a escultura O Truque no Covil do Contrabandista ou Planta das Entranhas para equipar isto</t>
  </si>
  <si>
    <t>Classe do Item: Varas de Pescar</t>
  </si>
  <si>
    <t>Perdição do Recife</t>
  </si>
  <si>
    <t>Vara de Pescar</t>
  </si>
  <si>
    <t>Dano Físico: 8-15</t>
  </si>
  <si>
    <t>Ataques por Segundo: 1.20</t>
  </si>
  <si>
    <t>Velocidade de Conjuração aumentada em 34%</t>
  </si>
  <si>
    <t>Isca Taumatúrgica</t>
  </si>
  <si>
    <t>Quantidade de Peixes Pescados aumentada em 15%</t>
  </si>
  <si>
    <t>Brilha enquanto estiver em uma área contendo um Peixe Único</t>
  </si>
  <si>
    <t>Ele se lançou oceano adentro</t>
  </si>
  <si>
    <t>E despedaçou o coração dela.</t>
  </si>
  <si>
    <t>Classe do Item: Pesquisa Sanctum</t>
  </si>
  <si>
    <t>Tomo Proibido</t>
  </si>
  <si>
    <t>Nível da Área : 81</t>
  </si>
  <si>
    <t>Leve este item ao Altar de Relíquias no Sanctum Proibido para entrar.</t>
  </si>
  <si>
    <t>Classe do Item: Garras</t>
  </si>
  <si>
    <t>Sanguinário</t>
  </si>
  <si>
    <t>Pata do Leão</t>
  </si>
  <si>
    <t>Dano Físico: 99-171 (augmented)</t>
  </si>
  <si>
    <t xml:space="preserve">Encaixes: G-B </t>
  </si>
  <si>
    <t>1.6% do Dano de Ataques Físicos é Drenado como Vida (implicit)</t>
  </si>
  <si>
    <t>Dano Físico aumentado em 155%</t>
  </si>
  <si>
    <t>Adiciona 10 a 12 de Dano Físico</t>
  </si>
  <si>
    <t>Velocidade de Ataque aumentada em 5%</t>
  </si>
  <si>
    <t>1.2% do Dano de Ataques Físicos é Drenado como Vida</t>
  </si>
  <si>
    <t>Velocidade de Movimento aumentada em 5%</t>
  </si>
  <si>
    <t>Dreno de Vida dos Acertos com esta Arma é instantâneo</t>
  </si>
  <si>
    <t>Pois a vida da carne estará sempre no sangue.</t>
  </si>
  <si>
    <t>Класс предмета: Камни умений</t>
  </si>
  <si>
    <t>Редкость: Камень</t>
  </si>
  <si>
    <t>Аномальный: Очередь</t>
  </si>
  <si>
    <t>Атака, Снаряд, Лук</t>
  </si>
  <si>
    <t>Уровень: 20 (макс.)</t>
  </si>
  <si>
    <t>Расход ресурсов: 11 маны</t>
  </si>
  <si>
    <t>Урон от атаки: 54.6% от базовой</t>
  </si>
  <si>
    <t>Эффективность добавленного урона: 55%</t>
  </si>
  <si>
    <t>Качество: +11% (augmented)</t>
  </si>
  <si>
    <t>Изменённый эффект качества</t>
  </si>
  <si>
    <t>Требования:</t>
  </si>
  <si>
    <t>Уровень: 70</t>
  </si>
  <si>
    <t>Ловк: 155</t>
  </si>
  <si>
    <t>После небольшой подготовки герой многократно атакует, используя оружие дальнего боя. Снаряды имеют небольшой разброс. Умение требует лук или жезл. Нельзя вызвать срабатывание этого умения.</t>
  </si>
  <si>
    <t>11% шанс отбросить врагов при нанесении удара</t>
  </si>
  <si>
    <t>Выпускает дополнительных снарядов: 4</t>
  </si>
  <si>
    <t>Выпускает снаряды последовательно</t>
  </si>
  <si>
    <t>Для получения умения выберите предмет и поместите камень в гнездо соответствующего цвета. Щёлкните ПКМ, чтобы вынуть камень из гнезда.</t>
  </si>
  <si>
    <t>Осквернено</t>
  </si>
  <si>
    <t>Класс предмета: Камни поддержки</t>
  </si>
  <si>
    <t>Искривлённый: Божественное благословение</t>
  </si>
  <si>
    <t>Поддержка, Аура, Длится, Благословение</t>
  </si>
  <si>
    <t>Качество: +20% (augmented)</t>
  </si>
  <si>
    <t>Сила: 70</t>
  </si>
  <si>
    <t>Инт: 48</t>
  </si>
  <si>
    <t>Усиливает умения аур, создающие постоянные ауры вокруг героя, заменяя удержание расходом и делая ауры временными. Не может усиливать умения знамён и стоек.</t>
  </si>
  <si>
    <t>Усиленные умения имеют 5% снижение затрат маны</t>
  </si>
  <si>
    <t>Усиленные умения имеют 29% усиление эффекта ауры</t>
  </si>
  <si>
    <t>Усиленные умения стоят +233 маны</t>
  </si>
  <si>
    <t>Усиленные умения также считаются умениями благословения</t>
  </si>
  <si>
    <t>На вас может быть только одна аура от ваших умения благословения</t>
  </si>
  <si>
    <t>Базовая длительность аур от усиленных умений: 10.90 секунд(-ы)</t>
  </si>
  <si>
    <t>Это камень поддержки. Он даёт преимущества не герою, а умениям в связанных гнёздах. Вставьте камень поддержки в гнездо, соединённое с гнездом усиливаемого камня умения. Щёлкните ПКМ, чтобы вынуть камень из гнезда.</t>
  </si>
  <si>
    <t>Фантомный: Тектонический удар</t>
  </si>
  <si>
    <t>Огонь, Атака, Область, Мощный, Ближний бой</t>
  </si>
  <si>
    <t>Уровень: 16</t>
  </si>
  <si>
    <t>Расход ресурсов: 10 маны</t>
  </si>
  <si>
    <t>Скорость атаки: 80% от базовой</t>
  </si>
  <si>
    <t>Урон от атаки: 255% от базовой</t>
  </si>
  <si>
    <t>Эффективность добавленного урона: 255%</t>
  </si>
  <si>
    <t>Уровень: 62</t>
  </si>
  <si>
    <t>Сила: 138</t>
  </si>
  <si>
    <t>Герой бьёт по земле, создавая перед собой огненную трещину, которая наносит урон по области и разветвляется на случайное количество маленьких трещин. Поглощает заряд выносливости при каждом третьем ударе по земле этим умением. Можно использовать с булавами, скипетрами, мечами, топорами, посохами или без оружия.</t>
  </si>
  <si>
    <t>60% физического урона становится уроном от огня</t>
  </si>
  <si>
    <t>11% увеличение урона от огня</t>
  </si>
  <si>
    <t>На 5% больше области действия за заряд выносливости</t>
  </si>
  <si>
    <t>+5% к шансу ответвления трещин за заряд выносливости</t>
  </si>
  <si>
    <t>30% шанс ответвления трещин</t>
  </si>
  <si>
    <t>Опыт: 4,897,423/15,138,193</t>
  </si>
  <si>
    <t>Класс предмета: Валюта</t>
  </si>
  <si>
    <t>Редкость: Валюта</t>
  </si>
  <si>
    <t>Сфера хаоса</t>
  </si>
  <si>
    <t>Размер стопки: 1/20</t>
  </si>
  <si>
    <t>Перековывает редкий предмет, наделяя его новыми случайными свойствами</t>
  </si>
  <si>
    <t>Щелкните правой кнопкой мыши по этому объекту, а затем левой по редкому предмету, чтобы использовать.</t>
  </si>
  <si>
    <t>Класс предмета: Валюта Спуска</t>
  </si>
  <si>
    <t>Простейший хаотический резонатор</t>
  </si>
  <si>
    <t>Размер стопки: 1/10</t>
  </si>
  <si>
    <t>Требуется: 1 (unmet) размещённое ископаемое</t>
  </si>
  <si>
    <t xml:space="preserve">Гнезда: D </t>
  </si>
  <si>
    <t>Поместите ископаемые во все гнёзда этого предмета, чтобы его можно было использовать.</t>
  </si>
  <si>
    <t>Класс предмета: Гадальные карты</t>
  </si>
  <si>
    <t>Редкость: Гадальная карта</t>
  </si>
  <si>
    <t>Баламут</t>
  </si>
  <si>
    <t>5 сфер хаоса</t>
  </si>
  <si>
    <t>Не прогибай под себя мир — он и так создан для тебя.</t>
  </si>
  <si>
    <t>Класс предмета: Образцы Метаморфа</t>
  </si>
  <si>
    <t>Редкость: Уникальный</t>
  </si>
  <si>
    <t>Мозг: Капитан Клейборн, проклятый</t>
  </si>
  <si>
    <t>Использует: Снаряд души</t>
  </si>
  <si>
    <t>Уровень предмета: 80</t>
  </si>
  <si>
    <t>Бросает дополнительную валюту</t>
  </si>
  <si>
    <t>Бросает дополнительные камни с качеством</t>
  </si>
  <si>
    <t>Бросает редкое оружие с 5 связанными гнёздами</t>
  </si>
  <si>
    <t>Объедините эту часть с четырьмя другими в Лаборатории Танэ.</t>
  </si>
  <si>
    <t>Класс предмета: Карты</t>
  </si>
  <si>
    <t>Редкость: Обычный</t>
  </si>
  <si>
    <t>Заражённая Карта жеоды</t>
  </si>
  <si>
    <t>Уровень карты: 13</t>
  </si>
  <si>
    <t>Область заражена грибными наростами (implicit)</t>
  </si>
  <si>
    <t>Модификаторы количества найденных предметов на этой карте также действуют на количество сундуков Скверны в размере 20% от их значения (implicit)</t>
  </si>
  <si>
    <t>Можно обработать маслами до 3 раз (implicit)</t>
  </si>
  <si>
    <t>Изначальные обитатели этой области исчезли (implicit)</t>
  </si>
  <si>
    <t>Перейдите на эту карту с помощью вашей Машины картоходца. Карты одноразовые.</t>
  </si>
  <si>
    <t>Разорённая Скверной Карта камер</t>
  </si>
  <si>
    <t>Уровень карты: 15</t>
  </si>
  <si>
    <t>Уровень предмета: 81</t>
  </si>
  <si>
    <t>Уровень монстров: 85 (implicit)</t>
  </si>
  <si>
    <t>На 200% больше здоровья монстров (implicit)</t>
  </si>
  <si>
    <t>20% повышение скорости передвижения монстров (implicit)</t>
  </si>
  <si>
    <t>Модификаторы количества найденных предметов на этой карте также действуют на количество сундуков Скверны в размере 40% от их значения (implicit)</t>
  </si>
  <si>
    <t>Можно обработать маслами до 9 раз (implicit)</t>
  </si>
  <si>
    <t>Класс предмета: Чертежи</t>
  </si>
  <si>
    <t>Чертёж: Хранилище</t>
  </si>
  <si>
    <t>Предмет кражи: Необычные камни</t>
  </si>
  <si>
    <t>Уровень области: 74</t>
  </si>
  <si>
    <t>Крыльев обнаружено: 1/3</t>
  </si>
  <si>
    <t>Путей отхода обнаружено: 1/6</t>
  </si>
  <si>
    <t>Комнат с наградами обнаружено: 2/15</t>
  </si>
  <si>
    <t>Требуется взрывное дело (2 уровень)</t>
  </si>
  <si>
    <t>Требуется разминирование (1 уровень)</t>
  </si>
  <si>
    <t>Требуется проворство (1 уровень)</t>
  </si>
  <si>
    <t>Уровень предмета: 74</t>
  </si>
  <si>
    <t>Используйте добытые сведения, чтобы узнать о дополнительных крыльях и комнатах, поговорив с определёнными НИП в Разбойничьей гавани. Передайте этот чертёж Адии, чтобы приступить к Большому Ограблению.</t>
  </si>
  <si>
    <t>Класс предмета: Контракты</t>
  </si>
  <si>
    <t>Редкость: Волшебный</t>
  </si>
  <si>
    <t>Препятствующий Контракт: Бункер</t>
  </si>
  <si>
    <t>Клиент: Марцина Клавус</t>
  </si>
  <si>
    <t>Предмет кражи: Загадочный механизм C5 (средней ценности)</t>
  </si>
  <si>
    <t>Уровень области: 6</t>
  </si>
  <si>
    <t>Требуется инженерное дело (1 уровень)</t>
  </si>
  <si>
    <t>Количество предметов: +13% (augmented)</t>
  </si>
  <si>
    <t>Редкость предметов: +8% (augmented)</t>
  </si>
  <si>
    <t>Снижение уровня тревоги: +5% (augmented)</t>
  </si>
  <si>
    <t>Время до изоляции: +5% (augmented)</t>
  </si>
  <si>
    <t>Максимум выживших стражей подкрепления: +5% (augmented)</t>
  </si>
  <si>
    <t>Уровень предмета: 6</t>
  </si>
  <si>
    <t>14% снижение скорости использования навыка</t>
  </si>
  <si>
    <t>«Я просадил всё семейное состояние на возню с этим устройством.</t>
  </si>
  <si>
    <t>Теперь я просто обязан собрать и включить его».</t>
  </si>
  <si>
    <t>Передайте этот контракт Адии в Разбойничьей гавани, чтобы приступить к ограблению.</t>
  </si>
  <si>
    <t>Класс предмета: Журналы экспедиции</t>
  </si>
  <si>
    <t>Журнал экспедиции</t>
  </si>
  <si>
    <t>Уровень области: 76</t>
  </si>
  <si>
    <t>Уровень предмета: 76</t>
  </si>
  <si>
    <t>Пустынные руины</t>
  </si>
  <si>
    <t>Орден Чаши</t>
  </si>
  <si>
    <t>10% увеличение количества выпадающих из монстров артефактов (implicit)</t>
  </si>
  <si>
    <t>23% увеличение количества реликтов в области (implicit)</t>
  </si>
  <si>
    <t>Могилы воинов каруи</t>
  </si>
  <si>
    <t>40% увеличение количества взрывных зарядов (implicit)</t>
  </si>
  <si>
    <t>Область содержит дополнительных знаков с монстрами: 15 (implicit)</t>
  </si>
  <si>
    <t>Отнесите этот предмет Дэннигу в вашем убежище, чтобы открыть порталы в экспедицию.</t>
  </si>
  <si>
    <t>Быстрая Карта атолла</t>
  </si>
  <si>
    <t>Уровень карты: 16</t>
  </si>
  <si>
    <t>Количество предметов: +19% (augmented)</t>
  </si>
  <si>
    <t>Редкость предметов: +11% (augmented)</t>
  </si>
  <si>
    <t>Размер групп монстров: +7% (augmented)</t>
  </si>
  <si>
    <t>Уровень предмета: 84</t>
  </si>
  <si>
    <t>26% повышение скорости передвижения монстров</t>
  </si>
  <si>
    <t>43% повышение скорости атаки монстров</t>
  </si>
  <si>
    <t>38% повышение скорости сотворения чар монстров</t>
  </si>
  <si>
    <t>Класс предмета: Обрывки карт</t>
  </si>
  <si>
    <t>Жертва на закате</t>
  </si>
  <si>
    <t>Ваал ни к чему бояться, что наше солнце зайдет.</t>
  </si>
  <si>
    <t>Можно использовать в личной Машине картоходца.</t>
  </si>
  <si>
    <t>Класс предмета: Воспоминания</t>
  </si>
  <si>
    <t>Воспоминание Нико о пропастях</t>
  </si>
  <si>
    <t>В областях можно встретить дополнительные Бездны</t>
  </si>
  <si>
    <t>Бездны уже полностью раскрыты</t>
  </si>
  <si>
    <t>Из Бездны появляются монстры из иного мира</t>
  </si>
  <si>
    <t>Щёлкните правой кнопкой мыши по этому предмету и затем левой кнопкой по завершённой карте в вашем Атласе, чтобы применить воспоминание.</t>
  </si>
  <si>
    <t>Неизменяемый</t>
  </si>
  <si>
    <t>Класс предмета: Прочие предметы карт</t>
  </si>
  <si>
    <t>Извивающееся приглашение</t>
  </si>
  <si>
    <t>Уровень предмета: 83</t>
  </si>
  <si>
    <t>Модификаторы количества предметов влияют на количество выпадающих из босса наград (implicit)</t>
  </si>
  <si>
    <t>Неутолимый голод дожидается в космическом желудке, где</t>
  </si>
  <si>
    <t>пожранные им цивилизации перевариваются, но не умирают.</t>
  </si>
  <si>
    <t>Откройте порталы в Бурлящий химус, использовав этот предмет в личной Машине картоходца.</t>
  </si>
  <si>
    <t>Класс предмета: Флаконы равновесия</t>
  </si>
  <si>
    <t>Освящённый флакон равновесия высокого качества</t>
  </si>
  <si>
    <t>Качество: +18% (augmented)</t>
  </si>
  <si>
    <t>Восстанавливает здоровье: 1699 (augmented) за 5 сек.</t>
  </si>
  <si>
    <t>Восстанавливает ману: 472 (augmented) за 5 сек.</t>
  </si>
  <si>
    <t>Расходует 20 из 40 зарядов при использовании</t>
  </si>
  <si>
    <t>Содержит зарядов: 0</t>
  </si>
  <si>
    <t>Уровень: 50</t>
  </si>
  <si>
    <t>Уровень предмета: 77</t>
  </si>
  <si>
    <t>Щёлкните ПКМ, чтобы выпить. Содержит заряды только когда висит на поясе. Пополняется по мере убийства монстров.</t>
  </si>
  <si>
    <t>Класс предмета: Флаконы маны</t>
  </si>
  <si>
    <t>Вечный флакон маны высокого качества</t>
  </si>
  <si>
    <t>Качество: +15% (augmented)</t>
  </si>
  <si>
    <t>Восстанавливает ману: 2070 (augmented) за 7 сек.</t>
  </si>
  <si>
    <t>Расходует 8 из 42 зарядов при использовании</t>
  </si>
  <si>
    <t>Уровень: 65</t>
  </si>
  <si>
    <t>Уровень предмета: 70</t>
  </si>
  <si>
    <t>Класс предмета: Флаконы жизни</t>
  </si>
  <si>
    <t>Вечный флакон жизни высокого качества</t>
  </si>
  <si>
    <t>Качество: +8% (augmented)</t>
  </si>
  <si>
    <t>Восстанавливает здоровье: 2246 (augmented) за 2 сек.</t>
  </si>
  <si>
    <t>Расходует 15 из 45 зарядов при использовании</t>
  </si>
  <si>
    <t>Уровень предмета: 68</t>
  </si>
  <si>
    <t>Класс предмета: Особые флаконы</t>
  </si>
  <si>
    <t>Опытный Серебряный флакон панголина</t>
  </si>
  <si>
    <t>Качество: +2% (augmented)</t>
  </si>
  <si>
    <t>Длится 6.10 (augmented) сек.</t>
  </si>
  <si>
    <t>Расходует 32 (augmented) из 60 зарядов при использовании</t>
  </si>
  <si>
    <t>Боевой раж</t>
  </si>
  <si>
    <t>Уровень: 46</t>
  </si>
  <si>
    <t>Уровень предмета: 63</t>
  </si>
  <si>
    <t>18% уменьшение количества используемых зарядов</t>
  </si>
  <si>
    <t>53% повышение брони во время действия эффекта</t>
  </si>
  <si>
    <t>Класс предмета: Амулеты</t>
  </si>
  <si>
    <t>Ошейник Биско</t>
  </si>
  <si>
    <t>Золотой амулет</t>
  </si>
  <si>
    <t>Уровень: 30</t>
  </si>
  <si>
    <t>Уровень предмета: 75</t>
  </si>
  <si>
    <t>20% повышение редкости найденных предметов (implicit)</t>
  </si>
  <si>
    <t>146% повышение редкости предметов, выпадающих из убитых волшебных врагов</t>
  </si>
  <si>
    <t>39% увеличение количества предметов, выпадающих из убитых обычных врагов</t>
  </si>
  <si>
    <t>Дружба стоит полной меры золота,</t>
  </si>
  <si>
    <t>то сокровище на каждый божий день.</t>
  </si>
  <si>
    <t>Мы бы вместе проводили молодость,</t>
  </si>
  <si>
    <t>кабы не судьбины злая тень.</t>
  </si>
  <si>
    <t>Особый уникальный предмет (Закатный)</t>
  </si>
  <si>
    <t>Класс предмета: Кольца</t>
  </si>
  <si>
    <t>Кольцо с ракушкой</t>
  </si>
  <si>
    <t>+24 к максимуму маны (implicit)</t>
  </si>
  <si>
    <t>Неопознано</t>
  </si>
  <si>
    <t>Класс предмета: Шлемы</t>
  </si>
  <si>
    <t>Бездна</t>
  </si>
  <si>
    <t>Полный шлем эзомита</t>
  </si>
  <si>
    <t>Броня: 702 (augmented)</t>
  </si>
  <si>
    <t>Уровень: 60</t>
  </si>
  <si>
    <t xml:space="preserve">Гнезда: R-R </t>
  </si>
  <si>
    <t>Уровень предмета: 85</t>
  </si>
  <si>
    <t>+21 ко всем характеристикам</t>
  </si>
  <si>
    <t>Добавляет от 40 до 60 физического урона к атакам</t>
  </si>
  <si>
    <t>+112% к множителю критического удара в ближнем бою</t>
  </si>
  <si>
    <t>103% повышение брони</t>
  </si>
  <si>
    <t>49% увеличение получаемого физического урона</t>
  </si>
  <si>
    <t>Когда ты поразил своих врагов,</t>
  </si>
  <si>
    <t>чего осталось бояться?</t>
  </si>
  <si>
    <t>Класс предмета: Доспехи</t>
  </si>
  <si>
    <t>Стёганый труп</t>
  </si>
  <si>
    <t>Франтоватый жакет</t>
  </si>
  <si>
    <t>Уклонение: 964 (augmented)</t>
  </si>
  <si>
    <t>Энерг. щит: 197 (augmented)</t>
  </si>
  <si>
    <t>Ловк: 96</t>
  </si>
  <si>
    <t>Инт: 96</t>
  </si>
  <si>
    <t xml:space="preserve">Гнезда: B-B </t>
  </si>
  <si>
    <t>149% увеличение уклонения и энергетического щита</t>
  </si>
  <si>
    <t>+51 к максимуму здоровья</t>
  </si>
  <si>
    <t>+11% к сопротивлению всем стихиям</t>
  </si>
  <si>
    <t>47% увеличение области действия</t>
  </si>
  <si>
    <t>42% увеличение урона по области</t>
  </si>
  <si>
    <t>Больше крови</t>
  </si>
  <si>
    <t>«...Бледные лица окружающих умиляют. Никто не скажет,</t>
  </si>
  <si>
    <t>будто моя работа не поражает толпу...»</t>
  </si>
  <si>
    <t>Класс предмета: Щиты</t>
  </si>
  <si>
    <t>Стена тумана</t>
  </si>
  <si>
    <t>Многослойный баклер</t>
  </si>
  <si>
    <t>Шанс заблокировать удар: 24%</t>
  </si>
  <si>
    <t>Уклонение: 1154 (augmented)</t>
  </si>
  <si>
    <t>Ловк: 154</t>
  </si>
  <si>
    <t xml:space="preserve">Гнезда: R </t>
  </si>
  <si>
    <t>6% повышение скорости передвижения (implicit)</t>
  </si>
  <si>
    <t>142% увеличение уклонения</t>
  </si>
  <si>
    <t>10% повышение скорости передвижения</t>
  </si>
  <si>
    <t>+16% к сопротивлению огню и холоду</t>
  </si>
  <si>
    <t>+10% шанс избежать урона от стихий от ударов в Форме призрака</t>
  </si>
  <si>
    <t>Вы имеете максимальный шанс блокировать урон от атак, если вы недавно не блокировали урон</t>
  </si>
  <si>
    <t>Вы получаете Форму призрака, если вы недавно блокировали удар</t>
  </si>
  <si>
    <t>Лёгкий как доска,</t>
  </si>
  <si>
    <t>Жёсткий как перо.</t>
  </si>
  <si>
    <t>Класс предмета: Рунические кинжалы</t>
  </si>
  <si>
    <t>Белый ветер</t>
  </si>
  <si>
    <t>Кинжал императора</t>
  </si>
  <si>
    <t>Рунический кинжал</t>
  </si>
  <si>
    <t>Физический урон: 18-73</t>
  </si>
  <si>
    <t>Урон от стихий: 167-304 (augmented)</t>
  </si>
  <si>
    <t>Шанс критического удара: 6.30%</t>
  </si>
  <si>
    <t>Атак в секунду: 1.68 (augmented)</t>
  </si>
  <si>
    <t>Дальность оружия: 1 м</t>
  </si>
  <si>
    <t>Уровень: 66</t>
  </si>
  <si>
    <t>Ловк: 95</t>
  </si>
  <si>
    <t>Инт: 131</t>
  </si>
  <si>
    <t xml:space="preserve">Гнезда: B </t>
  </si>
  <si>
    <t>30% повышение глобального шанса критического удара (implicit)</t>
  </si>
  <si>
    <t>Добавляет от 167 до 304 урона от холода</t>
  </si>
  <si>
    <t>12% повышение скорости атаки</t>
  </si>
  <si>
    <t>+368 к уклонению</t>
  </si>
  <si>
    <t>100% увеличение урона от холода, если в левой руке ничего нет</t>
  </si>
  <si>
    <t>+20% шанс подавить урон от чар, пока в левой руке ничего нет</t>
  </si>
  <si>
    <t>Маракеты не привыкли бояться,</t>
  </si>
  <si>
    <t>но даже они не смеют и прошептать</t>
  </si>
  <si>
    <t>имя демона, что летает на крыльях Зимы.</t>
  </si>
  <si>
    <t>Редкость: Редкий</t>
  </si>
  <si>
    <t>Колючая защита</t>
  </si>
  <si>
    <t>Амулет с янтарём</t>
  </si>
  <si>
    <t>Уровень: 54</t>
  </si>
  <si>
    <t>+22 к силе (implicit)</t>
  </si>
  <si>
    <t>+8 к интеллекту</t>
  </si>
  <si>
    <t>6% повышение интеллекта</t>
  </si>
  <si>
    <t>Добавляет от 3 до 6 физического урона к атакам</t>
  </si>
  <si>
    <t>+13% к сопротивлению молнии</t>
  </si>
  <si>
    <t>Предмет Крестоносца</t>
  </si>
  <si>
    <t>Класс предмета: Обувь</t>
  </si>
  <si>
    <t>Звериная спешка</t>
  </si>
  <si>
    <t>Сапоги крови</t>
  </si>
  <si>
    <t>Уклонение: 129 (augmented)</t>
  </si>
  <si>
    <t>Энерг. щит: 31 (augmented)</t>
  </si>
  <si>
    <t>Уровень: 55</t>
  </si>
  <si>
    <t>Ловк: 35 (augmented)</t>
  </si>
  <si>
    <t>Инт: 35 (augmented)</t>
  </si>
  <si>
    <t xml:space="preserve">Гнезда: G-B-B-G </t>
  </si>
  <si>
    <t>Размещённые камни усилены Укреплением 20 уровня</t>
  </si>
  <si>
    <t>32% снижение требований к характеристикам</t>
  </si>
  <si>
    <t>+22 к уклонению</t>
  </si>
  <si>
    <t>+9 к максимуму энергетического щита</t>
  </si>
  <si>
    <t>Регенерация 59.2 здоровья в секунду</t>
  </si>
  <si>
    <t>14% повышение редкости найденных предметов</t>
  </si>
  <si>
    <t>Древний предмет</t>
  </si>
  <si>
    <t>Болезненный рывок</t>
  </si>
  <si>
    <t>Шагреневые ботинки</t>
  </si>
  <si>
    <t>Уклонение: 195</t>
  </si>
  <si>
    <t>Ловк: 97</t>
  </si>
  <si>
    <t xml:space="preserve">Гнезда: B G </t>
  </si>
  <si>
    <t>Уровень предмета: 79</t>
  </si>
  <si>
    <t>+19 к ловкости</t>
  </si>
  <si>
    <t>+85 к максимуму здоровья</t>
  </si>
  <si>
    <t>25% повышение скорости передвижения</t>
  </si>
  <si>
    <t>Наложенное вами кровотечение наносит урон на 9% быстрее</t>
  </si>
  <si>
    <t>Предмет Охотника</t>
  </si>
  <si>
    <t>Скорбящая петля</t>
  </si>
  <si>
    <t>Кольцо с топазом</t>
  </si>
  <si>
    <t>Уровень: 67</t>
  </si>
  <si>
    <t>+21% к сопротивлению молнии (implicit)</t>
  </si>
  <si>
    <t>32% повышение скорости регенерации маны</t>
  </si>
  <si>
    <t>27% повышение редкости найденных предметов</t>
  </si>
  <si>
    <t>+44% к сопротивлению огню</t>
  </si>
  <si>
    <t>Проклинает врагов Обморожением при нанесении удара</t>
  </si>
  <si>
    <t>+50 к максимуму маны (crafted)</t>
  </si>
  <si>
    <t>Предмет Избавительницы</t>
  </si>
  <si>
    <t>Каплевидный щит архонта</t>
  </si>
  <si>
    <t>Шанс заблокировать удар: 22%</t>
  </si>
  <si>
    <t>Броня: 156</t>
  </si>
  <si>
    <t>Энерг. щит: 32</t>
  </si>
  <si>
    <t>Сила: 85</t>
  </si>
  <si>
    <t>Инт: 85</t>
  </si>
  <si>
    <t xml:space="preserve">Гнезда: R R R </t>
  </si>
  <si>
    <t>+12% к сопротивлению всем стихиям (implicit)</t>
  </si>
  <si>
    <t>Предмет Создателя</t>
  </si>
  <si>
    <t>Колючие Звёздные латы завоевания</t>
  </si>
  <si>
    <t>Качество: +30% (augmented)</t>
  </si>
  <si>
    <t>Броня: 924 (augmented)</t>
  </si>
  <si>
    <t>Сила: 180 (unmet)</t>
  </si>
  <si>
    <t xml:space="preserve">Гнезда: W-W-W-W-W-W </t>
  </si>
  <si>
    <t>Уровень предмета: 100</t>
  </si>
  <si>
    <t>Торговцы покупают предмет гораздо дороже (implicit)</t>
  </si>
  <si>
    <t>+17% к сопротивлению всем стихиям</t>
  </si>
  <si>
    <t>Отражает 6 физического урона атакующим в ближнем бою</t>
  </si>
  <si>
    <t>Предмет Вождя</t>
  </si>
  <si>
    <t>Класс предмета: Самоцветы Бездны</t>
  </si>
  <si>
    <t>Пустая сфера</t>
  </si>
  <si>
    <t>Самоцвет кровожадного глаза</t>
  </si>
  <si>
    <t>30% увеличение уклонения во время передвижения (fractured)</t>
  </si>
  <si>
    <t>Добавляет от 11 до 20 урона хаосом к атакам</t>
  </si>
  <si>
    <t>+35 к максимуму маны</t>
  </si>
  <si>
    <t>Поместите самоцвет в гнездо Бездны на предмете или в доступное гнездо на дереве пассивных умений. Чтобы вынуть самоцвет, щёлкните по нему правой кнопкой мыши.</t>
  </si>
  <si>
    <t>Расколотый предмет</t>
  </si>
  <si>
    <t>Класс предмета: Пояса</t>
  </si>
  <si>
    <t>Дядианская заря</t>
  </si>
  <si>
    <t>Широкий ремень</t>
  </si>
  <si>
    <t>Уровень: 52</t>
  </si>
  <si>
    <t>+25 к силе (implicit)</t>
  </si>
  <si>
    <t>+73 к максимуму здоровья</t>
  </si>
  <si>
    <t>+29% к сопротивлению огню</t>
  </si>
  <si>
    <t>+32% к сопротивлению холоду</t>
  </si>
  <si>
    <t>1% урона от атак охлаждённым врагам похищается в виде здоровья</t>
  </si>
  <si>
    <t>Поджоги, вызванные вашими атаками, наносят урон на 35% быстрее</t>
  </si>
  <si>
    <t>Не наносит физического урона</t>
  </si>
  <si>
    <t>Вечных близнецов знали</t>
  </si>
  <si>
    <t>по её холодному расчёту</t>
  </si>
  <si>
    <t>и его горячей жертвенности.</t>
  </si>
  <si>
    <t>Странники</t>
  </si>
  <si>
    <t>Шерстяные башмаки</t>
  </si>
  <si>
    <t>Энерг. щит: 22 (augmented)</t>
  </si>
  <si>
    <t xml:space="preserve">Гнезда: G-B-B B </t>
  </si>
  <si>
    <t>+5 к ловкости</t>
  </si>
  <si>
    <t>+17 к максимуму энергетического щита</t>
  </si>
  <si>
    <t>37% повышение скорости регенерации маны</t>
  </si>
  <si>
    <t>20% повышение скорости передвижения</t>
  </si>
  <si>
    <t>Не может быть заморожен</t>
  </si>
  <si>
    <t>Весь мир — мой дом.</t>
  </si>
  <si>
    <t>Класс предмета: Перчатки</t>
  </si>
  <si>
    <t>Гемофилия</t>
  </si>
  <si>
    <t>Перчатки из чешуи гадюки</t>
  </si>
  <si>
    <t>Броня: 78</t>
  </si>
  <si>
    <t>Уклонение: 78</t>
  </si>
  <si>
    <t>Уровень: 43</t>
  </si>
  <si>
    <t>Сила: 34</t>
  </si>
  <si>
    <t>Ловк: 34</t>
  </si>
  <si>
    <t xml:space="preserve">Гнезда: R-R-G </t>
  </si>
  <si>
    <t>+25 к силе</t>
  </si>
  <si>
    <t>25% увеличение постепенного урона</t>
  </si>
  <si>
    <t>Атаки имеют 25% шанс вызвать кровотечение</t>
  </si>
  <si>
    <t>34% увеличение урона от атак по истекающим кровью врагам</t>
  </si>
  <si>
    <t>Истекающие кровью враги взрываются при убийстве, нанося 5%</t>
  </si>
  <si>
    <t>от их максимума здоровья в виде физического урона</t>
  </si>
  <si>
    <t>25% уменьшение длительности кровотечения</t>
  </si>
  <si>
    <t xml:space="preserve">«Настоящий художник рисует картину без спешки. </t>
  </si>
  <si>
    <t xml:space="preserve">Увы, но люди моего круга не могут позволить себе такую роскошь». </t>
  </si>
  <si>
    <t>Класс предмета: Луки</t>
  </si>
  <si>
    <t>Грозовая туча</t>
  </si>
  <si>
    <t>Длинный лук</t>
  </si>
  <si>
    <t>Лук</t>
  </si>
  <si>
    <t>Урон от стихий: 1-85 (augmented)</t>
  </si>
  <si>
    <t>Шанс критического удара: 6.00%</t>
  </si>
  <si>
    <t>Атак в секунду: 1.93 (augmented)</t>
  </si>
  <si>
    <t>Уровень: 9</t>
  </si>
  <si>
    <t>Ловк: 38</t>
  </si>
  <si>
    <t xml:space="preserve">Гнезда: G </t>
  </si>
  <si>
    <t>Уровень предмета: 73</t>
  </si>
  <si>
    <t>Не наносит физический урон</t>
  </si>
  <si>
    <t>Добавляет от 1 до 85 урона от молнии</t>
  </si>
  <si>
    <t>48% повышение скорости атаки</t>
  </si>
  <si>
    <t xml:space="preserve">Века совершенствования ковки доспехов </t>
  </si>
  <si>
    <t>превратили войска Вечной Империи</t>
  </si>
  <si>
    <t>в прекрасные мишени для молний.</t>
  </si>
  <si>
    <t>Класс предмета: Когти</t>
  </si>
  <si>
    <t>Кровопийца</t>
  </si>
  <si>
    <t>Лапа волкодава</t>
  </si>
  <si>
    <t>Когти</t>
  </si>
  <si>
    <t>Физический урон: 99-171 (augmented)</t>
  </si>
  <si>
    <t>Дальность оружия: 1.1 м</t>
  </si>
  <si>
    <t>Ловк: 131</t>
  </si>
  <si>
    <t>Инт: 95</t>
  </si>
  <si>
    <t xml:space="preserve">Гнезда: G-B </t>
  </si>
  <si>
    <t>1.6% физического урона от атак похищается в виде здоровья (implicit)</t>
  </si>
  <si>
    <t>155% увеличение физического урона</t>
  </si>
  <si>
    <t>Добавляет от 10 до 12 физического урона</t>
  </si>
  <si>
    <t>5% повышение скорости атаки</t>
  </si>
  <si>
    <t>1.2% физического урона от атак похищается в виде здоровья</t>
  </si>
  <si>
    <t>5% повышение скорости передвижения</t>
  </si>
  <si>
    <t>Похищение здоровья от ударов этим оружием происходит мгновенно</t>
  </si>
  <si>
    <t>«Ибо жизнь плоти всегда зиждется на крови».</t>
  </si>
  <si>
    <t>Класс предмета: Кинжалы</t>
  </si>
  <si>
    <t>Кровопускатель</t>
  </si>
  <si>
    <t>Нож скорняка</t>
  </si>
  <si>
    <t>Кинжал</t>
  </si>
  <si>
    <t>Физический урон: 8-31 (augmented)</t>
  </si>
  <si>
    <t>Шанс критического удара: 7.80% (augmented)</t>
  </si>
  <si>
    <t>Атак в секунду: 1.45</t>
  </si>
  <si>
    <t>Уровень: 5</t>
  </si>
  <si>
    <t>Ловк: 16</t>
  </si>
  <si>
    <t xml:space="preserve">Гнезда: G-G </t>
  </si>
  <si>
    <t>+14 к ловкости</t>
  </si>
  <si>
    <t>57% увеличение физического урона</t>
  </si>
  <si>
    <t>Добавляет от 1 до 3 физического урона</t>
  </si>
  <si>
    <t>30% повышение шанса критического удара</t>
  </si>
  <si>
    <t>40% увеличение урона от атак по истекающим кровью врагам</t>
  </si>
  <si>
    <t>50% шанс наложить кровотечение при критическом ударе</t>
  </si>
  <si>
    <t>Фальшивый поцелуй</t>
  </si>
  <si>
    <t>и ложные объятья,</t>
  </si>
  <si>
    <t>и красное вино</t>
  </si>
  <si>
    <t>на потемневшем платье.</t>
  </si>
  <si>
    <t>Класс предмета: Самоцветы</t>
  </si>
  <si>
    <t>Туша</t>
  </si>
  <si>
    <t>Багровый самоцвет</t>
  </si>
  <si>
    <t>5% повышение силы</t>
  </si>
  <si>
    <t>6% повышение ловкости</t>
  </si>
  <si>
    <t>15% снижение интеллекта</t>
  </si>
  <si>
    <t>«Давай, составляй хитрые планы.</t>
  </si>
  <si>
    <t>Потом расскажешь, который из них</t>
  </si>
  <si>
    <t>вынет мой топор из твоей грудины».</t>
  </si>
  <si>
    <t>Поместите самоцвет в доступное гнездо на дереве пассивных умений. Чтобы вынуть самоцвет, щёлкните по нему правой кнопкой мыши.</t>
  </si>
  <si>
    <t>Класс предмета: Колчаны</t>
  </si>
  <si>
    <t>Закрытая спина</t>
  </si>
  <si>
    <t>Колчан охотничьих стрел</t>
  </si>
  <si>
    <t>Уровень: 28</t>
  </si>
  <si>
    <t>Уровень предмета: 82</t>
  </si>
  <si>
    <t>Добавляет от 6 до 12 физического урона к атакам луками (implicit)</t>
  </si>
  <si>
    <t>24% шанс блокировать урон от атак</t>
  </si>
  <si>
    <t>15% шанс блокировать урон от чар</t>
  </si>
  <si>
    <t>+421 к броне</t>
  </si>
  <si>
    <t>20% повышение скорости снарядов</t>
  </si>
  <si>
    <t>50% ускорение восстановления после оглушения и блока</t>
  </si>
  <si>
    <t>19% увеличение урона снарядов</t>
  </si>
  <si>
    <t>«Мало у кого есть глаза на затылке».</t>
  </si>
  <si>
    <t>Класс предмета: Скипетры</t>
  </si>
  <si>
    <t>Горькая мечта</t>
  </si>
  <si>
    <t>Скипетр тени</t>
  </si>
  <si>
    <t>Скипетр</t>
  </si>
  <si>
    <t>Физический урон: 29-44</t>
  </si>
  <si>
    <t>Шанс критического удара: 6.20%</t>
  </si>
  <si>
    <t>Атак в секунду: 1.25</t>
  </si>
  <si>
    <t>Уровень: 32</t>
  </si>
  <si>
    <t>Сила: 52</t>
  </si>
  <si>
    <t>Инт: 62</t>
  </si>
  <si>
    <t xml:space="preserve">Гнезда: B-R </t>
  </si>
  <si>
    <t>22% увеличение урона от стихий (implicit)</t>
  </si>
  <si>
    <t>Размещённые камни усилены Переохлаждением 1 уровня</t>
  </si>
  <si>
    <t>Размещённые камни усилены Укусом Льда 1 уровня</t>
  </si>
  <si>
    <t>Размещённые камни усилены Пронизывающим холодом 1 уровня</t>
  </si>
  <si>
    <t>Размещённые камни усилены Вытягиванием маны 1 уровня</t>
  </si>
  <si>
    <t>Размещённые камни усилены Уроном холодом 10 уровня</t>
  </si>
  <si>
    <t>Размещенные камни усилены Вдохновением 1 уровня</t>
  </si>
  <si>
    <t>Не противься холоду,</t>
  </si>
  <si>
    <t>оставь надежду,</t>
  </si>
  <si>
    <t>будь спокоен.</t>
  </si>
  <si>
    <t>Класс предмета: Посохи</t>
  </si>
  <si>
    <t>Болотная коряга</t>
  </si>
  <si>
    <t>Сучковатая ветка</t>
  </si>
  <si>
    <t>Посох</t>
  </si>
  <si>
    <t>Физический урон: 9-19</t>
  </si>
  <si>
    <t>Атак в секунду: 1.30</t>
  </si>
  <si>
    <t>Дальность оружия: 1.3 м</t>
  </si>
  <si>
    <t>+18% шанс блокировать урон от атак с посохом в руках (implicit)</t>
  </si>
  <si>
    <t>Размещённые камни усилены Ловушкой 8 уровня</t>
  </si>
  <si>
    <t>45% увеличение глобального урона</t>
  </si>
  <si>
    <t>18% увеличение максимума здоровья</t>
  </si>
  <si>
    <t>11% увеличение максимума маны</t>
  </si>
  <si>
    <t>«Если ты болотная коряга — бояться тебе нечего»</t>
  </si>
  <si>
    <t>Класс предмета: Жезлы</t>
  </si>
  <si>
    <t>Живой побег</t>
  </si>
  <si>
    <t>Жезл из плавника</t>
  </si>
  <si>
    <t>Жезл</t>
  </si>
  <si>
    <t>Физический урон: 5-9</t>
  </si>
  <si>
    <t>Шанс критического удара: 7.00%</t>
  </si>
  <si>
    <t>Атак в секунду: 1.40</t>
  </si>
  <si>
    <t>12% увеличение урона от чар (implicit)</t>
  </si>
  <si>
    <t>+1 к уровню размещённых камней чар</t>
  </si>
  <si>
    <t>26% увеличение урона от чар</t>
  </si>
  <si>
    <t>6% повышение скорости сотворения чар</t>
  </si>
  <si>
    <t>+16 к максимуму здоровья</t>
  </si>
  <si>
    <t>+19 к максимуму маны</t>
  </si>
  <si>
    <t>Регенерация 7 здоровья в течение 1 секунды, когда вы сотворяете чары</t>
  </si>
  <si>
    <t>И в Рэкласте осталась жизнь,</t>
  </si>
  <si>
    <t>от крохотных семян</t>
  </si>
  <si>
    <t>до стройных кипарисов.</t>
  </si>
  <si>
    <t>Класс предмета: Воинские посохи</t>
  </si>
  <si>
    <t>Исказитель бытия</t>
  </si>
  <si>
    <t>Крепкий посох</t>
  </si>
  <si>
    <t>Воинский посох</t>
  </si>
  <si>
    <t>Физический урон: 14-42</t>
  </si>
  <si>
    <t>Урон от стихий: 13-25 (augmented), 13-24 (augmented)</t>
  </si>
  <si>
    <t>Шанс критического удара: 6.40%</t>
  </si>
  <si>
    <t>Уровень: 13</t>
  </si>
  <si>
    <t>Сила: 27</t>
  </si>
  <si>
    <t>Инт: 27</t>
  </si>
  <si>
    <t>+1 к уровню размещённых камней огня</t>
  </si>
  <si>
    <t>+1 к уровню размещённых камней холода</t>
  </si>
  <si>
    <t>Размещённые камни усилены Холодом в огонь 5 уровня</t>
  </si>
  <si>
    <t>Добавляет от 13 до 25 урона от огня</t>
  </si>
  <si>
    <t>Добавляет от 13 до 24 урона от холода</t>
  </si>
  <si>
    <t>48% увеличение урона от стихий</t>
  </si>
  <si>
    <t>«Начало и конец божьим творениям</t>
  </si>
  <si>
    <t>всегда несут огонь и лёд.</t>
  </si>
  <si>
    <t>Всё хорошо, если этих знамений</t>
  </si>
  <si>
    <t>не видно на горизонте».</t>
  </si>
  <si>
    <t>Класс предмета: Одноручные мечи</t>
  </si>
  <si>
    <t>Ичимондзи</t>
  </si>
  <si>
    <t>Пиратский тесак</t>
  </si>
  <si>
    <t>Одноручный меч</t>
  </si>
  <si>
    <t>Физический урон: 55-183 (augmented)</t>
  </si>
  <si>
    <t>Шанс критического удара: 5.00%</t>
  </si>
  <si>
    <t>Атак в секунду: 1.91 (augmented)</t>
  </si>
  <si>
    <t>Уровень: 58</t>
  </si>
  <si>
    <t>Сила: 81</t>
  </si>
  <si>
    <t>Ловк: 117</t>
  </si>
  <si>
    <t xml:space="preserve">Гнезда: R B G </t>
  </si>
  <si>
    <t>Уровень предмета: 78</t>
  </si>
  <si>
    <t>40% повышение глобальной меткости (implicit)</t>
  </si>
  <si>
    <t>85% увеличение физического урона</t>
  </si>
  <si>
    <t>Добавляет от 10 до 19 физического урона</t>
  </si>
  <si>
    <t>23% повышение скорости атаки</t>
  </si>
  <si>
    <t>10% усиление положительных эффектов на вас</t>
  </si>
  <si>
    <t>10% увеличение эффективности удержания маны умениями</t>
  </si>
  <si>
    <t>Положительные эффекты аур союзников не действуют на вас</t>
  </si>
  <si>
    <t>Положительные эффекты ваших аур не действуют на ваших союзников</t>
  </si>
  <si>
    <t>Прежде, чем властвовать над другими, научись властвовать собой.</t>
  </si>
  <si>
    <t>Класс предмета: Шпаги</t>
  </si>
  <si>
    <t>Аурумворакс</t>
  </si>
  <si>
    <t>Рапира с чашей</t>
  </si>
  <si>
    <t>Физический урон: 27-62 (augmented)</t>
  </si>
  <si>
    <t>Шанс критического удара: 5.50%</t>
  </si>
  <si>
    <t>Атак в секунду: 1.55</t>
  </si>
  <si>
    <t>Дальность оружия: 1.4 м</t>
  </si>
  <si>
    <t>Уровень: 17</t>
  </si>
  <si>
    <t>Ловк: 62</t>
  </si>
  <si>
    <t xml:space="preserve">Гнезда: G R-G </t>
  </si>
  <si>
    <t>+25% к глобальному множителю критического удара (implicit)</t>
  </si>
  <si>
    <t>149% увеличение физического урона</t>
  </si>
  <si>
    <t>20% снижение редкости найденных предметов</t>
  </si>
  <si>
    <t>+57% к сопротивлению всем стихиям</t>
  </si>
  <si>
    <t>Дарует 3 здоровья за каждый удар по врагу</t>
  </si>
  <si>
    <t>К его огорчению, многие из собирателей диковинок</t>
  </si>
  <si>
    <t>прознали, что разумный дух его меча</t>
  </si>
  <si>
    <t>не желает делиться вниманием своего хозяина.</t>
  </si>
  <si>
    <t>Класс предмета: Двуручные мечи</t>
  </si>
  <si>
    <t>Терминус Эст</t>
  </si>
  <si>
    <t>Меч тигра</t>
  </si>
  <si>
    <t>Двуручный меч</t>
  </si>
  <si>
    <t>Физический урон: 192-316 (augmented)</t>
  </si>
  <si>
    <t>Шанс критического удара: 7.90% (augmented)</t>
  </si>
  <si>
    <t>Уровень: 51</t>
  </si>
  <si>
    <t>Сила: 80</t>
  </si>
  <si>
    <t xml:space="preserve">Гнезда: G R </t>
  </si>
  <si>
    <t>+360 к меткости (implicit)</t>
  </si>
  <si>
    <t>255% увеличение физического урона</t>
  </si>
  <si>
    <t>20% повышение скорости атаки</t>
  </si>
  <si>
    <t>58% повышение шанса критического удара</t>
  </si>
  <si>
    <t>Дарует 10 маны за каждого убитого врага</t>
  </si>
  <si>
    <t>Заряд ярости при нанесении критического удара</t>
  </si>
  <si>
    <t>Последним ужином он принял сталь меча,</t>
  </si>
  <si>
    <t>на диво теплую, звенящую упруго</t>
  </si>
  <si>
    <t>о том, что не конец придет сейчас.</t>
  </si>
  <si>
    <t>И улыбнулся смерти, словно другу.</t>
  </si>
  <si>
    <t>Класс предмета: Одноручные топоры</t>
  </si>
  <si>
    <t>Диадус</t>
  </si>
  <si>
    <t>Бесовской топор</t>
  </si>
  <si>
    <t>Одноручный топор</t>
  </si>
  <si>
    <t>Физический урон: 51-85</t>
  </si>
  <si>
    <t>Урон от стихий: 276-323 (augmented), 282-315 (augmented)</t>
  </si>
  <si>
    <t>Атак в секунду: 1.45 (augmented)</t>
  </si>
  <si>
    <t>Уровень: 69</t>
  </si>
  <si>
    <t>Сила: 158</t>
  </si>
  <si>
    <t>Ловк: 76</t>
  </si>
  <si>
    <t xml:space="preserve">Гнезда: R-G </t>
  </si>
  <si>
    <t>Добавляет от 276 до 323 урона от огня в правой руке</t>
  </si>
  <si>
    <t>Добавляет от 282 до 315 урона от холода в левой руке</t>
  </si>
  <si>
    <t>11% повышение скорости атаки</t>
  </si>
  <si>
    <t>25% шанс поджечь, если в правой руке</t>
  </si>
  <si>
    <t>100% увеличение урона от поджога, наложенного на охлаждённых врагов</t>
  </si>
  <si>
    <t>Охлаждает врагов на 1 секунду при нанесении удара этим оружием в левой руке</t>
  </si>
  <si>
    <t>Они рождены в любви и закалены в крови.</t>
  </si>
  <si>
    <t>Он горит факелом в чернейшей ночи,</t>
  </si>
  <si>
    <t>она сияет льдом под зимним солнцем.</t>
  </si>
  <si>
    <t>Оба горды и яростны,</t>
  </si>
  <si>
    <t>вечно держатся матери.</t>
  </si>
  <si>
    <t>Класс предмета: Двуручные топоры</t>
  </si>
  <si>
    <t>Отсекатель</t>
  </si>
  <si>
    <t>Колун</t>
  </si>
  <si>
    <t>Двуручный топор</t>
  </si>
  <si>
    <t>Физический урон: 45-91 (augmented)</t>
  </si>
  <si>
    <t>Сила: 36</t>
  </si>
  <si>
    <t>Ловк: 17</t>
  </si>
  <si>
    <t>+1 к уровню размещённых камней силы</t>
  </si>
  <si>
    <t>+27 к силе</t>
  </si>
  <si>
    <t>86% увеличение физического урона</t>
  </si>
  <si>
    <t>Добавляет от 5 до 10 физического урона</t>
  </si>
  <si>
    <t>Добивание</t>
  </si>
  <si>
    <t>Пространство рассекая, он поет</t>
  </si>
  <si>
    <t>о веренице срубленных голов.</t>
  </si>
  <si>
    <t>Класс предмета: Одноручные булавы</t>
  </si>
  <si>
    <t>Ледяное дыхание</t>
  </si>
  <si>
    <t>Украшенная булава</t>
  </si>
  <si>
    <t>Одноручная булава</t>
  </si>
  <si>
    <t>Физический урон: 83-105 (augmented)</t>
  </si>
  <si>
    <t>Урон от стихий: 31-40 (augmented)</t>
  </si>
  <si>
    <t>Атак в секунду: 1.36 (augmented)</t>
  </si>
  <si>
    <t>Сила: 161</t>
  </si>
  <si>
    <t>15% снижение порога оглушения врагов (implicit)</t>
  </si>
  <si>
    <t>Добавляет от 30 до 38 физического урона</t>
  </si>
  <si>
    <t>Добавляет от 31 до 40 урона от холода</t>
  </si>
  <si>
    <t>13% повышение скорости атаки</t>
  </si>
  <si>
    <t>+50% к сопротивлению огню</t>
  </si>
  <si>
    <t>39% увеличение длительности охлаждения на врагах</t>
  </si>
  <si>
    <t>Атаки этим оружием наносят двойной урон охлажденным врагам</t>
  </si>
  <si>
    <t>Милостивый убийца прошёл по Сарну,</t>
  </si>
  <si>
    <t>забирая дыхание слабых и убогих.</t>
  </si>
  <si>
    <t>Класс предмета: Двуручные булавы</t>
  </si>
  <si>
    <t>Дом пустоты</t>
  </si>
  <si>
    <t>Ужасающий молот</t>
  </si>
  <si>
    <t>Двуручная булава</t>
  </si>
  <si>
    <t>Физический урон: 193-260 (augmented)</t>
  </si>
  <si>
    <t>Атак в секунду: 1.88 (augmented)</t>
  </si>
  <si>
    <t>Сила: 173</t>
  </si>
  <si>
    <t xml:space="preserve">Гнезда: R R-R </t>
  </si>
  <si>
    <t>30% увеличение длительности оглушения на врагах (implicit)</t>
  </si>
  <si>
    <t>150% увеличение физического урона</t>
  </si>
  <si>
    <t>50% повышение скорости атаки</t>
  </si>
  <si>
    <t>50% снижение редкости найденных предметов</t>
  </si>
  <si>
    <t>35% уменьшение получаемого опыта</t>
  </si>
  <si>
    <t>0.4% физического урона от атак похищается в виде маны</t>
  </si>
  <si>
    <t>Будь проклята упавшая звезда.</t>
  </si>
  <si>
    <t>Класс предмета: Разбойничьи броши</t>
  </si>
  <si>
    <t>Ужасный горжет</t>
  </si>
  <si>
    <t>Серебряная брошь</t>
  </si>
  <si>
    <t>Этот предмет может использовать любой наёмник.</t>
  </si>
  <si>
    <t>Любая роль 2 уровня</t>
  </si>
  <si>
    <t>14% повышение редкости предметов, выпадающих во время краж (implicit)</t>
  </si>
  <si>
    <t>38% увеличение урона</t>
  </si>
  <si>
    <t>Сундуки Кражи имеют 7% шанс удвоить содержащиеся в них сферы Делириума и осколки</t>
  </si>
  <si>
    <t>7% уменьшение стоимости найма</t>
  </si>
  <si>
    <t>23% повышение редкости предметов, выпадающих во время краж</t>
  </si>
  <si>
    <t>Может использоваться только членами воровского отряда.</t>
  </si>
  <si>
    <t>Класс предмета: Разбойничьи накидки</t>
  </si>
  <si>
    <t>Трупный саван</t>
  </si>
  <si>
    <t>Истрёпанная накидка</t>
  </si>
  <si>
    <t>Любая роль 3 уровня</t>
  </si>
  <si>
    <t>3% уменьшение поднимаемого уровня тревоги (implicit)</t>
  </si>
  <si>
    <t>23% увеличение урона пока область не изолирована</t>
  </si>
  <si>
    <t>Игроки наносят увеличенный на 23% урон пока область не изолирована</t>
  </si>
  <si>
    <t>3% уменьшение поднимаемого из-за открытия сундуков уровня тревоги</t>
  </si>
  <si>
    <t>Класс предмета: Разбойничьи принадлежности</t>
  </si>
  <si>
    <t>Фениксовый агрегат</t>
  </si>
  <si>
    <t>Грубый оселок</t>
  </si>
  <si>
    <t>Уровень предмета: 71</t>
  </si>
  <si>
    <t>14% увеличение урона в ближнем бою (implicit)</t>
  </si>
  <si>
    <t>Добавляет от 12 до 20 урона от холода</t>
  </si>
  <si>
    <t>Игроки и их приспешники имеют от 12 до 20 добавленного урона от холода</t>
  </si>
  <si>
    <t>6% уменьшение стоимости найма</t>
  </si>
  <si>
    <t>Дарует умение Гордость 5 уровня</t>
  </si>
  <si>
    <t>Класс предмета: Предметы кражи</t>
  </si>
  <si>
    <t>Череп гоминида с бивнями</t>
  </si>
  <si>
    <t>Уровень предмета: 27</t>
  </si>
  <si>
    <t>«Если это настоящий, а не поддельный череп, он может доказать, что моих сородичей</t>
  </si>
  <si>
    <t>нельзя причислять к выродкам. С ним само понятие "человек" придётся трактовать шире».</t>
  </si>
  <si>
    <t>Можно обменять у Фауста Скупщика в Разбойничьей гавани</t>
  </si>
  <si>
    <t>Класс предмета: Разбойничий инструмент</t>
  </si>
  <si>
    <t>Мучимый материал</t>
  </si>
  <si>
    <t>Cвязка типовых ключей</t>
  </si>
  <si>
    <t>Этот предмет могут использовать:</t>
  </si>
  <si>
    <t>Виндери Разборщик</t>
  </si>
  <si>
    <t>Туллина Ловкачка</t>
  </si>
  <si>
    <t>Айла Инженер</t>
  </si>
  <si>
    <t>разминирование 2 уровня</t>
  </si>
  <si>
    <t>4% повышение скорости использования Разминирования (implicit)</t>
  </si>
  <si>
    <t>Доля Круга в добыче уменьшается на 9%</t>
  </si>
  <si>
    <t>+2 секунд(-ы) к времени до изоляции</t>
  </si>
  <si>
    <t>3% увеличение получаемого в делах опыта наёмников</t>
  </si>
  <si>
    <t>Класс предмета: Украшения</t>
  </si>
  <si>
    <t>Пророческий узелок</t>
  </si>
  <si>
    <t>Воровское украшение</t>
  </si>
  <si>
    <t>Уровень: 40</t>
  </si>
  <si>
    <t>3% шанс получить дополнительные предметы Разлома при открытии сундука с наградой в Краже</t>
  </si>
  <si>
    <t>Выпадающие во время краж сферы перемен имеют 15% шанс стать сферами алхимии</t>
  </si>
  <si>
    <t>Выпадающие во время краж цветные сферы имеют 20% шанс стать сферами соединения</t>
  </si>
  <si>
    <t>Вы должны найти скульптуру "Улов" на чертеже Притона контрабандистов или Подполья, чтобы надеть этот предмет</t>
  </si>
  <si>
    <t>Класс предмета: Удочки</t>
  </si>
  <si>
    <t>Проклятие рифов</t>
  </si>
  <si>
    <t>Удочка</t>
  </si>
  <si>
    <t>Физический урон: 8-15</t>
  </si>
  <si>
    <t>Атак в секунду: 1.20</t>
  </si>
  <si>
    <t>34% повышение скорости сотворения чар</t>
  </si>
  <si>
    <t>Волшебная приманка</t>
  </si>
  <si>
    <t>15% увеличение количества пойманной рыбы</t>
  </si>
  <si>
    <t>Светится в области с уникальной рыбой</t>
  </si>
  <si>
    <t>Он забросил крючок в океан</t>
  </si>
  <si>
    <t>и вырвал его самое сердце.</t>
  </si>
  <si>
    <t>Класс предмета: Исследования Святилища</t>
  </si>
  <si>
    <t>Запретный том</t>
  </si>
  <si>
    <t>Уровень области: 81</t>
  </si>
  <si>
    <t>Отнесите этот предмет к алтарю реликвий в Запретном Святилище, чтобы войти.</t>
  </si>
  <si>
    <t>ชนิดไอเทม: บทวิจัยเทวสถาน</t>
  </si>
  <si>
    <t>ความหายาก: เงินตรา</t>
  </si>
  <si>
    <t>คัมภีร์ต้องห้าม</t>
  </si>
  <si>
    <t>ด่านเลเวล: 81</t>
  </si>
  <si>
    <t>เลเวลไอเทม: 81</t>
  </si>
  <si>
    <t>โลก​เรา​ล่ม​สลาย อสุรกาย​อยู่​ถ้วน​ทั่ว</t>
  </si>
  <si>
    <t>ข้า​โยน​เล่ม​นี้​ใส่​แท่น​บูชา เผื่อ​ว่า​ผู้​ใด​พบ​ทางออก...</t>
  </si>
  <si>
    <t>นำ​ไอเทม​ชิ้น​นี้​ไป​ที่ แท่น​วัตถุ​ตกทอด ภายใน เทวสถาน​ต้องห้าม เพื่อ​เข้า​สู่​เทวสถาน</t>
  </si>
  <si>
    <t>ชนิดไอเทม: หินสกิล</t>
  </si>
  <si>
    <t>ความหายาก: หิน</t>
  </si>
  <si>
    <t>Anomalous ระดมยิง (Barrage)</t>
  </si>
  <si>
    <t>โจมตี, กระสุน, ธนู</t>
  </si>
  <si>
    <t>เลเวล: 20 (สูงสุด)</t>
  </si>
  <si>
    <t>ค่าใช้งาน: มานา 11</t>
  </si>
  <si>
    <t>ความเสียหายโจมตี: 54.6% ของค่าพื้นฐาน</t>
  </si>
  <si>
    <t>ประสิทธิภาพการเสริมความเสียหาย: 55%</t>
  </si>
  <si>
    <t>ค่าคุณภาพ: +11% (augmented)</t>
  </si>
  <si>
    <t>ค่าคุณภาพแบบพิเศษ</t>
  </si>
  <si>
    <t>เงื่อนไข:</t>
  </si>
  <si>
    <t>เลเวล: 70</t>
  </si>
  <si>
    <t>หลังจากเวลาเตรียมการสั้นๆ คุณจะโจมตีซ้ำๆ ด้วยอาวุธระยะไกล การโจมตีเหล่านี้มีการกระจายแบบสุ่มขนาดเล็ก ต้องใช้กับ ธนูหรือไม้กายสิทธิ์ เท่านั้น สกิลนี้ไม่สามารถถูกทริกเกอร์ได้</t>
  </si>
  <si>
    <t>มีโอกาส ผลักศัตรูออกไป 11% เมื่อปะทะ</t>
  </si>
  <si>
    <t>ยิงกระสุน เพิ่มเติม 4 ลูก</t>
  </si>
  <si>
    <t>ยิงกระสุนเป็นชุด</t>
  </si>
  <si>
    <t>ใส่ในรูของไอเทมที่มีสีตรงกันเพื่อรับสกิลนี้ คลิกขวาเพื่อถอดออกจากรู</t>
  </si>
  <si>
    <t>มีมลทิน</t>
  </si>
  <si>
    <t>ชนิดไอเทม: หินเสริม</t>
  </si>
  <si>
    <t>Divergent หินเสริม Divine Blessing</t>
  </si>
  <si>
    <t>เสริม, ออร่า, กาลเวลา, พร</t>
  </si>
  <si>
    <t>ค่าคุณภาพ: +20% (augmented)</t>
  </si>
  <si>
    <t>ใช้เสริม สกิลออร่า ที่สร้างออร่าถาวรรอบตัวคุณ เปลี่ยนค่าสำรองของสกิลเหล่านี้เป็นค่าใช้งาน และทำให้มีผลชั่วคราว ไม่สามารถเสริม สกิลธงหรือกระบวนท่า ได้</t>
  </si>
  <si>
    <t>สกิลที่เสริม มีค่าใช้งานมานา ลดลง 5%</t>
  </si>
  <si>
    <t>สกิลที่เสริม มีผลของออร่า เพิ่มขึ้น 29%</t>
  </si>
  <si>
    <t>สกิลที่เสริม ใช้งานมานา +233</t>
  </si>
  <si>
    <t>สกิลที่เสริม นับว่าเป็น สกิลพร</t>
  </si>
  <si>
    <t>คุณมีออร่าบนตัวคุณได้เพียง 1 อย่าง จาก สกิลพรของคุณ</t>
  </si>
  <si>
    <t>ออร่าจากสกิลที่เสริม มีระยะเวลาพื้นฐาน 10.90 วินาที</t>
  </si>
  <si>
    <t>นี่คือหินเสริม โดยตัวมันเองจะไม่สามารถทำอะไรได้ แต่มันจะส่งผลกับหินสกิลที่เชื่อมต่อกันในไอเทมของคุณ จงใส่มันไว้ในไอเทมที่มีรูเชื่อมต่อกันกับหินสกิลของคุณเพื่อเพิ่มความสามารถ คลิกขวาเพื่อถอดออกจากรู</t>
  </si>
  <si>
    <t>Phantasmal ทุบเปลือกโลกแยก (Tectonic Slam)</t>
  </si>
  <si>
    <t>ไฟ, โจมตี, พื้นที่, ทุบ, ประชิด</t>
  </si>
  <si>
    <t>เลเวล: 16</t>
  </si>
  <si>
    <t>ค่าใช้งาน: มานา 10</t>
  </si>
  <si>
    <t>ความเร็วในการโจมตี: 80% ของค่าพื้นฐาน</t>
  </si>
  <si>
    <t>ความเสียหายโจมตี: 255% ของค่าพื้นฐาน</t>
  </si>
  <si>
    <t>ประสิทธิภาพการเสริมความเสียหาย: 255%</t>
  </si>
  <si>
    <t>เลเวล: 62</t>
  </si>
  <si>
    <t>ทุบพื้นเพื่อปลดปล่อยรอยแยกไฟตรงหน้าคุณ สร้างความเสียหาย พื้นที่ และทำให้เกิดรอยแยกขนาดเล็กพื้นเติมแบบสุ่ม สกิลนี้จะใช้ Endurance Charge 1 ลูกเมื่อคุณทุบพื้นด้วยสกิลนี้เป็นครั้งที่สาม ต้องใช้กับ กระบอง, คทา, ดาบ, ขวาน, ไม้พลอง หรือ มือเปล่า เท่านั้น</t>
  </si>
  <si>
    <t>แปลงความเสียหาย กายภาพ 60% เป็น ไฟ</t>
  </si>
  <si>
    <t>เพิ่มความเสียหาย ไฟ 11%</t>
  </si>
  <si>
    <t>เพิ่มพื้นที่ส่งผล อีก 5% ต่อจำนวน Endurance Charge</t>
  </si>
  <si>
    <t>มีโอกาสทำให้รอยแยกแตกแขนง +5% ต่อจำนวน Endurance Charge</t>
  </si>
  <si>
    <t>มีโอกาสทำให้รอยแยกแตกแขนง 30%</t>
  </si>
  <si>
    <t>ค่าประสบการณ์: 4,897,423/15,138,193</t>
  </si>
  <si>
    <t>ชนิดไอเทม: เงินตรารวมกองได้</t>
  </si>
  <si>
    <t>ขนาดกอง: 1/20</t>
  </si>
  <si>
    <t>สุ่ม​ม็อด​ทุก​อย่าง​บน ไอเทม​แรร์ ขึ้น​มา​ใหม่</t>
  </si>
  <si>
    <t>คลิก​ขวา​ที่​ไอเทม​ชิ้น​นี้ จากนั้น​คลิก​ซ้าย​ที่ ไอเทม​แรร์ เพื่อ​ใช้​งาน</t>
  </si>
  <si>
    <t>ชนิดไอเทม: เงินตรามีรูของเหมืองแบบรวมกองได้</t>
  </si>
  <si>
    <t>ตัวสั่นพ้องโกลาหลดึกดำบรรพ์</t>
  </si>
  <si>
    <t>ขนาดกอง: 1/10</t>
  </si>
  <si>
    <t>ต้องการ ฟอสซิล 1 (unmet) ชิ้น</t>
  </si>
  <si>
    <t xml:space="preserve">รู: D </t>
  </si>
  <si>
    <t>ไอเทมชิ้นนี้ต้องมี ฟอสซิล เต็มทุกช่องก่อน จึงจะสามารถใช้งานได้</t>
  </si>
  <si>
    <t>ชนิดไอเทม: ไพ่พยากรณ์</t>
  </si>
  <si>
    <t>ความหายาก: ไพ่พยากรณ์</t>
  </si>
  <si>
    <t>ชีวิต​ไม่ใช่​สิ่ง​ที่​เจ้า​ลิขิต แต่​เป็น​สิ่ง​ที่​ถูก​ลิขิต​ให้​กับ​เจ้า​ต่าง​หาก</t>
  </si>
  <si>
    <t>ชนิดไอเทม: ชิ้นส่วนตัวอย่างเมตามอร์ฟ</t>
  </si>
  <si>
    <t>ความหายาก: ยูนิค</t>
  </si>
  <si>
    <t>สมองของ กัปตันเคลย์บอร์น ผู้ต้องสาป</t>
  </si>
  <si>
    <t>ใช้: กระสุนวิญญาณ</t>
  </si>
  <si>
    <t>เลเวลไอเทม: 80</t>
  </si>
  <si>
    <t>ดรอป ไอเทมเงินตรา เพิ่มเติม</t>
  </si>
  <si>
    <t>ดรอป หินที่มีค่าคุณภาพ เพิ่มเติม</t>
  </si>
  <si>
    <t>ดรอป อาวุธแรร์ 5 เชื่อม 1 ชิ้น</t>
  </si>
  <si>
    <t>ผสมตัวอย่างนี้กับตัวอย่างอื่นอีก 4 ชิ้นได้ที่ห้องทดลองของทาเน</t>
  </si>
  <si>
    <t>ชนิดไอเทม: แผนที่</t>
  </si>
  <si>
    <t>ความหายาก: ปกติ</t>
  </si>
  <si>
    <t>ระดับแผนที่: 13</t>
  </si>
  <si>
    <t>ด่าน ติดเชื้อจาก ก้อนเชื้อร้าย (implicit)</t>
  </si>
  <si>
    <t>ม็อดที่ส่งผลต่อ จำนวนของไอเทม จะส่งผลต่อจำนวน หีบไบล์ท เช่นกันในสัดส่วน 25% ของค่าดังกล่าว (implicit)</t>
  </si>
  <si>
    <t>สามารถ เจิม ได้สูงสุด 3 ครั้ง (implicit)</t>
  </si>
  <si>
    <t>ผู้อาศัยตามธรรมชาติของด่านนี้ ถูกกำจัดออกไป (implicit)</t>
  </si>
  <si>
    <t>เดินทาง​ไปยัง แผนที่นี้ ด้วย​การ​ใช้​ไอเทม​นี้​​ใน เครื่อง​เปิด​แผนที่ ของ​คุณ แผนที่​แต่​ละ​ชิ้น​สามารถ​ใช้ได้​เพียง​ครั้ง​เดียว​เท่านั้น</t>
  </si>
  <si>
    <t>ระดับแผนที่: 15</t>
  </si>
  <si>
    <t>มอนสเตอร์เลเวล: 85 (implicit)</t>
  </si>
  <si>
    <t>เพิ่มพลังชีวิตของ มอนสเตอร์ อีก 200% (implicit)</t>
  </si>
  <si>
    <t>เพิ่มความเร็วในการเคลื่อนที่ของ มอนสเตอร์ 20% (implicit)</t>
  </si>
  <si>
    <t>ม็อดที่ส่งผลต่อ จำนวนของไอเทม จะส่งผลต่อจำนวน หีบไบล์ท เช่นกันในสัดส่วน 50% ของค่าดังกล่าว (implicit)</t>
  </si>
  <si>
    <t>สามารถ เจิม ได้สูงสุด 9 ครั้ง (implicit)</t>
  </si>
  <si>
    <t>ชนิดไอเทม: พิมพ์เขียว</t>
  </si>
  <si>
    <t>พิมพ์เขียว: โกดัง</t>
  </si>
  <si>
    <t>เป้าหมายการโจรกรรม: หินที่ไม่ปกติ</t>
  </si>
  <si>
    <t>ด่านเลเวล: 74</t>
  </si>
  <si>
    <t>ปีกที่เปิดเผย: 1/3</t>
  </si>
  <si>
    <t>เส้นทางหลบหนีที่เปิดเผย: 1/6</t>
  </si>
  <si>
    <t>ห้องของรางวัลที่เปิดเผย: 2/15</t>
  </si>
  <si>
    <t>ต้องมี รื้อถอน (ระดับ 2)</t>
  </si>
  <si>
    <t>ต้องมี ปลดกับดัก (ระดับ 1)</t>
  </si>
  <si>
    <t>ต้องมี ความคล่องตัว (ระดับ 1)</t>
  </si>
  <si>
    <t>เลเวลไอเทม: 74</t>
  </si>
  <si>
    <t>ใช้ ข้อมูลลับ เพื่อเปิดเผยปีกและห้องต่างๆ ได้จากการคุยกับ NPC ภายในท่าเรือโจร จากนั้นนำพิมพ์เขียวไปให้กับ อาดีย์ยา เพื่อออกเดินทางสู่การโจรกรรมครั้งใหญ่</t>
  </si>
  <si>
    <t>ชนิดไอเทม: สัญญาจ้าง</t>
  </si>
  <si>
    <t>ความหายาก: เมจิก</t>
  </si>
  <si>
    <t>Impeding สัญญาจ้าง: บังเกอร์</t>
  </si>
  <si>
    <t>ผู้จ้างวาน: มาร์ซีน คลาวูส</t>
  </si>
  <si>
    <t>เป้าหมายการโจรกรรม: เครื่องประกอบลึกลับ บี 5 (มีมูลค่าพอประมาณ)</t>
  </si>
  <si>
    <t>ด่านเลเวล: 6</t>
  </si>
  <si>
    <t>ต้องมี งานช่าง (ระดับ 1)</t>
  </si>
  <si>
    <t>จำนวนของไอเทม: +13% (augmented)</t>
  </si>
  <si>
    <t>ระดับความหายากของไอเทม: +8% (augmented)</t>
  </si>
  <si>
    <t>ลดระดับการรู้ตัว: +5% (augmented)</t>
  </si>
  <si>
    <t>เวลาก่อนการปิดกั้นสถานที่: +5% (augmented)</t>
  </si>
  <si>
    <t>จำนวนกำลังเสริมที่มีชีวิตสูงสุด: +5% (augmented)</t>
  </si>
  <si>
    <t>เลเวลไอเทม: 6</t>
  </si>
  <si>
    <t>ลดความเร็วในการใช้ทักษะ 14%</t>
  </si>
  <si>
    <t>ข้า​ใช้​ทรัพย์สมบัติ​ของ​ครอบครัว​ข้า​ไป​จน​หมด​สิ้น​เพื่อ​ตาม​หา​อุปกรณ์​นี้_x000D_
ข้า​เหลือ​เพียง​การ​ประกอบ​และ​เปิด​อุปกรณ์​นี้​เท่านั้น</t>
  </si>
  <si>
    <t>นำสัญญาจ้างนี้ไปให้ อาดีย์ยา ในท่าเรือโจรเพื่อออกเดินทางสู่การโจรกรรม</t>
  </si>
  <si>
    <t>ชนิดไอเทม: สมุดปูมเดินทางกองสำรวจ</t>
  </si>
  <si>
    <t>สมุดปูมเดินทางกองสำรวจ</t>
  </si>
  <si>
    <t>ด่านเลเวล: 76</t>
  </si>
  <si>
    <t>เลเวลไอเทม: 76</t>
  </si>
  <si>
    <t>ซากปรักหักพังทะเลทราย</t>
  </si>
  <si>
    <t>ภาคีถ้วยจอก</t>
  </si>
  <si>
    <t>เพิ่มจำนวนของ โบราณวัตถุ ที่ดรอปจากมอนสเตอร์ 10% (implicit)</t>
  </si>
  <si>
    <t>ด่าน มีจำนวนของ ซากอารยธรรม เพิ่มขึ้น 23% (implicit)</t>
  </si>
  <si>
    <t>สุสานสงครามคารุย</t>
  </si>
  <si>
    <t>เพิ่มจำนวนของ วัตถุระเบิด 40% (implicit)</t>
  </si>
  <si>
    <t>ด่าน มีจำนวนของ เครื่องหมายมอนสเตอร์ เพิ่มขึ้น 15% (implicit)</t>
  </si>
  <si>
    <t>นำไอเทมชิ้นนี้ไปให้กับ แดนนิก ภายในที่ซ่อนของคุณเพื่อเปิดวาร์ปสู่กองสำรวจ</t>
  </si>
  <si>
    <t>ระดับแผนที่: 16</t>
  </si>
  <si>
    <t>จำนวนของไอเทม: +19% (augmented)</t>
  </si>
  <si>
    <t>ระดับความหายากของไอเทม: +11% (augmented)</t>
  </si>
  <si>
    <t>ขนาดกองมอนสเตอร์: +7% (augmented)</t>
  </si>
  <si>
    <t>เลเวลไอเทม: 84</t>
  </si>
  <si>
    <t>เพิ่มความเร็วในการเคลื่อนที่ของ มอนสเตอร์ 26%</t>
  </si>
  <si>
    <t>เพิ่มความเร็วในการโจมตีของ มอนสเตอร์ 43%</t>
  </si>
  <si>
    <t>เพิ่มความเร็วในการร่ายของ มอนสเตอร์ 38%</t>
  </si>
  <si>
    <t>ชนิดไอเทม: ชิ้นส่วนแผนที่</t>
  </si>
  <si>
    <t>สังเวยย่ำสายัณห์</t>
  </si>
  <si>
    <t>พวกวาล์​ต้อง​ไม่เคย​เกรงกลัว​ยาม​ดวงอาทิตย์​ของ​เรา​บ่าย​คล้อย</t>
  </si>
  <si>
    <t>ใช้​ใน เครื่อง​เปิด​แผนที่ ของ​คุณ</t>
  </si>
  <si>
    <t>ชนิดไอเทม: ความทรงจำ</t>
  </si>
  <si>
    <t>ความทรงจำของนิโค้ แห่งหลุมลึก</t>
  </si>
  <si>
    <t>ด่านมี อะบิส เพิ่มเติม</t>
  </si>
  <si>
    <t>อะบิส เปิดออกโดยสมบูรณ์</t>
  </si>
  <si>
    <t>อะบิสมี มอนสเตอร์ต่างมิติ</t>
  </si>
  <si>
    <t>คลิก​ขวา​ที่​ไอเทม​ชิ้น​นี้ จากนั้น​คลิกซ้าย​ที่ แผนที่​ที่​ผ่าน ใน​สมุดแผนที่​ของ​คุณ​เพื่อ​ใช้​งาน ​ความ​ทรงจำ ชิ้น​นี้</t>
  </si>
  <si>
    <t>ไม่สามารถแก้ไขได้</t>
  </si>
  <si>
    <t>ชนิดไอเทม: ไอเทมแผนที่อื่นๆ</t>
  </si>
  <si>
    <t>คำเชิญชักดิ้น</t>
  </si>
  <si>
    <t>เลเวลไอเทม: 83</t>
  </si>
  <si>
    <t>ม็อดที่ส่งผลต่อ จำนวนของไอเทม ส่งผลต่อ จำนวนของ ของรางวัลที่บอสดรอป เช่นกัน (implicit)</t>
  </si>
  <si>
    <t>ความหิวโหย​ไม่รู้สิ้น​เฝ้า​รอ​ ณ ​ช่อง​ท้อง​จักรวาล</t>
  </si>
  <si>
    <t>ที่​ที่​อารยธรรม​ทั้ง​หลาย​ถูก​ย่อยสลาย แต่​หา​ได้​ตาย​ไม่</t>
  </si>
  <si>
    <t>เปิด​วาร์ป​ไป​ยัง ตะกอนน้ำย่อยที่เดือดพล่าน ด้วย​การ​ใช้​ไอเทม​ชิ้น​นี้​ใน เครื่อง​เปิด​แผนที่ ของ​คุณ</t>
  </si>
  <si>
    <t>ชนิดไอเทม: ขวดยาผสม</t>
  </si>
  <si>
    <t>ค่าคุณภาพ: +18% (augmented)</t>
  </si>
  <si>
    <t>เติมพลังชีวิต 1699 (augmented) ในเวลา 5 วินาที</t>
  </si>
  <si>
    <t>เติมมานา 472 (augmented) ในเวลา 5 วินาที</t>
  </si>
  <si>
    <t>ใช้ 20 จาก 40 ชาร์จต่อการใช้หนึ่งครั้ง</t>
  </si>
  <si>
    <t>ปัจจุบันมี 0 ชาร์จ</t>
  </si>
  <si>
    <t>เลเวล: 50</t>
  </si>
  <si>
    <t>เลเวลไอเทม: 77</t>
  </si>
  <si>
    <t>คลิกขวาเพื่อดื่ม สามารถเก็บชาร์จได้เมื่ออยู่ในเข็มขัดเท่านั้น ได้รับชาร์จเพิ่มเมื่อสังหารมอนสเตอร์</t>
  </si>
  <si>
    <t>ชนิดไอเทม: ขวดยามานา</t>
  </si>
  <si>
    <t>ค่าคุณภาพ: +15% (augmented)</t>
  </si>
  <si>
    <t>เติมมานา 2070 (augmented) ในเวลา 7 วินาที</t>
  </si>
  <si>
    <t>ใช้ 8 จาก 42 ชาร์จต่อการใช้หนึ่งครั้ง</t>
  </si>
  <si>
    <t>เลเวล: 65</t>
  </si>
  <si>
    <t>เลเวลไอเทม: 70</t>
  </si>
  <si>
    <t>ชนิดไอเทม: ขวดยาพลังชีวิต</t>
  </si>
  <si>
    <t>ค่าคุณภาพ: +8% (augmented)</t>
  </si>
  <si>
    <t>เติมพลังชีวิต 2246 (augmented) ในเวลา 2 วินาที</t>
  </si>
  <si>
    <t>ใช้ 15 จาก 45 ชาร์จต่อการใช้หนึ่งครั้ง</t>
  </si>
  <si>
    <t>เลเวลไอเทม: 68</t>
  </si>
  <si>
    <t>ชนิดไอเทม: ขวดยาช่วยเหลือ</t>
  </si>
  <si>
    <t>ค่าคุณภาพ: +2% (augmented)</t>
  </si>
  <si>
    <t>คงอยู่ 6.10 (augmented) วินาที</t>
  </si>
  <si>
    <t>ใช้ 32 (augmented) จาก 60 ชาร์จต่อการใช้หนึ่งครั้ง</t>
  </si>
  <si>
    <t>เร่งราวี</t>
  </si>
  <si>
    <t>เลเวล: 46</t>
  </si>
  <si>
    <t>เลเวลไอเทม: 63</t>
  </si>
  <si>
    <t>ลดการใช้งานชาร์จ 18% ในการใช้งานแต่ละครั้ง</t>
  </si>
  <si>
    <t>เพิ่มค่าเกราะ 53% ขณะที่มีผล</t>
  </si>
  <si>
    <t>ชนิดไอเทม: สร้อย</t>
  </si>
  <si>
    <t>เลเวล: 30</t>
  </si>
  <si>
    <t>เลเวลไอเทม: 75</t>
  </si>
  <si>
    <t>เพิ่มระดับความหายากของ ไอเทม ที่พบ 20% (implicit)</t>
  </si>
  <si>
    <t>เพิ่มระดับความหายากของ ไอเทม ที่ดรอปจาก ศัตรูเมจิก ที่ถูกสังหาร 146%</t>
  </si>
  <si>
    <t>เพิ่มจำนวนของ ไอเทม ที่ดรอปจาก ศัตรูธรรมดา ที่ถูกสังหาร 39%</t>
  </si>
  <si>
    <t>มิตรภาพ​หนักแน่น​ดุจ​ทอง</t>
  </si>
  <si>
    <t>เป็น​สมบัติ​ของ​ชีวิต</t>
  </si>
  <si>
    <t>ข้า​คิด​ว่า​เรา​จะ​แก่​ชรา​ไป​ด้วย​กัน</t>
  </si>
  <si>
    <t>จน​ถึง​วัน​ที่​โชคชะตา​พราก​เจ้า​ไป</t>
  </si>
  <si>
    <t>ไอเทมยูนิคฟอยล์ (แสดตะวันตกดิน)</t>
  </si>
  <si>
    <t>ชนิดไอเทม: แหวน</t>
  </si>
  <si>
    <t>มานาสูงสุด +24 (implicit)</t>
  </si>
  <si>
    <t>ยังไม่ได้ตรวจสอบ</t>
  </si>
  <si>
    <t>ชนิดไอเทม: หมวก</t>
  </si>
  <si>
    <t>ค่าเกราะ: 702 (augmented)</t>
  </si>
  <si>
    <t>เลเวล: 60</t>
  </si>
  <si>
    <t xml:space="preserve">รู: R-R </t>
  </si>
  <si>
    <t>เลเวลไอเทม: 85</t>
  </si>
  <si>
    <t>ค่าคุณสมบัติทั้งหมด +21</t>
  </si>
  <si>
    <t>เสริมความเสียหาย กายภาพ 40 ถึง 60 ให้กับการโจมตี</t>
  </si>
  <si>
    <t>ตัวคูณคริติคอล ประชิด +112%</t>
  </si>
  <si>
    <t>เพิ่มค่าเกราะ 103%</t>
  </si>
  <si>
    <t>เพิ่มความเสียหาย กายภาพ ที่ได้รับ 49%</t>
  </si>
  <si>
    <t>เมื่อ​เจ้า​ได้​ฆ่า​ศัตรู​ของ​เจ้า​หมด​แล้ว</t>
  </si>
  <si>
    <t>จะ​เหลือ​อะไร​ให้​ต้อง​กลัว​อีก?</t>
  </si>
  <si>
    <t>ชนิดไอเทม: เสื้อเกราะ</t>
  </si>
  <si>
    <t>อัตราการหลบหลีก: 964 (augmented)</t>
  </si>
  <si>
    <t>โล่พลังงาน: 197 (augmented)</t>
  </si>
  <si>
    <t xml:space="preserve">รู: B-B </t>
  </si>
  <si>
    <t>เพิ่มการหลบหลีกและโล่พลังงาน 149%</t>
  </si>
  <si>
    <t>พลังชีวิตสูงสุด +51</t>
  </si>
  <si>
    <t>ค่าต้านทาน ทุกธาตุ +11%</t>
  </si>
  <si>
    <t>เพิ่มพื้นที่ส่งผล 47%</t>
  </si>
  <si>
    <t>เพิ่มความเสียหาย พื้นที่ 42%</t>
  </si>
  <si>
    <t>เอฟเฟค Extra Gore</t>
  </si>
  <si>
    <t>...ความรู้สึก​กระอักกระอ่วน​ใจ​ที่​คนอื่น​แสดง​ให้​เห็น​เป็น​สิ่ง​ที่​น่าขัน_x000D_
แต่​ไม่มี​ใคร​ปฏิเสธ​ได้​ว่า​งาน​ของ​ข้า​ทำได้​อย่าง​ครึกโครม​ไม่​น้อย...</t>
  </si>
  <si>
    <t>ชนิดไอเทม: โล่</t>
  </si>
  <si>
    <t>โอกาสบล็อค: 24%</t>
  </si>
  <si>
    <t>อัตราการหลบหลีก: 1154 (augmented)</t>
  </si>
  <si>
    <t xml:space="preserve">รู: R </t>
  </si>
  <si>
    <t>เพิ่มความเร็วในการเคลื่อนที่ 6% (implicit)</t>
  </si>
  <si>
    <t>เพิ่มอัตราการหลบหลีก 142%</t>
  </si>
  <si>
    <t>เพิ่มความเร็วในการเคลื่อนที่ 10%</t>
  </si>
  <si>
    <t>ค่าต้านทาน ไฟและน้ำแข็ง +16%</t>
  </si>
  <si>
    <t>มีโอกาสหลีกเลี่ยงความเสียหาย ปะทะ ธาตุ +10% ขณะที่มีสถานะ ทะลุมิติ</t>
  </si>
  <si>
    <t>โอกาสบล็อคการโจมตีของคุณจะกลายเป็นค่าสูงสุด หากคุณไม่ได้บล็อคมาเร็วๆ นี้</t>
  </si>
  <si>
    <t>คุณได้รับสถานะ ทะลุมิติ หากคุณบล็อคมาเร็วๆ นี้</t>
  </si>
  <si>
    <t>เบา​เหมือน​แผ่นไม้</t>
  </si>
  <si>
    <t>แข็ง​เหมือน​ขนนก</t>
  </si>
  <si>
    <t>ชนิดไอเทม: มีดอาคม</t>
  </si>
  <si>
    <t>มีดอาคม</t>
  </si>
  <si>
    <t>ความเสียหายกายภาพ: 18-73</t>
  </si>
  <si>
    <t>ความเสียหายธาตุ: 167-304 (augmented)</t>
  </si>
  <si>
    <t>โอกาสคริติคอล: 6.30%</t>
  </si>
  <si>
    <t>จำนวนครั้งการโจมตีต่อวินาที: 1.68 (augmented)</t>
  </si>
  <si>
    <t>ระยะของอาวุธ: 1 เมตร</t>
  </si>
  <si>
    <t>เลเวล: 66</t>
  </si>
  <si>
    <t xml:space="preserve">รู: B </t>
  </si>
  <si>
    <t>เพิ่มโอกาสคริติคอล ของตัวละคร 30% (implicit)</t>
  </si>
  <si>
    <t>เสริมความเสียหาย น้ำแข็ง 167 ถึง 304</t>
  </si>
  <si>
    <t>เพิ่มความเร็วในการโจมตี 12%</t>
  </si>
  <si>
    <t>อัตราการหลบหลีก +368</t>
  </si>
  <si>
    <t>เพิ่มความเสียหาย น้ำแข็ง 100% ขณะ มือรอง ของคุณว่าง</t>
  </si>
  <si>
    <t>โอกาสยับยั้งความเสียหาย เวท +20% ขณะ มือรอง ของคุณว่าง</t>
  </si>
  <si>
    <t>ชาว​มาราเค็ท​มิ​ครั่นคร้าม​ผู้​ใด​ก็​จริง</t>
  </si>
  <si>
    <t>แต่​พวก​เขา​ก็​ไม่​กล้า​กระซิบ​นาม</t>
  </si>
  <si>
    <t>ของ​ปีศาจ​ที่​ลอย​ตาม​ลม​หนาว​ได้</t>
  </si>
  <si>
    <t>ความหายาก: แรร์</t>
  </si>
  <si>
    <t>เลเวล: 54</t>
  </si>
  <si>
    <t>Strength +22 (implicit)</t>
  </si>
  <si>
    <t>Intelligence +8</t>
  </si>
  <si>
    <t>เพิ่ม Intelligence 6%</t>
  </si>
  <si>
    <t>เสริมความเสียหาย กายภาพ 3 ถึง 6 ให้กับการโจมตี</t>
  </si>
  <si>
    <t>ค่าต้านทาน สายฟ้า +13%</t>
  </si>
  <si>
    <t>ไอเทมผู้พิชิตอธรรม</t>
  </si>
  <si>
    <t>ชนิดไอเทม: รองเท้า</t>
  </si>
  <si>
    <t>อัตราการหลบหลีก: 129 (augmented)</t>
  </si>
  <si>
    <t>โล่พลังงาน: 31 (augmented)</t>
  </si>
  <si>
    <t>เลเวล: 55</t>
  </si>
  <si>
    <t xml:space="preserve">รู: G-B-B-G </t>
  </si>
  <si>
    <t>หินที่ใส่ ถูกเสริมด้วย Fortify เลเวล 20</t>
  </si>
  <si>
    <t>ลดเงื่อนไขค่าคุณสมบัติที่ต้องการ 32%</t>
  </si>
  <si>
    <t>อัตราการหลบหลีก +22</t>
  </si>
  <si>
    <t>โล่พลังงานสูงสุด +9</t>
  </si>
  <si>
    <t>ฟื้นฟูพลังชีวิต 59.2 ต่อวินาที</t>
  </si>
  <si>
    <t>เพิ่มระดับความหายากของ ไอเทม ที่พบ 14%</t>
  </si>
  <si>
    <t>ไอเทมเอลเดอร์</t>
  </si>
  <si>
    <t>อัตราการหลบหลีก: 195</t>
  </si>
  <si>
    <t xml:space="preserve">รู: B G </t>
  </si>
  <si>
    <t>เลเวลไอเทม: 79</t>
  </si>
  <si>
    <t>Dexterity +19</t>
  </si>
  <si>
    <t>พลังชีวิตสูงสุด +85</t>
  </si>
  <si>
    <t>เพิ่มความเร็วในการเคลื่อนที่ 25%</t>
  </si>
  <si>
    <t>สถานะ เลือดไหล ที่คุณสร้าง สร้างความเสียหาย เร็วขึ้น 9%</t>
  </si>
  <si>
    <t>ไอเทมผู้พิชิตเหยื่อ</t>
  </si>
  <si>
    <t>เลเวล: 67</t>
  </si>
  <si>
    <t>ค่าต้านทาน สายฟ้า +21% (implicit)</t>
  </si>
  <si>
    <t>เพิ่มอัตราการ ฟื้นฟูมานา 32%</t>
  </si>
  <si>
    <t>เพิ่มระดับความหายากของ ไอเทม ที่พบ 27%</t>
  </si>
  <si>
    <t>ค่าต้านทาน ไฟ +44%</t>
  </si>
  <si>
    <t>สาปศัตรูด้วย น้ำแข็งกัด (Frostbite) เมื่อปะทะ</t>
  </si>
  <si>
    <t>มานาสูงสุด +50 (crafted)</t>
  </si>
  <si>
    <t>ไอเทมผู้พิชิตบาป</t>
  </si>
  <si>
    <t>โอกาสบล็อค: 22%</t>
  </si>
  <si>
    <t>ค่าเกราะ: 156</t>
  </si>
  <si>
    <t>โล่พลังงาน: 32</t>
  </si>
  <si>
    <t xml:space="preserve">รู: R R R </t>
  </si>
  <si>
    <t>ค่าต้านทาน ทุกธาตุ +12% (implicit)</t>
  </si>
  <si>
    <t>ไอเทมเชปเปอร์</t>
  </si>
  <si>
    <t>ค่าคุณภาพ: +30% (augmented)</t>
  </si>
  <si>
    <t>ค่าเกราะ: 924 (augmented)</t>
  </si>
  <si>
    <t xml:space="preserve">รู: W-W-W-W-W-W </t>
  </si>
  <si>
    <t>เลเวลไอเทม: 100</t>
  </si>
  <si>
    <t>ไอเทมขายกับผู้ค้าขายได้เกินราคา (implicit)</t>
  </si>
  <si>
    <t>ค่าต้านทาน ทุกธาตุ +17%</t>
  </si>
  <si>
    <t>สะท้อนความเสียหาย กายภาพ 6 ไปยัง ผู้โจมตีประชิด</t>
  </si>
  <si>
    <t>ไอเทมผู้พิชิตศึก</t>
  </si>
  <si>
    <t>ชนิดไอเทม: จิวเวลอะบิส</t>
  </si>
  <si>
    <t>อะบิส</t>
  </si>
  <si>
    <t>เพิ่มอัตราการหลบหลีก 30% ขณะเคลื่อนที่ (fractured)</t>
  </si>
  <si>
    <t>เสริมความเสียหาย เคออส 11 ถึง 20 ให้กับการโจมตี</t>
  </si>
  <si>
    <t>มานาสูงสุด +35</t>
  </si>
  <si>
    <t>ใส่​ใน รูอะบิส บน​ไอเทม หรือ​ใน รูจิวเวล ที่​อัพ​ไว้​ใน​ตาราง​พาสซีฟ คลิก​ขวา​เพื่อ​ถอด​ออก​จาก​รู</t>
  </si>
  <si>
    <t>ไอเทมแตกร้าว</t>
  </si>
  <si>
    <t>ชนิดไอเทม: เข็มขัด</t>
  </si>
  <si>
    <t>เลเวล: 52</t>
  </si>
  <si>
    <t>Strength +25 (implicit)</t>
  </si>
  <si>
    <t>พลังชีวิตสูงสุด +73</t>
  </si>
  <si>
    <t>ค่าต้านทาน ไฟ +29%</t>
  </si>
  <si>
    <t>ค่าต้านทาน น้ำแข็ง +32%</t>
  </si>
  <si>
    <t>ดูดความเสียหาย โจมตี 1% ไปเป็น พลังชีวิต จากศัตรูที่ติดสถานะ หนาวเย็น</t>
  </si>
  <si>
    <t>สถานะ ลุกไหม้ ที่คุณสร้างด้วยการโจมตี สร้างความเสียหาย เร็วขึ้น 35%</t>
  </si>
  <si>
    <t>ไม่สามารถสร้างความเสียหาย กายภาพ ได้</t>
  </si>
  <si>
    <t>ด้วย​ความแน่วแน่​ของเธอ​อัน​เยือกเย็น</t>
  </si>
  <si>
    <t>และ​การสังเวย​อัน​ร้อนรุ่ม</t>
  </si>
  <si>
    <t>แฝดนิรันดร์​จึง​ถือ​กำเนิด​ขึ้น</t>
  </si>
  <si>
    <t>โล่พลังงาน: 22 (augmented)</t>
  </si>
  <si>
    <t xml:space="preserve">รู: G-B-B B </t>
  </si>
  <si>
    <t>Dexterity +5</t>
  </si>
  <si>
    <t>โล่พลังงานสูงสุด +17</t>
  </si>
  <si>
    <t>เพิ่มอัตราการ ฟื้นฟูมานา 37%</t>
  </si>
  <si>
    <t>เพิ่มความเร็วในการเคลื่อนที่ 20%</t>
  </si>
  <si>
    <t>ไม่ติดสถานะ แช่แข็ง</t>
  </si>
  <si>
    <t>โลก​ทั้ง​ใบ​คือ​บ้าน​ของ​ข้า</t>
  </si>
  <si>
    <t>ชนิดไอเทม: ถุงมือ</t>
  </si>
  <si>
    <t>ค่าเกราะ: 78</t>
  </si>
  <si>
    <t>อัตราการหลบหลีก: 78</t>
  </si>
  <si>
    <t>เลเวล: 43</t>
  </si>
  <si>
    <t xml:space="preserve">รู: R-R-G </t>
  </si>
  <si>
    <t>Strength +25</t>
  </si>
  <si>
    <t>เพิ่มความเสียหายต่อเนื่อง 25%</t>
  </si>
  <si>
    <t>การโจมตี มีโอกาสสร้างสถานะ เลือดไหล 25%</t>
  </si>
  <si>
    <t>เพิ่มความเสียหาย โจมตี 34% ต่อศัตรูที่ติดสถานะ เลือดไหล</t>
  </si>
  <si>
    <t>ศัตรูที่ติดสถานะ เลือดไหล ที่คุณสังหารด้วยการปะทะจะระเบิด</t>
  </si>
  <si>
    <t>สร้างความเสียหาย กายภาพ เท่ากับ 5% ของ พลังชีวิตสูงสุดของมัน</t>
  </si>
  <si>
    <t>ลดระยะเวลาของสถานะ เลือดไหล 25%</t>
  </si>
  <si>
    <t>จิตรกร​ผู้เชี่ยวชาญ​ใช้​เวลา​อย่าง​ใจเย็น​เมื่อ​วาดภาพ_x000D_
โชคร้าย​ที่​ภาพ​อย่าง​ข้า​นั้น​ไม่มี​อภิสิทธิ์​ที่​จะ​ทำ​เช่นนั้น</t>
  </si>
  <si>
    <t>ชนิดไอเทม: ธนู</t>
  </si>
  <si>
    <t>ธนู</t>
  </si>
  <si>
    <t>ความเสียหายธาตุ: 1-85 (augmented)</t>
  </si>
  <si>
    <t>โอกาสคริติคอล: 6.00%</t>
  </si>
  <si>
    <t>จำนวนครั้งการโจมตีต่อวินาที: 1.93 (augmented)</t>
  </si>
  <si>
    <t>เลเวล: 9</t>
  </si>
  <si>
    <t xml:space="preserve">รู: G </t>
  </si>
  <si>
    <t>เลเวลไอเทม: 73</t>
  </si>
  <si>
    <t>ไม่มีความเสียหาย กายภาพ</t>
  </si>
  <si>
    <t>เสริมความเสียหาย สายฟ้า 1 ถึง 85</t>
  </si>
  <si>
    <t>เพิ่มความเร็วในการโจมตี 48%</t>
  </si>
  <si>
    <t>พัฒนาการ​หลาย​ศตวรรษ​ของ​การ​ตี​เกราะเหล็ก</t>
  </si>
  <si>
    <t>ได้​เปลี่ยน​กองทัพ​ของ​จักรวรรดิ​นิรันดร์</t>
  </si>
  <si>
    <t>ให้​กลาย​เป็น​สายล่อฟ้า​ที่​มี​ประสิทธิภาพ​สูง</t>
  </si>
  <si>
    <t>ชนิดไอเทม: กรงเล็บ</t>
  </si>
  <si>
    <t>กรงเล็บ</t>
  </si>
  <si>
    <t>ความเสียหายกายภาพ: 99-171 (augmented)</t>
  </si>
  <si>
    <t>ระยะของอาวุธ: 1.1 เมตร</t>
  </si>
  <si>
    <t xml:space="preserve">รู: G-B </t>
  </si>
  <si>
    <t>ดูดความเสียหาย โจมตี กายภาพ 1.6% ไปเป็น พลังชีวิต (implicit)</t>
  </si>
  <si>
    <t>เพิ่มความเสียหาย กายภาพ 155%</t>
  </si>
  <si>
    <t>เสริมความเสียหาย กายภาพ 10 ถึง 12</t>
  </si>
  <si>
    <t>เพิ่มความเร็วในการโจมตี 5%</t>
  </si>
  <si>
    <t>ดูดความเสียหาย โจมตี กายภาพ 1.2% ไปเป็น พลังชีวิต</t>
  </si>
  <si>
    <t>เพิ่มความเร็วในการเคลื่อนที่ 5%</t>
  </si>
  <si>
    <t>การ ดูดพลังชีวิต จากการปะทะด้วยอาวุธนี้ ส่งผลทันที</t>
  </si>
  <si>
    <t>เพราะ​ชีวิต​แห่ง​กายเนื้อ​นั้น​ดำรง​อยู่​ใน​เลือด​เสมอ</t>
  </si>
  <si>
    <t>ชนิดไอเทม: มีด</t>
  </si>
  <si>
    <t>มีด</t>
  </si>
  <si>
    <t>ความเสียหายกายภาพ: 8-31 (augmented)</t>
  </si>
  <si>
    <t>โอกาสคริติคอล: 7.80% (augmented)</t>
  </si>
  <si>
    <t>จำนวนครั้งการโจมตีต่อวินาที: 1.45</t>
  </si>
  <si>
    <t>เลเวล: 5</t>
  </si>
  <si>
    <t xml:space="preserve">รู: G-G </t>
  </si>
  <si>
    <t>Dexterity +14</t>
  </si>
  <si>
    <t>เพิ่มความเสียหาย กายภาพ 57%</t>
  </si>
  <si>
    <t>เสริมความเสียหาย กายภาพ 1 ถึง 3</t>
  </si>
  <si>
    <t>เพิ่มโอกาสคริติคอล 30%</t>
  </si>
  <si>
    <t>เพิ่มความเสียหาย โจมตี 40% ต่อศัตรูที่ติดสถานะ เลือดไหล</t>
  </si>
  <si>
    <t>มีโอกาสสร้างสถานะ เลือดไหล 50% เมื่อคริติคอล</t>
  </si>
  <si>
    <t>สะกิด​เข้า​ที่​ไหล่</t>
  </si>
  <si>
    <t>หอม​แก้ม​เบาๆ</t>
  </si>
  <si>
    <t>ลิ้ม​รส​จาก​ไวน์​เจ้า</t>
  </si>
  <si>
    <t>ช่าง​แดง​และ​เงางาม</t>
  </si>
  <si>
    <t>ชนิดไอเทม: จิวเวล</t>
  </si>
  <si>
    <t>เพิ่ม Strength 5%</t>
  </si>
  <si>
    <t>เพิ่ม Dexterity 6%</t>
  </si>
  <si>
    <t>ลด Intelligence 15%</t>
  </si>
  <si>
    <t>ใช้​เวลา​ให้​เต็ม​ที่ คิด​แผน​ทั้งหมด​ของ​เจ้า​ให้​เรียบร้อย _x000D_
แล้ว​บอก​ข้า​ที​ว่า​แผน​ใด_x000D_
จะ​ดึง​ขวาน​ของ​ข้า​ออก​จาก​ซี่โครง​ของ​เจ้า​ได้</t>
  </si>
  <si>
    <t>ใส่​ใน รูจิวเวล ที่​อัพ​ไว้​ใน​ตาราง​พาสซีฟ คลิก​ขวา​เพื่อ​ถอด​ออก​จาก​รู</t>
  </si>
  <si>
    <t>ชนิดไอเทม: ซองธนู</t>
  </si>
  <si>
    <t>เลเวล: 28</t>
  </si>
  <si>
    <t>เลเวลไอเทม: 82</t>
  </si>
  <si>
    <t>เสริมความเสียหาย กายภาพ 6 ถึง 12 ให้การโจมตีด้วย ธนู (implicit)</t>
  </si>
  <si>
    <t>โอกาสบล็อคความเสียหาย โจมตี 24%</t>
  </si>
  <si>
    <t>โอกาสบล็อคความเสียหาย เวท 15%</t>
  </si>
  <si>
    <t>ค่าเกราะ +421</t>
  </si>
  <si>
    <t>เพิ่มความเร็วกระสุน 20%</t>
  </si>
  <si>
    <t>เพิ่มการฟื้นตัวจากสถานะ มึนงง และการบล็อค 50%</t>
  </si>
  <si>
    <t>เพิ่มความเสียหาย กระสุน 19%</t>
  </si>
  <si>
    <t>คน​ที่​มี​ตา​อยู่​หลัง​ศีรษะ​นั้น​หา​ได้​ยาก</t>
  </si>
  <si>
    <t>ชนิดไอเทม: คทา</t>
  </si>
  <si>
    <t>คทา</t>
  </si>
  <si>
    <t>ความเสียหายกายภาพ: 29-44</t>
  </si>
  <si>
    <t>โอกาสคริติคอล: 6.20%</t>
  </si>
  <si>
    <t>จำนวนครั้งการโจมตีต่อวินาที: 1.25</t>
  </si>
  <si>
    <t>เลเวล: 32</t>
  </si>
  <si>
    <t xml:space="preserve">รู: B-R </t>
  </si>
  <si>
    <t>เพิ่มความเสียหาย ธาตุ 22% (implicit)</t>
  </si>
  <si>
    <t>หินที่ใส่ ถูกเสริมด้วย Hypothermia เลเวล 1</t>
  </si>
  <si>
    <t>หินที่ใส่ ถูกเสริมด้วย Ice Bite เลเวล 1</t>
  </si>
  <si>
    <t>หินที่ใส่ ถูกเสริมด้วย Cold Penetration เลเวล 1</t>
  </si>
  <si>
    <t>หินที่ใส่ ถูกเสริมด้วย Mana Leech เลเวล 1</t>
  </si>
  <si>
    <t>หินที่ใส่ ถูกเสริมด้วย Added Cold Damage เลเวล 10</t>
  </si>
  <si>
    <t>หินที่ใส่ ถูกเสริมด้วย Inspiration เลเวล 1</t>
  </si>
  <si>
    <t>อย่า​ต่อสู้​กับ​ความหนาวเหน็บ</t>
  </si>
  <si>
    <t>ละทิ้ง​ความหวัง</t>
  </si>
  <si>
    <t>อยู่​นิ่ง</t>
  </si>
  <si>
    <t>ชนิดไอเทม: ไม้พลอง</t>
  </si>
  <si>
    <t>ไม้พลอง</t>
  </si>
  <si>
    <t>ความเสียหายกายภาพ: 9-19</t>
  </si>
  <si>
    <t>จำนวนครั้งการโจมตีต่อวินาที: 1.30</t>
  </si>
  <si>
    <t>ระยะของอาวุธ: 1.3 เมตร</t>
  </si>
  <si>
    <t>โอกาสบล็อคความเสียหาย โจมตี +18% ขณะถือ ไม้พลอง (implicit)</t>
  </si>
  <si>
    <t>หินที่ใส่ ถูกเสริมด้วย Trap เลเวล 8</t>
  </si>
  <si>
    <t>เพิ่มความเสียหาย ของตัวละคร 45%</t>
  </si>
  <si>
    <t>เพิ่มพลังชีวิตสูงสุด 18%</t>
  </si>
  <si>
    <t>เพิ่มมานาสูงสุด 11%</t>
  </si>
  <si>
    <t>เจ้า​ไม่​ต้อง​กลัว​อะไร​เมื่อ​เจ้า​เป็น​ราก​ในบึง</t>
  </si>
  <si>
    <t>ชนิดไอเทม: ไม้กายสิทธิ์</t>
  </si>
  <si>
    <t>ไม้กายสิทธิ์</t>
  </si>
  <si>
    <t>ความเสียหายกายภาพ: 5-9</t>
  </si>
  <si>
    <t>โอกาสคริติคอล: 7.00%</t>
  </si>
  <si>
    <t>จำนวนครั้งการโจมตีต่อวินาที: 1.40</t>
  </si>
  <si>
    <t>เพิ่มความเสียหาย เวท 12% (implicit)</t>
  </si>
  <si>
    <t>เลเวลของ หินเวท ที่ใส่ +1</t>
  </si>
  <si>
    <t>เพิ่มความเสียหาย เวท 26%</t>
  </si>
  <si>
    <t>เพิ่มความเร็วในการร่าย 6%</t>
  </si>
  <si>
    <t>พลังชีวิตสูงสุด +16</t>
  </si>
  <si>
    <t>มานาสูงสุด +19</t>
  </si>
  <si>
    <t>ฟื้นฟูพลังชีวิต 7 ในเวลา 1 วินาที เมื่อคุณร่ายเวท</t>
  </si>
  <si>
    <t>จาก​เมล็ดพันธุ์​เล็ก​ที่สุด</t>
  </si>
  <si>
    <t>ถึง​ต้น​เรด​วู้ด​ที่​สูง​ที่สุด</t>
  </si>
  <si>
    <t>ชีวิต​ยัง​ยืนยง​ใน​เวร์แคลส์ท</t>
  </si>
  <si>
    <t>ชนิดไอเทม: ไม้พลองสงคราม</t>
  </si>
  <si>
    <t>ไม้พลองสงคราม</t>
  </si>
  <si>
    <t>ความเสียหายกายภาพ: 14-42</t>
  </si>
  <si>
    <t>ความเสียหายธาตุ: 13-25 (augmented), 13-24 (augmented)</t>
  </si>
  <si>
    <t>โอกาสคริติคอล: 6.40%</t>
  </si>
  <si>
    <t>เลเวล: 13</t>
  </si>
  <si>
    <t>เลเวลของ หินไฟ ที่ใส่ +1</t>
  </si>
  <si>
    <t>เลเวลของ หินน้ำแข็ง ที่ใส่ +1</t>
  </si>
  <si>
    <t>หินที่ใส่ ถูกเสริมด้วย Cold to Fire เลเวล 5</t>
  </si>
  <si>
    <t>เสริมความเสียหาย ไฟ 13 ถึง 25</t>
  </si>
  <si>
    <t>เสริมความเสียหาย น้ำแข็ง 13 ถึง 24</t>
  </si>
  <si>
    <t>เพิ่มความเสียหาย ธาตุ 48%</t>
  </si>
  <si>
    <t>การ​สร้าง​ของ​พระเจ้า​เริ่ม​และ​จบลง​ด้วยเปลว​ไฟ​กับ​น้ำแข็ง​เสมอ _x000D_
เมื่อ​เรา​ไม่​เห็น​ทั้ง​สอง​อย่าง​นั่น​ก็​ถือว่า​โชคดี​แล้ว</t>
  </si>
  <si>
    <t>ชนิดไอเทม: ดาบมือเดียว</t>
  </si>
  <si>
    <t>ดาบมือเดียว</t>
  </si>
  <si>
    <t>ความเสียหายกายภาพ: 55-183 (augmented)</t>
  </si>
  <si>
    <t>โอกาสคริติคอล: 5.00%</t>
  </si>
  <si>
    <t>จำนวนครั้งการโจมตีต่อวินาที: 1.91 (augmented)</t>
  </si>
  <si>
    <t>เลเวล: 58</t>
  </si>
  <si>
    <t xml:space="preserve">รู: R B G </t>
  </si>
  <si>
    <t>เลเวลไอเทม: 78</t>
  </si>
  <si>
    <t>เพิ่มอัตราความแม่นยำ ของตัวละคร 40% (implicit)</t>
  </si>
  <si>
    <t>เพิ่มความเสียหาย กายภาพ 85%</t>
  </si>
  <si>
    <t>เสริมความเสียหาย กายภาพ 10 ถึง 19</t>
  </si>
  <si>
    <t>เพิ่มความเร็วในการโจมตี 23%</t>
  </si>
  <si>
    <t>เพิ่มผลของบัฟที่คุณได้รับ 10%</t>
  </si>
  <si>
    <t>เพิ่มประสิทธิภาพการสำรองมานาของ สกิล 10%</t>
  </si>
  <si>
    <t>บัฟจากออร่าของเพื่อนไม่ส่งผลต่อคุณ</t>
  </si>
  <si>
    <t>บัฟจากออร่าของคุณไม่ส่งผลต่อเพื่อน</t>
  </si>
  <si>
    <t>จง​ทำ​ตน​ให้​ชำนาญ ก่อน​ที่​จะ​ทำให้​ผู้อื่น​ชำนาญ</t>
  </si>
  <si>
    <t>ชนิดไอเทม: ดาบแทง</t>
  </si>
  <si>
    <t>ความเสียหายกายภาพ: 27-62 (augmented)</t>
  </si>
  <si>
    <t>โอกาสคริติคอล: 5.50%</t>
  </si>
  <si>
    <t>จำนวนครั้งการโจมตีต่อวินาที: 1.55</t>
  </si>
  <si>
    <t>ระยะของอาวุธ: 1.4 เมตร</t>
  </si>
  <si>
    <t>เลเวล: 17</t>
  </si>
  <si>
    <t xml:space="preserve">รู: G R-G </t>
  </si>
  <si>
    <t>ตัวคูณคริติคอล ของตัวละคร +25% (implicit)</t>
  </si>
  <si>
    <t>เพิ่มความเสียหาย กายภาพ 149%</t>
  </si>
  <si>
    <t>ลดระดับความหายากของ ไอเทม ที่พบ 20%</t>
  </si>
  <si>
    <t>ค่าต้านทาน ทุกธาตุ +57%</t>
  </si>
  <si>
    <t>ได้รับพลังชีวิต 3 ต่อจำนวนศัตรูที่ถูกปะทะ</t>
  </si>
  <si>
    <t>นักสะสม​ของ​หายาก​ต่าง​พบ​ความ​จริง​อัน​น่า​สะพรึง</t>
  </si>
  <si>
    <t>ที่​วิญญาณ​อัน​ชาญฉลาด​ใน​ดาบ​นี้</t>
  </si>
  <si>
    <t>ไม่​ชอบ​ให้​นาย​มัน​สนใจ​สิ่ง​ใด​อื่น</t>
  </si>
  <si>
    <t>ชนิดไอเทม: ดาบสองมือ</t>
  </si>
  <si>
    <t>ดาบสองมือ</t>
  </si>
  <si>
    <t>ความเสียหายกายภาพ: 192-316 (augmented)</t>
  </si>
  <si>
    <t>โอกาสคริติคอล: 7.90% (augmented)</t>
  </si>
  <si>
    <t>เลเวล: 51</t>
  </si>
  <si>
    <t xml:space="preserve">รู: G R </t>
  </si>
  <si>
    <t>อัตราความแม่นยำ +360 (implicit)</t>
  </si>
  <si>
    <t>เพิ่มความเสียหาย กายภาพ 255%</t>
  </si>
  <si>
    <t>เพิ่มความเร็วในการโจมตี 20%</t>
  </si>
  <si>
    <t>เพิ่มโอกาสคริติคอล 58%</t>
  </si>
  <si>
    <t>ได้รับมานา 10 ต่อจำนวนศัตรูที่ถูกสังหาร</t>
  </si>
  <si>
    <t>ได้รับ Frenzy Charge 1 ลูก เมื่อคริติคอล</t>
  </si>
  <si>
    <t>ใบมีด​ของ​เพชฌฆาต​เป็น​สิ่ง​สุดท้าย​ที่​เขา​ได้​สัมผัส</t>
  </si>
  <si>
    <t>มัน​หา​ได้​เยือก​เย็น​ไม่ กลับ​อุ่น​กาย​และ​ใจ</t>
  </si>
  <si>
    <t>พร่ำสัญญา​ว่า​อนาคต​จะ​เป็น​ยุคสมัย​ที่​ดี​กว่า​เดิม</t>
  </si>
  <si>
    <t>เขา​ยิ้ม เข้า​สู่​อ้อมอก​ของ​ความ​ตาย​แต่​โดย​ดี</t>
  </si>
  <si>
    <t>ชนิดไอเทม: ขวานมือเดียว</t>
  </si>
  <si>
    <t>ขวานมือเดียว</t>
  </si>
  <si>
    <t>ความเสียหายกายภาพ: 51-85</t>
  </si>
  <si>
    <t>ความเสียหายธาตุ: 276-323 (augmented), 282-315 (augmented)</t>
  </si>
  <si>
    <t>จำนวนครั้งการโจมตีต่อวินาที: 1.45 (augmented)</t>
  </si>
  <si>
    <t>เลเวล: 69</t>
  </si>
  <si>
    <t xml:space="preserve">รู: R-G </t>
  </si>
  <si>
    <t>เสริมความเสียหาย ไฟ 276 ถึง 323 ให้มือหลัก</t>
  </si>
  <si>
    <t>เสริมความเสียหาย น้ำแข็ง 282 ถึง 315 ให้มือรอง</t>
  </si>
  <si>
    <t>เพิ่มความเร็วในการโจมตี 11%</t>
  </si>
  <si>
    <t>มีโอกาสสร้างสถานะ ลุกไหม้ 25% เมื่ออยู่ใน มือหลัก</t>
  </si>
  <si>
    <t>เพิ่มความเสียหาย ลุกไหม้ 100% ที่สร้างต่อศัตรูที่ติดสถานะ หนาวเย็น</t>
  </si>
  <si>
    <t>สร้างสถานะ หนาวเย็น 1 วินาที ต่อศัตรูเมื่อปะทะด้วยอาวุธนี้ เมื่ออยู่ในมือรอง</t>
  </si>
  <si>
    <t>เกิด​จาก​ความ​รัก หล่อ​หลอม​อยู่​ใน​โลหิต</t>
  </si>
  <si>
    <t>เขา​ลุก​ไหม้​เหมือน​คบไฟ​ใน​ยาม​ค่ำคืน​ที่​มืด​ที่สุด</t>
  </si>
  <si>
    <t>เธอ​ส่อง​ประกาย​เป็น​น้ำ​แข็ง​ใน​ดวงอาทิตย์​ฤดู​หนาว</t>
  </si>
  <si>
    <t>ภาค​ภูมิ​และ​เกรี้ยวกราด</t>
  </si>
  <si>
    <t>เคียง​ข้าง​แม่​ของ​พวก​เขา​ไป​ตลอดกาล</t>
  </si>
  <si>
    <t>ชนิดไอเทม: ขวานสองมือ</t>
  </si>
  <si>
    <t>ขวานสองมือ</t>
  </si>
  <si>
    <t>ความเสียหายกายภาพ: 45-91 (augmented)</t>
  </si>
  <si>
    <t>เลเวลของ หิน Strength ที่ใส่ +1</t>
  </si>
  <si>
    <t>Strength +27</t>
  </si>
  <si>
    <t>เพิ่มความเสียหาย กายภาพ 86%</t>
  </si>
  <si>
    <t>เสริมความเสียหาย กายภาพ 5 ถึง 10</t>
  </si>
  <si>
    <t>จู่โจมปลิดชีพ</t>
  </si>
  <si>
    <t>ใน​ยาม​ที่​เหวี่ยง​ผ่าน​อากาศ มัน​ร่ำร้อง</t>
  </si>
  <si>
    <t>ถึง​สิ่ง​ที่​ถูก​แยกออก ตัดขาด และ​ขาด​หาย</t>
  </si>
  <si>
    <t>ชนิดไอเทม: กระบองมือเดียว</t>
  </si>
  <si>
    <t>กระบองมือเดียว</t>
  </si>
  <si>
    <t>ความเสียหายกายภาพ: 83-105 (augmented)</t>
  </si>
  <si>
    <t>ความเสียหายธาตุ: 31-40 (augmented)</t>
  </si>
  <si>
    <t>จำนวนครั้งการโจมตีต่อวินาที: 1.36 (augmented)</t>
  </si>
  <si>
    <t>ลดเกณฑ์ความยากในการติดสถานะ มึนงง ของศัตรู 15% (implicit)</t>
  </si>
  <si>
    <t>เสริมความเสียหาย กายภาพ 30 ถึง 38</t>
  </si>
  <si>
    <t>เสริมความเสียหาย น้ำแข็ง 31 ถึง 40</t>
  </si>
  <si>
    <t>เพิ่มความเร็วในการโจมตี 13%</t>
  </si>
  <si>
    <t>ค่าต้านทาน ไฟ +50%</t>
  </si>
  <si>
    <t>เพิ่มระยะเวลาของสถานะ หนาวเย็น ต่อศัตรู 39%</t>
  </si>
  <si>
    <t>การโจมตีด้วยอาวุธนี้ สร้างความเสียหายสองเท่า ต่อศัตรูที่ติดสถานะ หนาวเย็น</t>
  </si>
  <si>
    <t>ฆาตกร​ผู้เมตตา​กวาด​ผ่าน​ถนน​ของ​นคร​ซาร์น</t>
  </si>
  <si>
    <t>พราก​ลมหายใจ​จาก​ผู้อ่อนแอ​และ​ไร้ค่า</t>
  </si>
  <si>
    <t>ชนิดไอเทม: กระบองสองมือ</t>
  </si>
  <si>
    <t>กระบองสองมือ</t>
  </si>
  <si>
    <t>ความเสียหายกายภาพ: 193-260 (augmented)</t>
  </si>
  <si>
    <t>จำนวนครั้งการโจมตีต่อวินาที: 1.88 (augmented)</t>
  </si>
  <si>
    <t xml:space="preserve">รู: R R-R </t>
  </si>
  <si>
    <t>เพิ่มระยะเวลาของสถานะ มึนงง ต่อศัตรู 30% (implicit)</t>
  </si>
  <si>
    <t>เพิ่มความเสียหาย กายภาพ 150%</t>
  </si>
  <si>
    <t>เพิ่มความเร็วในการโจมตี 50%</t>
  </si>
  <si>
    <t>ลดระดับความหายากของ ไอเทม ที่พบ 50%</t>
  </si>
  <si>
    <t>ลดค่าประสบการณ์ที่ได้รับ 35%</t>
  </si>
  <si>
    <t>ดูดความเสียหาย โจมตี กายภาพ 0.4% ไปเป็น มานา</t>
  </si>
  <si>
    <t>ดวงดาว​ที่​มัน​จาก​มา​นั้น​ต้อง​สาป</t>
  </si>
  <si>
    <t>ชนิดไอเทม: เข็มกลัดกองโจร</t>
  </si>
  <si>
    <t>เข็มกลัดเงิน</t>
  </si>
  <si>
    <t>สมาชิกโจรสามารถสวมใส่ไอเทมชิ้นนี้ได้ทุกคน</t>
  </si>
  <si>
    <t>ทักษะ ทักษะใดก็ได้ เลเวล 2</t>
  </si>
  <si>
    <t>เพิ่มระดับความหายากของ ไอเทม ที่ดรอปใน การโจรกรรม 14% (implicit)</t>
  </si>
  <si>
    <t>เพิ่มความเสียหาย 38%</t>
  </si>
  <si>
    <t>หีบการโจรกรรม มีโอกาสสร้างซ้ำ ลูกแก้วและชิ้นส่วนเดลิเรียม ที่มี 7%</t>
  </si>
  <si>
    <t>ลดค่าจ้าง 7%</t>
  </si>
  <si>
    <t>เพิ่มระดับความหายากของ ไอเทม ที่ดรอปใน การโจรกรรม 23%</t>
  </si>
  <si>
    <t>สวมใส่ได้เฉพาะ สมาชิกโจร เท่านั้น</t>
  </si>
  <si>
    <t>ชนิดไอเทม: ผ้าคลุมกองโจร</t>
  </si>
  <si>
    <t>ผ้าคลุมขาดวิ่น</t>
  </si>
  <si>
    <t>ทักษะ ทักษะใดก็ได้ เลเวล 3</t>
  </si>
  <si>
    <t>ลดการขึ้นของ ระดับการรู้ตัว 3% (implicit)</t>
  </si>
  <si>
    <t>เพิ่มความเสียหาย 23% ขณะที่ยังไม่เกิดการปิดกั้นสถานที่</t>
  </si>
  <si>
    <t>ผู้เล่น สร้างความเสียหาย เพิ่มขึ้น 23% ขณะที่ยังไม่เกิดการปิดกั้นสถานที่</t>
  </si>
  <si>
    <t>ลดการขึ้นของ ระดับการรู้ตัว 3% จากการ เปิดหีบ</t>
  </si>
  <si>
    <t>ชนิดไอเทม: อุปกรณ์สวมใส่กองโจร</t>
  </si>
  <si>
    <t>หินลับคมแบบหยาบ</t>
  </si>
  <si>
    <t>เลเวลไอเทม: 71</t>
  </si>
  <si>
    <t>เพิ่มความเสียหาย ประชิด 14% (implicit)</t>
  </si>
  <si>
    <t>เสริมความเสียหาย น้ำแข็ง 12 ถึง 20</t>
  </si>
  <si>
    <t>ผู้เล่นและมิเนียนของเขา มีความเสียหาย น้ำแข็ง เพิ่มเติม 12 ถึง 20</t>
  </si>
  <si>
    <t>ลดค่าจ้าง 6%</t>
  </si>
  <si>
    <t>ได้รับสกิล โอหัง (Pride) เลเวล 5</t>
  </si>
  <si>
    <t>ชนิดไอเทม: เป้าหมายโจรกรรม</t>
  </si>
  <si>
    <t>กะโหลกมนุษย์มีงา</t>
  </si>
  <si>
    <t>เลเวลไอเทม: 27</t>
  </si>
  <si>
    <t>ถ้า​กะโหลก​นี้​เป็น​ของ​จริง​และ​ไม่ได้​ปลอม​แปลง​ขึ้น​มา นั่น​อาจ​แสดง​ให้​เห็น​ว่า​คน​ของ​ข้า_x000D_
ไม่ได้​เป็น​ตัว​ประหลาด​ดัง​ที่​คนอื่น​เชื่อ คำว่า 'มนุษย์' อาจ​มี​ความหมาย​ที่​กว้าง​กว่า​เดิม​ก็ได้</t>
  </si>
  <si>
    <t>สามารถนำไปแลกกับ ฟาวทัส พ่อค้าของโจร ที่ท่าเรือโจรได้</t>
  </si>
  <si>
    <t>ชนิดไอเทม: เครื่องมือกองโจร</t>
  </si>
  <si>
    <t>พวงกุญแจเริ่มต้น</t>
  </si>
  <si>
    <t>ไอเทมชิ้นนี้สามารถสวมใส่ได้โดย:</t>
  </si>
  <si>
    <t>วินเดอร์รี จอมทำลาย</t>
  </si>
  <si>
    <t>ทูลีนา ตีนแมว</t>
  </si>
  <si>
    <t>ไอล่า มือช่าง</t>
  </si>
  <si>
    <t>ทักษะ ปลดกับดัก เลเวล 2</t>
  </si>
  <si>
    <t>เพิ่มความเร็ว ปลดกับดัก 4% (implicit)</t>
  </si>
  <si>
    <t>ส่วนแบ่งของ วิฬาร์ภาคี ลดลง 9%</t>
  </si>
  <si>
    <t>ระยะเวลาการปิดกั้นสถานที่ +2 วินาที</t>
  </si>
  <si>
    <t>เพิ่มค่าประสบการณ์ที่ได้รับจาก ทุกทักษะ 3%</t>
  </si>
  <si>
    <t>ชนิดไอเทม: เครื่องประดับโจร</t>
  </si>
  <si>
    <t>เครื่องประดับกองโจร</t>
  </si>
  <si>
    <t>เลเวล: 40</t>
  </si>
  <si>
    <t>มีโอกาสได้รับ ไอเทมบรีช เพิ่มเติม 3% เมื่อเปิด หีบรางวัล ใน การโจรกรรม</t>
  </si>
  <si>
    <t>Orb of Alteration ในการโจรกรรม มีโอกาสดรอปเป็น Orb of Alchemy แทน 15%</t>
  </si>
  <si>
    <t>Chromatic Orb ในการโจรกรรม มีโอกาสดรอปเป็น Orb of Fusing แทน 20%</t>
  </si>
  <si>
    <t>คุณจะต้องหารูปปั้น The Catch ในพิมพ์เขียวดงโจรหรือมุมมืดให้พบก่อนจึงจะสามารถสวมใส่ไอเทมชิ้นนี้ได้</t>
  </si>
  <si>
    <t>ชนิดไอเทม: เบ็ดตกปลา</t>
  </si>
  <si>
    <t>เบ็ดตกปลา</t>
  </si>
  <si>
    <t>ความเสียหายกายภาพ: 8-15</t>
  </si>
  <si>
    <t>จำนวนครั้งการโจมตีต่อวินาที: 1.20</t>
  </si>
  <si>
    <t>เพิ่มความเร็วในการร่าย 34%</t>
  </si>
  <si>
    <t>เหยื่อล่อ Thaumaturgical</t>
  </si>
  <si>
    <t>เพิ่มจำนวนของ ปลา ที่ตก 15%</t>
  </si>
  <si>
    <t>ส่องสว่างเมื่ออยู่ในด่าน ที่มี ปลายูนิค</t>
  </si>
  <si>
    <t>เขา​หย่อน​ลง​ไป​ไกล​ใน​มหาสมุทร</t>
  </si>
  <si>
    <t>และ​ฉีก​หัวใจ​ของ​เธอ​ออกมา</t>
  </si>
  <si>
    <t>Item Class: Tinctures</t>
  </si>
  <si>
    <t>Item Class: Corpses</t>
  </si>
  <si>
    <t>Right click this item to create this corpse.</t>
  </si>
  <si>
    <t>:</t>
  </si>
  <si>
    <t>Sustained Ironwood Tincture of the Wild</t>
  </si>
  <si>
    <t>Inflicts Mana Burn every 1.06 (augmented) Seconds</t>
  </si>
  <si>
    <t>10 Second Cooldown when Deactivated</t>
  </si>
  <si>
    <t>Level: 18</t>
  </si>
  <si>
    <t>40% reduced Enemy Stun Threshold with Melee Weapons (implicit)</t>
  </si>
  <si>
    <t>19% increased Stun Duration with Melee Weapons (implicit)</t>
  </si>
  <si>
    <t>15% reduced Mana Burn rate</t>
  </si>
  <si>
    <t>33% increased Duration of Elemental Ailments from Melee Weapon Attacks</t>
  </si>
  <si>
    <t>Right click to activate. Only one Tincture in your belt can be active at a time. Mana Burn causes you to lose 1% of your maximum Mana per stack per second. Can be deactivated manually, or will automatically deactivate when you reach 0 Mana.</t>
  </si>
  <si>
    <t>Item Class: Relics</t>
  </si>
  <si>
    <t>The Night Lamp</t>
  </si>
  <si>
    <t>Urn Relic</t>
  </si>
  <si>
    <t>The Herald of the Scourge drops an additional Forbidden Tome</t>
  </si>
  <si>
    <t>No Resolve Mitigation, chance to Avoid Resolve loss or Resolve Aegis</t>
  </si>
  <si>
    <t>This item is destroyed when applied to a Sanctum</t>
  </si>
  <si>
    <t>The newcomers were terrified of fire. He used their fear to control them, to lay the seeds of unquestioning faith. He claimed only his god could protect them. - Lycia, the Heretic</t>
  </si>
  <si>
    <t>Place this item on the Relic Altar at the start of each Sanctum run</t>
  </si>
  <si>
    <t>Imperfect Fiery Cannibal</t>
  </si>
  <si>
    <t>Corpse Level: 83</t>
  </si>
  <si>
    <t>Monster Category: Humanoid</t>
  </si>
  <si>
    <t>Casts Firestorm (implicit)</t>
  </si>
  <si>
    <t>Casts Flame Dash (implicit)</t>
  </si>
  <si>
    <t>Becomes Empowered if allied Frozen Cannibal nearby (implicit)</t>
  </si>
  <si>
    <t>Casts Cremation while Empowered (implicit)</t>
  </si>
  <si>
    <t>Classe d'objet: Teintures</t>
  </si>
  <si>
    <t>Teinture de Ferbois Prolongée de la Nature</t>
  </si>
  <si>
    <t>Inflige Brûlure de Mana toutes les 1.06 (augmented) secondes</t>
  </si>
  <si>
    <t>10 secondes de Temps de recharge lors de la Désactivation</t>
  </si>
  <si>
    <t>Niveau: 18</t>
  </si>
  <si>
    <t>Vous avez 40% de Réduction du Seuil d'Étourdissement des Ennemis avec les armes de mêlée (implicit)</t>
  </si>
  <si>
    <t>19% d'Augmentation de la Durée d'Étourdissement avec les armes de mêlée (implicit)</t>
  </si>
  <si>
    <t>15% de Réduction du Taux de Brûlure de Mana</t>
  </si>
  <si>
    <t>Les Attaques avec les armes de mêlée ont 33% d'Augmentation de Durée des Altérations élémentaires</t>
  </si>
  <si>
    <t>Effectuez un Clic droit pour activer. Une seule Teinture dans votre ceinture peut être active à la fois. Chaque cumul de Brûlure de mana vous fait perdre 1% de Mana par seconde. Peut être désactivée manuellement, ou se désactivera automatiquement lorsque votre Mana atteint 0.</t>
  </si>
  <si>
    <t>Classe d'objet: Reliques</t>
  </si>
  <si>
    <t>La Lueur dans la nuit</t>
  </si>
  <si>
    <t>Relique urne</t>
  </si>
  <si>
    <t>Le Héraut des Souillés cède un Tome interdit supplémentaire</t>
  </si>
  <si>
    <t>Pas d'Atténuation de perte de Résolution ou de chances de ne pas subir de perte de Résolution ou d'Égide de Résolution</t>
  </si>
  <si>
    <t>Cet objet est détruit lorsqu'il est appliqué à un Sanctuaire</t>
  </si>
  <si>
    <t>« Les nouveaux arrivants avaient une peur bleue du feu.</t>
  </si>
  <si>
    <t>Il s'en est servi pour se faire obéir d'eux et pour semer les graines de la foi inconditionnelle</t>
  </si>
  <si>
    <t>en affirmant que seul son dieu était en mesure de les protéger. »</t>
  </si>
  <si>
    <t>– Lycia, l'Hérétique</t>
  </si>
  <si>
    <t>Placez cet objet sur l'Autel des Reliques au début de chaque exploration du Sanctuaire</t>
  </si>
  <si>
    <t>Classe d'objet: Cadavres</t>
  </si>
  <si>
    <t>Cannibale ardent imparfait</t>
  </si>
  <si>
    <t>Niveau du cadavre: 83</t>
  </si>
  <si>
    <t>Type du monstre: Humanoïde</t>
  </si>
  <si>
    <t>Utilise Tempête de feu (implicit)</t>
  </si>
  <si>
    <t>Utilise Irruption enflammée (implicit)</t>
  </si>
  <si>
    <t>Gagne en Puissance s'il y a un Cannibale gelé à proximité (implicit)</t>
  </si>
  <si>
    <t>Utilise Crémation tant qu'il gagne en Puissance (implicit)</t>
  </si>
  <si>
    <t>Effectuez un clic droit sur cet objet pour créer ce cadavre.</t>
  </si>
  <si>
    <t>namespace Sidekick.Common.Game.Languages.Implementations;</t>
  </si>
  <si>
    <t>https://www.pathofexile.com/trade/</t>
  </si>
  <si>
    <t>https://de.pathofexile.com/trade/</t>
  </si>
  <si>
    <t>https://es.pathofexile.com/trade/</t>
  </si>
  <si>
    <t>https://fr.pathofexile.com/trade/</t>
  </si>
  <si>
    <t>https://jp.pathofexile.com/trade/</t>
  </si>
  <si>
    <t>https://poe.game.daum.net/trade/</t>
  </si>
  <si>
    <t>https://br.pathofexile.com/trade/</t>
  </si>
  <si>
    <t>https://ru.pathofexile.com/trade/</t>
  </si>
  <si>
    <t>https://th.pathofexile.com/trade/</t>
  </si>
  <si>
    <t xml:space="preserve">    public ClassLanguage Classes { get; } = new()</t>
  </si>
  <si>
    <t xml:space="preserve">    };</t>
  </si>
  <si>
    <t>Gegenstandsklasse: Tinkturen</t>
  </si>
  <si>
    <t>Nachhaltige Eisenholz-Tinktur der Wildnis</t>
  </si>
  <si>
    <t>Wendet Manabrand alle 1.06 (augmented) Sekunden an</t>
  </si>
  <si>
    <t>10 Sekunden Abklingzeit nach Deaktivierung</t>
  </si>
  <si>
    <t>Stufe: 18</t>
  </si>
  <si>
    <t>40% verringerte gegnerische Betäubungsschwelle mit Nahkampfwaffen (implicit)</t>
  </si>
  <si>
    <t>19% verlängerte Betäubungsdauer bei Gegnern mit Nahkampfwaffen (implicit)</t>
  </si>
  <si>
    <t>15% verringerte Manabrand-Rate</t>
  </si>
  <si>
    <t>33% verlängerte Dauer von elementaren Beeinträchtigungen von Angriffen mit Nahkampfwaffen</t>
  </si>
  <si>
    <t>Rechtsklick zum Aktivieren. Es kann gleichzeitig nur eine Tinktur aus Eurem Gürtel aktiv sein. Manabrand bewirkt, dass Ihr pro Stapel 1% Eures maximalen Manas pro Sekunde verliert. Kann manuell deaktiviert werden oder wird automatisch deaktiviert, wenn Ihr 0 Mana erreicht.</t>
  </si>
  <si>
    <t>Gegenstandsklasse: Relikte</t>
  </si>
  <si>
    <t>Die Nachtleuchte</t>
  </si>
  <si>
    <t>Urnen-Relikt</t>
  </si>
  <si>
    <t>Die Heroldin der Scourge lässt einen zusätzlichen Verbotenen Folianten fallen</t>
  </si>
  <si>
    <t>Keine Willenskraft-Minderung, keine Willenskraft-Obhut und keine Chance, Willenskraft-Verlust zu vermeiden</t>
  </si>
  <si>
    <t>Diese Gegenstand wird zerstört, wenn er auf ein Sanktum angewendet wird</t>
  </si>
  <si>
    <t>Die Neuankömmlinge fürchteten das Feuer. Er nutzte ihre Angst, um sie zu kontrollieren und den Samen des bedingungslosen Glaubens zu säen. Er behauptete, nur sein Gott könne ihnen Obhut gewähren. – Lycia, die Ketzerin</t>
  </si>
  <si>
    <t>Platziere diesen Gegenstand beim Start jedes Sanktum-Laufs auf dem Relikt-Altar.</t>
  </si>
  <si>
    <t>Gegenstandsklasse: Leichen</t>
  </si>
  <si>
    <t>Unvollkommener feuriger Kannibale</t>
  </si>
  <si>
    <t>Leichenstufe: 83</t>
  </si>
  <si>
    <t>Monsterkategorie: Humanoid</t>
  </si>
  <si>
    <t>Zaubert Feuerregen (implicit)</t>
  </si>
  <si>
    <t>Zaubert Flammenspurt (implicit)</t>
  </si>
  <si>
    <t>Wird ermächtigt, während sich ein verbündeter gefrorener Kannibale im Umkreis befindet (implicit)</t>
  </si>
  <si>
    <t>Zaubert Einäscherung während Ermächtigung (implicit)</t>
  </si>
  <si>
    <t>Rechtsklicke auf diesen Gegenstand, um diese Leiche zu erzeugen.</t>
  </si>
  <si>
    <t>Classe do Item: Tintura</t>
  </si>
  <si>
    <t>Tintura da Madeira-Ferro Sustentada da Natureza</t>
  </si>
  <si>
    <t>Inflige Queima de Mana a cada 1.06 (augmented) Segundos</t>
  </si>
  <si>
    <t>10 Segundos de Recarga quando Desativado</t>
  </si>
  <si>
    <t>Nível: 18</t>
  </si>
  <si>
    <t>Ponto de Atordoamento Inimigo reduzido em 40% com Armas Corpo a Corpo (implicit)</t>
  </si>
  <si>
    <t>Duração do Atordoamento com Armas Corpo a Corpo aumentada em 19% (implicit)</t>
  </si>
  <si>
    <t>Queima de Mana reduzida em 15%</t>
  </si>
  <si>
    <t>Duração das Afecções Elementais dos Ataques com Armas Corpo a Corpo aumentada em 33%</t>
  </si>
  <si>
    <t>Clique com o botão direito para aplicar às suas armas. Apenas uma Tintura em seu cinto pode ser aplicada em suas armas por vez. Queima de Mana faz com que você perca 1% da sua Mana máxima por contador por segundo. Pode ser desativada manualmente ou será desativada automaticamente ao atingir 0 de Mana.</t>
  </si>
  <si>
    <t>Classe do Item: Relíquias</t>
  </si>
  <si>
    <t>A Lanterna Noturna</t>
  </si>
  <si>
    <t>Relíquia: Urna</t>
  </si>
  <si>
    <t>O Arauto do Flagelo derruba um Tomo Proibido adicional</t>
  </si>
  <si>
    <t>Sem Mitigação de Determinação, chance de Evitar a perda de Determinação ou Égide de Determinação</t>
  </si>
  <si>
    <t>Este item é destruído quando aplicado ao Sanctum</t>
  </si>
  <si>
    <t>Os recém-chegados tinham pavor do fogo. Ele usou o medo deles para controlá-los, para plantar as sementes de uma fé inquestionável. Ele dizia que apenas seu deus poderia protegê-los. - Lycia, a Herege</t>
  </si>
  <si>
    <t>Coloque este item no Altar de Relíquias no início de cada execução do Sanctum</t>
  </si>
  <si>
    <t>Classe do Item: Patuá</t>
  </si>
  <si>
    <t>Canibal Ardente Imperfeito</t>
  </si>
  <si>
    <t>Nível do Cadáver: 83</t>
  </si>
  <si>
    <t>Categoria do Monstro: Humanóide</t>
  </si>
  <si>
    <t>Conjura Tormenta Flamejante (implicit)</t>
  </si>
  <si>
    <t>Conjura Avanço Ardente (implicit)</t>
  </si>
  <si>
    <t>É Empoderado se um Canibal Congelado aliado estiver próximo (implicit)</t>
  </si>
  <si>
    <t>Conjura Cremação enquanto Empoderado (implicit)</t>
  </si>
  <si>
    <t>Clique com o botão direito neste item para criar seu cadáver.</t>
  </si>
  <si>
    <t>Класс предмета: Микстуры</t>
  </si>
  <si>
    <t>Выдержанная Микстура из железного дерева дикости</t>
  </si>
  <si>
    <t>Накладывает Сжигание маны каждые 1.06 (augmented) секунд(-ы)</t>
  </si>
  <si>
    <t>10 секунд(-ы) перезарядки при деактивации</t>
  </si>
  <si>
    <t>Уровень: 18</t>
  </si>
  <si>
    <t>40% снижение порога оглушения врага оружием ближнего боя (implicit)</t>
  </si>
  <si>
    <t>19% увеличение длительности оглушения оружием ближнего боя (implicit)</t>
  </si>
  <si>
    <t>15% снижение частоты активации Сжигания маны</t>
  </si>
  <si>
    <t>33% увеличение длительности стихийных состояний от атак оружием ближнего боя</t>
  </si>
  <si>
    <t>Щёлкните ПКМ, чтобы активировать.  Одновременно может действовать только одна микстура. За каждый заряд Сжигания маны вы теряете 1% от максимального запаса маны в секунду. Может быть деактивирована вручную или автоматически деактивируется при достижении 0 маны.</t>
  </si>
  <si>
    <t>Класс предмета: Реликвии</t>
  </si>
  <si>
    <t>Ночная лампа</t>
  </si>
  <si>
    <t>Урна</t>
  </si>
  <si>
    <t>Из Вестника Роя выпадает дополнительный Запретный том</t>
  </si>
  <si>
    <t>Отсутствуют защита решимости, шанс избежать потери решимости и Эгида решимости</t>
  </si>
  <si>
    <t>Этот предмет будет разрушен при использовании на Святилище</t>
  </si>
  <si>
    <t>«Неофиты до смерти боялись огня. Он использовал их страх, чтобы держать их в узде и посеять семена беспрекословной веры. Он уверял, что лишь его бог сможет защитить их» – Люция еретичная</t>
  </si>
  <si>
    <t>Разместите этот предмет на алтаре реликвий перед прохождением Святилища</t>
  </si>
  <si>
    <t>Класс предмета: Трупы</t>
  </si>
  <si>
    <t>Несовершенный огненный людоед</t>
  </si>
  <si>
    <t>Уровень трупа: 83</t>
  </si>
  <si>
    <t>Категория монстра: Гуманоид</t>
  </si>
  <si>
    <t>Сотворяет Огненный шторм (implicit)</t>
  </si>
  <si>
    <t>Сотворяет Огненный рывок (implicit)</t>
  </si>
  <si>
    <t>Усиливается, если рядом союзный мёрзлый людоед (implicit)</t>
  </si>
  <si>
    <t>Будучи усиленным, сотворяет Кремацию (implicit)</t>
  </si>
  <si>
    <t>Щёлкните ПКМ по этому предмету, чтобы создать этот труп.</t>
  </si>
  <si>
    <t>ชนิดไอเทม: ยาเคลือบอาวุธ</t>
  </si>
  <si>
    <t>Sustained ยาเคลือบอาวุธไม้เนื้อแข็ง of the Wild</t>
  </si>
  <si>
    <t>สร้างสถานะ เผามานา ทุก 1.06 (augmented) วินาที</t>
  </si>
  <si>
    <t>คูลดาวน์ 10 วินาทีเมื่อปิดการใช้งาน</t>
  </si>
  <si>
    <t>เลเวล: 18</t>
  </si>
  <si>
    <t>ลดเกณฑ์ความยากในการติดสถานะ มึนงง ของศัตรู ด้วยอาวุธประชิด 40% (implicit)</t>
  </si>
  <si>
    <t>เพิ่มระยะเวลาของสถานะ มึนงง ด้วยอาวุธประชิด 19% (implicit)</t>
  </si>
  <si>
    <t>ลดอัตราการเผามานา 15%</t>
  </si>
  <si>
    <t>เพิ่มระยะเวลาของสถานะ เจ็บป่วยธาตุ จากการโจมตีด้วย อาวุธประชิด 33%</t>
  </si>
  <si>
    <t>คลิกขวา​เพื่อ​เปิด​ใช้ คุณ​สามารถ​เปิดใช้ ยา​เคลือบ​อาวุธ ใน​เข็มขัด​ของ​คุณ​ได้​พร้อม​กัน​เพียง​ขวด​เดียว​เท่านั้น สถานะ เผา​มานา จะ​ทำให้​คุณ​สูญเสีย​มานา​ต่อ​วินาที​เท่ากับ 1% ของ​มานา​สูงสุด​ของ​คุณ​ต่อ​จำนวน​สถานะ คุณ​สามารถ​ปิด​การ​ใช้​งาน​ได้​ด้วย​ตัวเอง หรือ​มัน​จะ​ปิด​การ​ใช้​งาน​โดย​อัตโนมัติ​เมื่อ​มานา​ของ​คุณ​เหลือ 0</t>
  </si>
  <si>
    <t>ชนิดไอเทม: วัตถุตกทอด</t>
  </si>
  <si>
    <t>ไหตกทอด</t>
  </si>
  <si>
    <t>ผู้นำสาสน์แห่งมิติอสูร ดรอป คัมภีร์ต้องห้าม เพิ่มเติม 1 เล่ม</t>
  </si>
  <si>
    <t>ไม่มีการบรรเทาความมุ่งมั่น, โอกาสหลีกเลี่ยงการสูญเสียความมุ่งมั่น หรือโล่เอจิสความมุ่งมั่น</t>
  </si>
  <si>
    <t>ไอเทมนี้จะถูกทำลาย เมื่อใช้กับเทวสถาน</t>
  </si>
  <si>
    <t>เหล่า​ผู้​มา​ใหม่​เกรงกลัว​ไฟ เขา​ใช้​ความกลัว​ของ​พวก​เขา​ใน​การ​ควบคุม​พวก​เขา​และ​ปลูกฝัง​ศรัทธา​อัน​ไร้​กังขา เขา​อ้าง​ว่า​มี​เพียง​เทพเจ้า​ของ​เขา​เท่านั้น​ที่​จะ​ปกป้อง​พวกเขา​ได้ - ไลเซีย ผู้นอกรีต</t>
  </si>
  <si>
    <t>วาง​ไอเทม​ชิ้น​นี้​ใน แท่น​วัตถุ​ตกทอด เมื่อ​เริ่ม​การ​บุก​เทวสถาน​แต่ละ​ครั้ง</t>
  </si>
  <si>
    <t>ชนิดไอเทม: ศพ</t>
  </si>
  <si>
    <t>เลเวลศพ: 83</t>
  </si>
  <si>
    <t>ประเภทมอนสเตอร์: มนุษย์</t>
  </si>
  <si>
    <t>ร่าย พายุไฟ (Firestorm) (implicit)</t>
  </si>
  <si>
    <t>ร่าย พุ่งไฟ (Flame Dash) (implicit)</t>
  </si>
  <si>
    <t>ได้รับการเพิ่มพลัง หากอยู่ใกล้ Frozen Cannibal ที่เป็นเพื่อน (implicit)</t>
  </si>
  <si>
    <t>ร่าย ฌาปนกิจ (Cremation) ขณะที่ได้รับการเพิ่มพลัง (implicit)</t>
  </si>
  <si>
    <t>คลิก​ขวา​ที่​ไอเทม​ชิ้น​นี้​เพื่อ​สร้าง​ศพ​นี้</t>
  </si>
  <si>
    <t>Clase de objeto: Tinturas</t>
  </si>
  <si>
    <t>Tintura de madera férrea sostenida de lo silvestre</t>
  </si>
  <si>
    <t>Aplica quema de maná cada 1.06 (augmented) segundos</t>
  </si>
  <si>
    <t>Tiempo de recarga de 10 segundos cuando se desactiva</t>
  </si>
  <si>
    <t>Nivel: 18</t>
  </si>
  <si>
    <t>Umbral de aturdimiento de los enemigos reducido un 40% con armas cuerpo a cuerpo (implicit)</t>
  </si>
  <si>
    <t>Duración del aturdimiento con armas cuerpo a cuerpo aumentada un 19% (implicit)</t>
  </si>
  <si>
    <t>Velocidad de quema de maná reducida un 15%</t>
  </si>
  <si>
    <t>Duración de los estados alterados elementales de los ataques de las armas cuerpo a cuerpo aumentada un 33%</t>
  </si>
  <si>
    <t>Haz clic derecho para activarla. Solo puedes tener una tintura activa a la vez en tu cinturón. Quema de maná te quita un 1% de tu maná máximo por segundo por cada acumulación. Puedes desactivarla manualmente, o se desactivará automáticamente cuando tengas 0 de maná.</t>
  </si>
  <si>
    <t>Clase de objeto: Reliquias</t>
  </si>
  <si>
    <t>Lámpara de noche</t>
  </si>
  <si>
    <t>Reliquia de urna</t>
  </si>
  <si>
    <t>El Heraldo de la Calamidad arroja un tomo prohibido adicional</t>
  </si>
  <si>
    <t>No tienes mitigación de resolución, probabilidad de evitar la pérdida de resolución ni Égida de resolución</t>
  </si>
  <si>
    <t>Este objeto se destruye cuando se aplica a un Santuario prohibido</t>
  </si>
  <si>
    <t>A los recién llegados les aterrorizaba el fuego. Usaron su miedo para controlarlos, para sembrar las semillas de la fe incuestionable. Él aseguraba que solo su dios podía protegerlos. - Lycia, la Hereje</t>
  </si>
  <si>
    <t>Coloca este objeto en el Altar de reliquias que se encuentra en la entrada de cada santuario</t>
  </si>
  <si>
    <t>Clase de objeto: Cadáveres</t>
  </si>
  <si>
    <t>Caníbal ardiente imperfecto</t>
  </si>
  <si>
    <t>Nivel del cadáver: 83</t>
  </si>
  <si>
    <t>Categoría de monstruo: Humanoide</t>
  </si>
  <si>
    <t>Lanza Tormenta de fuego (implicit)</t>
  </si>
  <si>
    <t>Lanza Embestida de llamas (implicit)</t>
  </si>
  <si>
    <t>Se potencia si hay un caníbal helado aliado cerca (implicit)</t>
  </si>
  <si>
    <t>Lanza Cremación mientras está potenciado (implicit)</t>
  </si>
  <si>
    <t>Haz clic derecho en este objeto para crear este cadáver.</t>
  </si>
  <si>
    <t>아이템 종류: 팅크</t>
  </si>
  <si>
    <t>오래가는 철목 팅크 - 황야</t>
  </si>
  <si>
    <t>1.06 (augmented)초마다 마나 연소 유발</t>
  </si>
  <si>
    <t>비활성화 시 재사용 대기시간 10초</t>
  </si>
  <si>
    <t>레벨: 18</t>
  </si>
  <si>
    <t>근접 무기 사용 시 적 기절 한계치 40% 감소 (implicit)</t>
  </si>
  <si>
    <t>근접 무기로 유발하는 기절의 지속시간 19% 증가 (implicit)</t>
  </si>
  <si>
    <t>마나 연소 속도 15% 감소</t>
  </si>
  <si>
    <t>근접 무기 공격으로 유발하는 원소 상태 이상의 지속시간 33% 증가</t>
  </si>
  <si>
    <t>우클릭해 활성화하십시오. 한 번에 허리띠에 있는 팅크 중 하나만 활성 상태일 수 있습니다. 마나 연소 중첩 하나당 1초마다 마나 최대치의 1%를 상실합니다. 직접 비활성화할 수 있으며, 마나가 0이 되어도 자동으로 비활성화됩니다.</t>
  </si>
  <si>
    <t>아이템 종류: 유물</t>
  </si>
  <si>
    <t>밤의 등화</t>
  </si>
  <si>
    <t>단지 유물</t>
  </si>
  <si>
    <t>스컬지의 전령이 금지된 책 1개를 추가로 떨어뜨림</t>
  </si>
  <si>
    <t>투지 완화, 투지 상실 긴급회피 확률 또는 투지 비호 없음</t>
  </si>
  <si>
    <t>이 아이템은 성역에 적용되면 파괴됨</t>
  </si>
  <si>
    <t>이방인들은 불을 두려워했다. 그 두려움을 이용해 그들을 통제하고 그들에게 무조건적인 충성의 씨앗을 심었다. 그는 자신의 신만이 그들을 보호할 수 있다고 주장했다. - 이단자, 리키아</t>
  </si>
  <si>
    <t>성역 공략을 시작할 때마다 유물 제단에 이 아이템을 놓으십시오</t>
  </si>
  <si>
    <t>아이템 종류: 시신</t>
  </si>
  <si>
    <t>불완전한 불타는 식인종</t>
  </si>
  <si>
    <t>시신 레벨: 83</t>
  </si>
  <si>
    <t>몬스터 유형: 인간형</t>
  </si>
  <si>
    <t>화염 폭풍 시전 (implicit)</t>
  </si>
  <si>
    <t>화염 질주 시전 (implicit)</t>
  </si>
  <si>
    <t>아군 얼어붙은 식인종이 주변에 있으면 강화됨 (implicit)</t>
  </si>
  <si>
    <t>강화된 동안 시체 소각 시전 (implicit)</t>
  </si>
  <si>
    <t>이 아이템에 우클릭하여 이 시신을 생성할 수 있습니다.</t>
  </si>
  <si>
    <t>アイテムクラス: チンキ</t>
  </si>
  <si>
    <t>維持された 野生の 鉄木のチンキ</t>
  </si>
  <si>
    <t>毎秒1.06 (augmented)のマナ燃焼を付与する</t>
  </si>
  <si>
    <t>不活性化時のクールダウン 10秒</t>
  </si>
  <si>
    <t>レベル: 18</t>
  </si>
  <si>
    <t>近接武器による敵スタン閾値が40%減少する (implicit)</t>
  </si>
  <si>
    <t>近接武器によるスタン持続時間が19%増加する (implicit)</t>
  </si>
  <si>
    <t>マナ燃焼レートが15%減少する</t>
  </si>
  <si>
    <t>近接武器アタックによる元素系状態異常の持続時間が33%増加する</t>
  </si>
  <si>
    <t>右クリックで活性化する。ベルトある一度に適用できるチンキは1個のみ。マナ燃焼によりスタックごとに毎秒最大マナの1%が失われる。手動で不活性化することができ、マナが0に達すると自動的に不活性化される。</t>
  </si>
  <si>
    <t>アイテムクラス: レリック</t>
  </si>
  <si>
    <t>夜のランプ</t>
  </si>
  <si>
    <t>壷のレリック</t>
  </si>
  <si>
    <t>スカージの使者は禁断の学術書を追加で1個ドロップする</t>
  </si>
  <si>
    <t>決心へのダメージを緩和しない、決心または決心のイージスの消失を無効化する可能性がある</t>
  </si>
  <si>
    <t>サンクタムに適用された時にこのアイテムは破壊される</t>
  </si>
  <si>
    <t>「新来者は火を恐れた。彼は彼らの恐れを利用し、支配することで、絶対的な信仰の種を植え付けようとした。彼は、彼の神こそが人々を救えると主張したのだ。」―異端者リシア</t>
  </si>
  <si>
    <t>サンクタムの探索開始時にこのアイテムをレリックの祭壇に置いてください</t>
  </si>
  <si>
    <t>アイテムクラス: 死体</t>
  </si>
  <si>
    <t>不完全な火のカニバル</t>
  </si>
  <si>
    <t>死体レベル: 83</t>
  </si>
  <si>
    <t>モンスターカテゴリー: 人型</t>
  </si>
  <si>
    <t>ファイヤーストームをキャストする (implicit)</t>
  </si>
  <si>
    <t>フレイムダッシュをキャストする (implicit)</t>
  </si>
  <si>
    <t>近くに味方の凍ったカニバルがいる場合に強化される (implicit)</t>
  </si>
  <si>
    <t>強化中にクリメーションをキャストする (implicit)</t>
  </si>
  <si>
    <t>このアイテムを右クリックしてこの死体を生成する。</t>
  </si>
  <si>
    <t>Heated Advanced Dualstring Bow of Vanquishing</t>
  </si>
  <si>
    <t>Physical Damage: 29-54</t>
  </si>
  <si>
    <t>Fire Damage: 3-5 (augmented)</t>
  </si>
  <si>
    <t>Critical Hit Chance: 5.00%</t>
  </si>
  <si>
    <t>Dex: 126</t>
  </si>
  <si>
    <t>Item Level: 60</t>
  </si>
  <si>
    <t>Bow Attacks fire an additional Arrow (implicit)</t>
  </si>
  <si>
    <t>Adds 3 to 5 Fire Damage</t>
  </si>
  <si>
    <t>Gain 30 Life per Enemy Killed</t>
  </si>
  <si>
    <t>Item Class: Quarterstaves</t>
  </si>
  <si>
    <t>Frozen Advanced Crescent Quarterstaff of Impact</t>
  </si>
  <si>
    <t>Physical Damage: 40-83</t>
  </si>
  <si>
    <t>Cold Damage: 31-45 (augmented)</t>
  </si>
  <si>
    <t>Critical Hit Chance: 10.00%</t>
  </si>
  <si>
    <t>Attacks per Second: 1.50</t>
  </si>
  <si>
    <t>Dex: 98</t>
  </si>
  <si>
    <t>Int: 39</t>
  </si>
  <si>
    <t>Adds 31 to 45 Cold Damage</t>
  </si>
  <si>
    <t>11% increased Stun Duration</t>
  </si>
  <si>
    <t>Morbid Wind</t>
  </si>
  <si>
    <t>Advanced Dualstring Bow</t>
  </si>
  <si>
    <t>Lightning Damage: 7-97 (augmented)</t>
  </si>
  <si>
    <t>Adds 7 to 97 Lightning Damage</t>
  </si>
  <si>
    <t>+29 to Dexterity</t>
  </si>
  <si>
    <t>Mercenary's Advanced Cultist Bow of Light</t>
  </si>
  <si>
    <t>Chaos Damage: 41-69 (augmented)</t>
  </si>
  <si>
    <t>Level: 59</t>
  </si>
  <si>
    <t>Dex: 135</t>
  </si>
  <si>
    <t>41% increased Physical Damage</t>
  </si>
  <si>
    <t>+109 to Accuracy Rating</t>
  </si>
  <si>
    <t>10% increased Light Radius</t>
  </si>
  <si>
    <t>Arc double-corde intermédiaire Chauffé du Surclassement</t>
  </si>
  <si>
    <t>Dégâts Physiques: 29-54</t>
  </si>
  <si>
    <t>Dégâts de feu: 3-5 (augmented)</t>
  </si>
  <si>
    <t>Chances de Touche critique: 5.00%</t>
  </si>
  <si>
    <t>Niveau de l'objet: 60</t>
  </si>
  <si>
    <t>Les Attaques à l'arc tirent une Flèche supplémentaire (implicit)</t>
  </si>
  <si>
    <t>Ajoute 3 à 5 Dégâts de feu</t>
  </si>
  <si>
    <t>Vous gagnez 30 de Vie par Ennemi Tué</t>
  </si>
  <si>
    <t>Classe d'objet: Bâtons de combat</t>
  </si>
  <si>
    <t>Bâton de combat falciforme intermédiaire Gelé de l'Impact</t>
  </si>
  <si>
    <t>Dégâts Physiques: 40-83</t>
  </si>
  <si>
    <t>Dégâts de froid: 31-45 (augmented)</t>
  </si>
  <si>
    <t>Chances de Touche critique: 10.00%</t>
  </si>
  <si>
    <t>Attaques par seconde: 1.50</t>
  </si>
  <si>
    <t>Ajoute 31 à 45 Dégâts de froid</t>
  </si>
  <si>
    <t>11% d'Augmentation de Durée d'Étourdissement</t>
  </si>
  <si>
    <t xml:space="preserve"> Vent morbide</t>
  </si>
  <si>
    <t>Arc double-corde intermédiaire</t>
  </si>
  <si>
    <t>Dégâts de foudre: 7-97 (augmented)</t>
  </si>
  <si>
    <t>Ajoute 7 à 97 Dégâts de foudre</t>
  </si>
  <si>
    <t>+29 de Dextérité</t>
  </si>
  <si>
    <t>Arc de cultiste intermédiaire du Mercenaire de la Lumière</t>
  </si>
  <si>
    <t>Dégâts de Chaos : 41-69 (augmented)</t>
  </si>
  <si>
    <t>Niveau: 59</t>
  </si>
  <si>
    <t>41% d'Augmentation des Dégâts physiques</t>
  </si>
  <si>
    <t>+109 au Score de Précision</t>
  </si>
  <si>
    <t>10% d'Augmentation du Rayonnement lumineux</t>
  </si>
  <si>
    <t>Erhitzter Fortschrittlicher Doppelsehnenbogen des Überwindens</t>
  </si>
  <si>
    <t>Physischer Schaden: 29-54</t>
  </si>
  <si>
    <t>Feuerschaden: 3-5 (augmented)</t>
  </si>
  <si>
    <t>Ges : 126</t>
  </si>
  <si>
    <t>Gegenstandsstufe: 60</t>
  </si>
  <si>
    <t>Angriffe mit Bögen feuern einen zusätzlichen Pfeil (implicit)</t>
  </si>
  <si>
    <t>Fügt 3 bis 5 Feuerschaden hinzu</t>
  </si>
  <si>
    <t>Erhaltet 30 Leben pro getötetem Gegner</t>
  </si>
  <si>
    <t>Gegenstandsklasse: Kampfstäbe</t>
  </si>
  <si>
    <t>Eingefrorener Fortschrittlicher Halbmond-Kampfstab des Einschlags</t>
  </si>
  <si>
    <t>Physischer Schaden: 40-83</t>
  </si>
  <si>
    <t>Kälteschaden: 31-45 (augmented)</t>
  </si>
  <si>
    <t>Kritische Trefferchance: 10.00%</t>
  </si>
  <si>
    <t>Angriffe pro Sekunde: 1.50</t>
  </si>
  <si>
    <t>Ges : 98</t>
  </si>
  <si>
    <t>Fügt 31 bis 45 Kälteschaden hinzu</t>
  </si>
  <si>
    <t>11% verlängerte Betäubungsdauer</t>
  </si>
  <si>
    <t>Morbider Wind</t>
  </si>
  <si>
    <t>Fortschrittlicher Doppelsehnenbogen</t>
  </si>
  <si>
    <t>Blitzschaden: 7-97 (augmented)</t>
  </si>
  <si>
    <t>Fügt 7 bis 97 Blitzschaden hinzu</t>
  </si>
  <si>
    <t>+29 zu Geschick</t>
  </si>
  <si>
    <t>Freischärlerischer Fortschrittlicher Kultistenbogen des Lichts</t>
  </si>
  <si>
    <t>Chaosschaden: 41-69 (augmented)</t>
  </si>
  <si>
    <t>Stufe: 59</t>
  </si>
  <si>
    <t>Ges : 135</t>
  </si>
  <si>
    <t>41% erhöhter physischer Schaden</t>
  </si>
  <si>
    <t>+109 zu Treffgenauigkeit</t>
  </si>
  <si>
    <t>10% vergrößerter Lichtradius</t>
  </si>
  <si>
    <t>Arco de Corda Dupla Avançado Aquecido da Derrota</t>
  </si>
  <si>
    <t>Dano Físico: 29-54</t>
  </si>
  <si>
    <t>Dano de Fogo: 3-5 (augmented)</t>
  </si>
  <si>
    <t>Chance de Acerto Crítico: 5.00%</t>
  </si>
  <si>
    <t>Des: 126</t>
  </si>
  <si>
    <t>Nível do Item: 60</t>
  </si>
  <si>
    <t>Ataques com Arco disparam uma Flecha adicional (implicit)</t>
  </si>
  <si>
    <t>Adiciona 3 a 5 de Dano de Fogo</t>
  </si>
  <si>
    <t>Ganha 30 de Vida por Inimigo Morto</t>
  </si>
  <si>
    <t>Bastão Crescente Avançado Congelado de Impacto</t>
  </si>
  <si>
    <t>Dano Físico: 40-83</t>
  </si>
  <si>
    <t>Dano de Gelo: 31-45 (augmented)</t>
  </si>
  <si>
    <t>Chance de Acerto Crítico: 10.00%</t>
  </si>
  <si>
    <t>Ataques por Segundo: 1.50</t>
  </si>
  <si>
    <t>Des: 98</t>
  </si>
  <si>
    <t>Adiciona 31 a 45 de Dano de Gelo</t>
  </si>
  <si>
    <t>Duração do Atordoamento aumentada em 11%</t>
  </si>
  <si>
    <t>Vento Mórbido</t>
  </si>
  <si>
    <t>Arco de Corda Dupla Avançado</t>
  </si>
  <si>
    <t>Dano de Raio: 7-97 (augmented)</t>
  </si>
  <si>
    <t>Adiciona 7 a 97 de Dano de Raio</t>
  </si>
  <si>
    <t>+29 de Destreza</t>
  </si>
  <si>
    <t>Arco do Cultista Avançado do Mercenário da Luz</t>
  </si>
  <si>
    <t>Dano de Caos: 41-69 (augmented)</t>
  </si>
  <si>
    <t>Nível: 59</t>
  </si>
  <si>
    <t>Des: 135</t>
  </si>
  <si>
    <t>Dano Físico aumentado em 41%</t>
  </si>
  <si>
    <t>+109 de Precisão</t>
  </si>
  <si>
    <t>Campo de Visão aumentado em 10%</t>
  </si>
  <si>
    <t>Тёплый Advanced Dualstring Bow покорения</t>
  </si>
  <si>
    <t>Физический урон: 29-54</t>
  </si>
  <si>
    <t>Урон от огня: 3-5 (augmented)</t>
  </si>
  <si>
    <t>Шанс крит. попадания: 5.00%</t>
  </si>
  <si>
    <t>Ловк: 126</t>
  </si>
  <si>
    <t>Уровень предмета: 60</t>
  </si>
  <si>
    <t>Атаки луками выпускают дополнительную стрелу (implicit)</t>
  </si>
  <si>
    <t>Добавляет от 3 до 5 урона от огня</t>
  </si>
  <si>
    <t>Дарует 30 здоровья за каждого убитого врага</t>
  </si>
  <si>
    <t>Класс предмета: Боевые посохи</t>
  </si>
  <si>
    <t>Морозный Advanced Crescent Quarterstaff столкновения</t>
  </si>
  <si>
    <t>Физический урон: 40-83</t>
  </si>
  <si>
    <t>Урон от холода: 31-45 (augmented)</t>
  </si>
  <si>
    <t>Шанс крит. попадания: 10.00%</t>
  </si>
  <si>
    <t>Атак в секунду: 1.50</t>
  </si>
  <si>
    <t>Ловк: 98</t>
  </si>
  <si>
    <t>Инт: 39</t>
  </si>
  <si>
    <t>Добавляет от 31 до 45 урона от холода</t>
  </si>
  <si>
    <t>11% увеличение длительности оглушения</t>
  </si>
  <si>
    <t>Мучительный ветер</t>
  </si>
  <si>
    <t>Урон от молнии: 7-97 (augmented)</t>
  </si>
  <si>
    <t>Добавляет от 7 до 97 урона от молнии</t>
  </si>
  <si>
    <t>+29 к ловкости</t>
  </si>
  <si>
    <t>Деканский Advanced Cultist Bow утра</t>
  </si>
  <si>
    <t>Урон хаосом: 41-69 (augmented)</t>
  </si>
  <si>
    <t>Уровень: 59</t>
  </si>
  <si>
    <t>Ловк: 135</t>
  </si>
  <si>
    <t>41% увеличение физического урона</t>
  </si>
  <si>
    <t>+109 к меткости</t>
  </si>
  <si>
    <t>10% увеличение [Light Radius|радиуса обзора]</t>
  </si>
  <si>
    <t>ความเสียหายกายภาพ: 29-54</t>
  </si>
  <si>
    <t>ความเสียหายไฟ: 3-5 (augmented)</t>
  </si>
  <si>
    <t>โอกาสปะทะคริติคอล: 5.00%</t>
  </si>
  <si>
    <t>เลเวลไอเทม: 60</t>
  </si>
  <si>
    <t>การโจมตีด้วยธนู ยิงศร เพิ่มเติม 1 ดอก (implicit)</t>
  </si>
  <si>
    <t>เสริมความเสียหาย ไฟ 3 ถึง 5</t>
  </si>
  <si>
    <t>ได้รับพลังชีวิต 30 ต่อจำนวนศัตรูที่ถูกสังหาร</t>
  </si>
  <si>
    <t>ชนิดไอเทม: ไม้พลองวรยุทธ์</t>
  </si>
  <si>
    <t>ความเสียหายกายภาพ: 40-83</t>
  </si>
  <si>
    <t>ความเสียหายน้ำแข็ง: 31-45 (augmented)</t>
  </si>
  <si>
    <t>โอกาสปะทะคริติคอล: 10.00%</t>
  </si>
  <si>
    <t>จำนวนครั้งการโจมตีต่อวินาที: 1.50</t>
  </si>
  <si>
    <t>เสริมความเสียหาย น้ำแข็ง 31 ถึง 45</t>
  </si>
  <si>
    <t>เพิ่มระยะเวลาของสถานะ สตัน 11%</t>
  </si>
  <si>
    <t>ความเสียหายน้ำสายฟ้า: 7-97 (augmented)</t>
  </si>
  <si>
    <t>เสริมความเสียหาย สายฟ้า 7 ถึง 97</t>
  </si>
  <si>
    <t>Dexterity +29</t>
  </si>
  <si>
    <t>ความเสียหายเคออส: 41-69 (augmented)</t>
  </si>
  <si>
    <t>เลเวล: 59</t>
  </si>
  <si>
    <t>เพิ่มความเสียหาย กายภาพ 41%</t>
  </si>
  <si>
    <t>อัตราความแม่นยำ +109</t>
  </si>
  <si>
    <t>เพิ่มรัศมีแสง 10%</t>
  </si>
  <si>
    <t>Arco de doble cuerda avanzado intenso de consecución</t>
  </si>
  <si>
    <t>Daño físico: 29-54</t>
  </si>
  <si>
    <t>Daño de fuego: 3-5 (augmented)</t>
  </si>
  <si>
    <t>Probabilidad de impacto crítico: 5.00%</t>
  </si>
  <si>
    <t>Nivel de objeto: 60</t>
  </si>
  <si>
    <t>Los ataques con arco disparan una flecha adicional (implicit)</t>
  </si>
  <si>
    <t>Agrega de 3 a 5 de daño de fuego</t>
  </si>
  <si>
    <t>Ganas 30 de vida por cada enemigo asesinado</t>
  </si>
  <si>
    <t>Clase de objeto: Bastones</t>
  </si>
  <si>
    <t>Bastón de medialuna avanzado congelado de impacto</t>
  </si>
  <si>
    <t>Daño físico: 40-83</t>
  </si>
  <si>
    <t>Daño de hielo: 31-45 (augmented)</t>
  </si>
  <si>
    <t>Probabilidad de impacto crítico: 10.00%</t>
  </si>
  <si>
    <t>Ataques por segundo: 1.50</t>
  </si>
  <si>
    <t>Agrega de 31 a 45 de daño de hielo</t>
  </si>
  <si>
    <t>Duración del aturdimiento aumentada un 11%</t>
  </si>
  <si>
    <t>Viento mórbido</t>
  </si>
  <si>
    <t>Arco de doble cuerda avanzado</t>
  </si>
  <si>
    <t>Daño de rayo: 7-97 (augmented)</t>
  </si>
  <si>
    <t>Agrega de 7 a 97 de daño de rayo</t>
  </si>
  <si>
    <t>+29 a la destreza</t>
  </si>
  <si>
    <t>Arco de cultista avanzado del mercenario de luz</t>
  </si>
  <si>
    <t>Daño de caos: 41-69 (augmented)</t>
  </si>
  <si>
    <t>Nivel: 59</t>
  </si>
  <si>
    <t>Daño físico aumentado un 41%</t>
  </si>
  <si>
    <t>+109 a la precisión</t>
  </si>
  <si>
    <t>Radio de iluminación aumentado un 10%</t>
  </si>
  <si>
    <t>달궈진 고급 이중시위 활 - 격파</t>
  </si>
  <si>
    <t>물리 피해: 29-54</t>
  </si>
  <si>
    <t>화염 피해: 3-5 (augmented)</t>
  </si>
  <si>
    <t>치명타 명중 확률: 5.00%</t>
  </si>
  <si>
    <t>민첩: 126</t>
  </si>
  <si>
    <t>아이템 레벨: 60</t>
  </si>
  <si>
    <t>활 공격 시 화살 1개 추가 발사 (implicit)</t>
  </si>
  <si>
    <t>화염 피해 3~5 추가</t>
  </si>
  <si>
    <t>처치한 적 하나당 생명력 30 획득</t>
  </si>
  <si>
    <t>아이템 종류: 육척봉</t>
  </si>
  <si>
    <t>얼어붙은 고급 초승달 육척봉 - 충격</t>
  </si>
  <si>
    <t>물리 피해: 40-83</t>
  </si>
  <si>
    <t>냉기 피해: 31-45 (augmented)</t>
  </si>
  <si>
    <t>치명타 명중 확률: 10.00%</t>
  </si>
  <si>
    <t>초당 공격 횟수: 1.50</t>
  </si>
  <si>
    <t>민첩: 98</t>
  </si>
  <si>
    <t>지능: 39</t>
  </si>
  <si>
    <t>냉기 피해 31~45 추가</t>
  </si>
  <si>
    <t>기절 지속시간 11% 증가</t>
  </si>
  <si>
    <t>소름 끼치는 바람</t>
  </si>
  <si>
    <t>고급 이중시위 활</t>
  </si>
  <si>
    <t>번개 피해: 7-97 (augmented)</t>
  </si>
  <si>
    <t>번개 피해 7~97 추가</t>
  </si>
  <si>
    <t>민첩 +29</t>
  </si>
  <si>
    <t>용병의 고급 광신자 활 - 빛</t>
  </si>
  <si>
    <t>카오스 피해: 41-69 (augmented)</t>
  </si>
  <si>
    <t>레벨: 59</t>
  </si>
  <si>
    <t>민첩: 135</t>
  </si>
  <si>
    <t>물리 피해 41% 증가</t>
  </si>
  <si>
    <t>정확도 +109</t>
  </si>
  <si>
    <t>시야 반경 10% 증가</t>
  </si>
  <si>
    <t>熱した 討伐の 上級デュアルストリングボウ</t>
  </si>
  <si>
    <t>物理ダメージ: 29-54</t>
  </si>
  <si>
    <t>火ダメージ: 3-5 (augmented)</t>
  </si>
  <si>
    <t>クリティカルヒット率: 5.00%</t>
  </si>
  <si>
    <t>器用さ: 126</t>
  </si>
  <si>
    <t>アイテムレベル: 60</t>
  </si>
  <si>
    <t>弓によるアタックは矢を追加で1本放つ (implicit)</t>
  </si>
  <si>
    <t>3から5の火ダメージを追加する</t>
  </si>
  <si>
    <t>キルされた敵1体ごとに30のライフを獲得する</t>
  </si>
  <si>
    <t>アイテムクラス: クォータースタッフ</t>
  </si>
  <si>
    <t>凍結した 衝撃の 上級三日月のクォータースタッフ</t>
  </si>
  <si>
    <t>物理ダメージ: 40-83</t>
  </si>
  <si>
    <t>冷気ダメージ: 31-45 (augmented)</t>
  </si>
  <si>
    <t>クリティカルヒット率: 10.00%</t>
  </si>
  <si>
    <t>秒間アタック回数: 1.50</t>
  </si>
  <si>
    <t>器用さ: 98</t>
  </si>
  <si>
    <t>知性: 39</t>
  </si>
  <si>
    <t>31から45の冷気ダメージを追加する</t>
  </si>
  <si>
    <t>スタン持続時間が11%増加する</t>
  </si>
  <si>
    <t>病的な風</t>
  </si>
  <si>
    <t>上級デュアルストリングボウ</t>
  </si>
  <si>
    <t>雷ダメージ: 7-97 (augmented)</t>
  </si>
  <si>
    <t>7から97の雷ダメージを追加する</t>
  </si>
  <si>
    <t>器用さ +29</t>
  </si>
  <si>
    <t>傭兵の 光の 上級崇拝者の弓</t>
  </si>
  <si>
    <t>混沌ダメージ: 41-69 (augmented)</t>
  </si>
  <si>
    <t>レベル: 59</t>
  </si>
  <si>
    <t>器用さ: 135</t>
  </si>
  <si>
    <t>物理ダメージが41%増加する</t>
  </si>
  <si>
    <t>命中力 +109</t>
  </si>
  <si>
    <t>光半径が10%増加する</t>
  </si>
  <si>
    <t>Fire Damage</t>
  </si>
  <si>
    <t>Cold Damage</t>
  </si>
  <si>
    <t>Lightning Damage</t>
  </si>
  <si>
    <t>Chaos Damage</t>
  </si>
  <si>
    <t>Critical Hit Chance</t>
  </si>
  <si>
    <t>Socketable</t>
  </si>
  <si>
    <t>Relics</t>
  </si>
  <si>
    <t>Crossbows</t>
  </si>
  <si>
    <t>Item Class: Foci</t>
  </si>
  <si>
    <t>Clouded Expert Plumed Focus of the Salamander</t>
  </si>
  <si>
    <t>Energy Shield: 63</t>
  </si>
  <si>
    <t>Level: 75</t>
  </si>
  <si>
    <t>Int: 139 (unmet)</t>
  </si>
  <si>
    <t>53% increased Chaos Damage</t>
  </si>
  <si>
    <t>+13% to Fire Resistance</t>
  </si>
  <si>
    <t>Item Class: Crossbows</t>
  </si>
  <si>
    <t>Champion's Advanced Forlorn Crossbow of Devouring</t>
  </si>
  <si>
    <t>Physical Damage: 34-134 (augmented)</t>
  </si>
  <si>
    <t>Attacks per Second: 1.60</t>
  </si>
  <si>
    <t>Reload Time: 0.80</t>
  </si>
  <si>
    <t>Str: 78 (unmet)</t>
  </si>
  <si>
    <t>Dex: 78</t>
  </si>
  <si>
    <t>46% increased Physical Damage</t>
  </si>
  <si>
    <t>+113 to Accuracy Rating</t>
  </si>
  <si>
    <t>Gain 33 Mana per Enemy Killed</t>
  </si>
  <si>
    <t>Expert Crescent Quarterstaff of Radiance</t>
  </si>
  <si>
    <t>Physical Damage: 50-103</t>
  </si>
  <si>
    <t>Level: 72</t>
  </si>
  <si>
    <t>Dex: 150</t>
  </si>
  <si>
    <t>Int: 59</t>
  </si>
  <si>
    <t>+52 to Accuracy Rating</t>
  </si>
  <si>
    <t>15% increased Light Radius</t>
  </si>
  <si>
    <t>Item Class: Waystones</t>
  </si>
  <si>
    <t>Waystone (Tier 14)</t>
  </si>
  <si>
    <t>Waystone Tier: 14</t>
  </si>
  <si>
    <t>Can be used in a Map Device, allowing you to enter a Map. Waystones can only be used once.</t>
  </si>
  <si>
    <t>Item Class: Trial Coins</t>
  </si>
  <si>
    <t>Djinn Barya</t>
  </si>
  <si>
    <t>Area Level: 52</t>
  </si>
  <si>
    <t>Number of Trials: 2</t>
  </si>
  <si>
    <t>Item Level: 52</t>
  </si>
  <si>
    <t>Take me to the Trial of the Sekhemas._x000D_
I will serve.</t>
  </si>
  <si>
    <t>Take this item to the Relic Altar at the Trial of the Sekhemas.</t>
  </si>
  <si>
    <t>Item Class: Inscribed Ultimatum</t>
  </si>
  <si>
    <t>Inscribed Ultimatum</t>
  </si>
  <si>
    <t>Area Level: 68</t>
  </si>
  <si>
    <t>Number of Trials: 7</t>
  </si>
  <si>
    <t>Mortals spend their lives wondering which</t>
  </si>
  <si>
    <t>fate shall be theirs. Chaos takes amusement</t>
  </si>
  <si>
    <t>in knowing the answer: all of them.</t>
  </si>
  <si>
    <t>Take this item to The Temple of Chaos to participate in a Trial of Chaos.</t>
  </si>
  <si>
    <t>Item Class: Socketable</t>
  </si>
  <si>
    <t>Iron Rune</t>
  </si>
  <si>
    <t>Martial Weapon: 20% increased Physical Damage</t>
  </si>
  <si>
    <t>Armour: 20% increased Armour, Evasion and Energy Shield</t>
  </si>
  <si>
    <t>Place into an empty Rune Socket in a Martial Weapon or Armour to apply its effect to that item. Once socketed it cannot be removed or replaced.</t>
  </si>
  <si>
    <t>Item Class: Tablet</t>
  </si>
  <si>
    <t>Delirium Precursor Tablet</t>
  </si>
  <si>
    <t>7 Maps in Range contain Mirrors of Delirium (implicit)</t>
  </si>
  <si>
    <t>Can be used in a completed Tower on your Atlas to influence surrounding Maps. Tablets are consumed once placed into a Tower.</t>
  </si>
  <si>
    <t>Corpses</t>
  </si>
  <si>
    <t>Tinctures</t>
  </si>
  <si>
    <t>Waystones</t>
  </si>
  <si>
    <t>Trial Coins</t>
  </si>
  <si>
    <t>Tablet</t>
  </si>
  <si>
    <t>Foci</t>
  </si>
  <si>
    <t>Mind Badge</t>
  </si>
  <si>
    <t>Advanced Chiseled Targe</t>
  </si>
  <si>
    <t>Block chance: 38% (augmented)</t>
  </si>
  <si>
    <t>Armour: 144 (augmented)</t>
  </si>
  <si>
    <t>Evasion Rating: 131 (augmented)</t>
  </si>
  <si>
    <t>Str: 59</t>
  </si>
  <si>
    <t>Dex: 59</t>
  </si>
  <si>
    <t>54% increased Block chance</t>
  </si>
  <si>
    <t>87% increased Armour and Evasion</t>
  </si>
  <si>
    <t>+248 to Stun Threshold</t>
  </si>
  <si>
    <t>24 to 40 Physical Thorns damage</t>
  </si>
  <si>
    <t>Block chance</t>
  </si>
  <si>
    <t>Item Class: Breachstones</t>
  </si>
  <si>
    <t>Breachstone</t>
  </si>
  <si>
    <t>The Twisted Breachlord reaches out from his</t>
  </si>
  <si>
    <t>Domain with maddened agony and anger.</t>
  </si>
  <si>
    <t>Travel to the Twisted Domain by using this item at The Realm Gate. Can only be used once.</t>
  </si>
  <si>
    <t>Item Class: Pinnacle Keys</t>
  </si>
  <si>
    <t>Weathered Crisis Fragment</t>
  </si>
  <si>
    <t>Pictographs seem to convey a dire warning.</t>
  </si>
  <si>
    <t>Can be placed in a door in The Burning Monolith.</t>
  </si>
  <si>
    <t>Item Class: Omen</t>
  </si>
  <si>
    <t>Omen of Sinistral Coronation</t>
  </si>
  <si>
    <t>While this item is active in your inventory your next</t>
  </si>
  <si>
    <t>Regal Orb will add only prefix modifiers</t>
  </si>
  <si>
    <t>Right click this item in your inventory to set it to be active. This item is consumed when triggered.</t>
  </si>
  <si>
    <t>Omen</t>
  </si>
  <si>
    <t>Breachstones</t>
  </si>
  <si>
    <t>Pinnacle Keys</t>
  </si>
  <si>
    <t>Classe d'objet: Focus</t>
  </si>
  <si>
    <t>Focus à plumes d'expert Noirci de la Salamandre</t>
  </si>
  <si>
    <t>Bouclier d'énergie: 63</t>
  </si>
  <si>
    <t>Niveau: 75</t>
  </si>
  <si>
    <t>53% d'Augmentation des Dégâts de chaos</t>
  </si>
  <si>
    <t>+13% à la Résistance au feu</t>
  </si>
  <si>
    <t>Classe d'objet: Enchâssable</t>
  </si>
  <si>
    <t>Rune du Fer</t>
  </si>
  <si>
    <t>Arme martiale: 20% d'Augmentation des Dégâts physiques</t>
  </si>
  <si>
    <t>Armure: 20% d'Augmentation de l'Armure, de l'Évasion et du Bouclier d'énergie</t>
  </si>
  <si>
    <t>À placer dans une Châsse de Rune vide d'une Arme martiale ou d'une Pièce d'armure pour appliquer son effet à cet objet. Une fois enchâssé, ne peut être retiré ou remplacé.</t>
  </si>
  <si>
    <t>Classe d'objet: Pierres de téléportation</t>
  </si>
  <si>
    <t>Pierre de téléportation (Palier 14)</t>
  </si>
  <si>
    <t>Palier de Pierre de téléportation: 14</t>
  </si>
  <si>
    <t>Peut être utilisée dans un Dispositif cartographique, vous permettant d'entrer dans une Carte. Les Pierres de téléportation ne peuvent être utilisées qu'une seule fois.</t>
  </si>
  <si>
    <t>Classe d'objet: Pièces de l'Épreuve</t>
  </si>
  <si>
    <t>Barya du Djinn</t>
  </si>
  <si>
    <t>Niv. de zone: 52</t>
  </si>
  <si>
    <t>Nombre d'Épreuves: 2</t>
  </si>
  <si>
    <t>Niveau de l'objet: 52</t>
  </si>
  <si>
    <t>« Emmenez-moi à l'Épreuve des Sekhemas.</t>
  </si>
  <si>
    <t>Je serai utile. »</t>
  </si>
  <si>
    <t>Apportez cet objet à l'Autel des Reliques de l'Épreuve des Sekhemas.</t>
  </si>
  <si>
    <t>Classe d'objet: Ultimatum gravé</t>
  </si>
  <si>
    <t>Ultimatum gravé</t>
  </si>
  <si>
    <t>Niv. de zone: 68</t>
  </si>
  <si>
    <t>Nombre d'Épreuves: 7</t>
  </si>
  <si>
    <t>Les mortels passent leur existence à se demander</t>
  </si>
  <si>
    <t>quel destin les attend. Le Chaos s'amuse</t>
  </si>
  <si>
    <t>de connaître la réponse : tous à la fois.</t>
  </si>
  <si>
    <t>Apportez cet objet au Temple de Chaos pour participer à une Épreuve de Chaos.</t>
  </si>
  <si>
    <t>Classe d'objet: Tablette</t>
  </si>
  <si>
    <t>Tablette des Prédécesseurs de Délire</t>
  </si>
  <si>
    <t>7 Cartes à portée contiennent des Miroirs du Délire (implicit)</t>
  </si>
  <si>
    <t>Peut être utilisée dans une Tour terminée de votre Atlas pour influencer les Cartes environnantes. Les Tablettes sont consommées une fois placées dans une Tour.</t>
  </si>
  <si>
    <t>Classe d'objet: Arbalètes</t>
  </si>
  <si>
    <t>Arbalète oubliée intermédiaire du Champion de l'Engloutissement</t>
  </si>
  <si>
    <t>Dégâts Physiques: 34-134 (augmented)</t>
  </si>
  <si>
    <t>Attaques par seconde: 1.60</t>
  </si>
  <si>
    <t>Temps de rechargement: 0.80</t>
  </si>
  <si>
    <t>For: 78 (unmet)</t>
  </si>
  <si>
    <t>46% d'Augmentation des Dégâts physiques</t>
  </si>
  <si>
    <t>+113 au Score de Précision</t>
  </si>
  <si>
    <t>Vous gagnez 33 de Mana par Ennemi Tué</t>
  </si>
  <si>
    <t>Bâton de combat falciforme d'expert de la Radiance</t>
  </si>
  <si>
    <t>Dégâts Physiques: 50-103</t>
  </si>
  <si>
    <t>Niveau: 72</t>
  </si>
  <si>
    <t>+52 au Score de Précision</t>
  </si>
  <si>
    <t>15% d'Augmentation du Rayonnement lumineux</t>
  </si>
  <si>
    <t xml:space="preserve"> Insigne spirituel</t>
  </si>
  <si>
    <t>Targe ciselée intermédiaire</t>
  </si>
  <si>
    <t>Chances de Blocage: 38% (augmented)</t>
  </si>
  <si>
    <t>Armure: 144 (augmented)</t>
  </si>
  <si>
    <t>Score d'Évasion: 131 (augmented)</t>
  </si>
  <si>
    <t>For: 59</t>
  </si>
  <si>
    <t>54% d'Augmentation des chances de Bloquer</t>
  </si>
  <si>
    <t>87% d'Augmentation de l'Armure et de l'Évasion</t>
  </si>
  <si>
    <t>+248 de Seuil d'Étourdissement</t>
  </si>
  <si>
    <t>Les Épines ont 24 à 40 Dégâts Physiques</t>
  </si>
  <si>
    <t>Classe d'objet: Pierres de Brèche</t>
  </si>
  <si>
    <t>Pierre de Brèche</t>
  </si>
  <si>
    <t>Le Seigneur de brèche perverti émerge de son</t>
  </si>
  <si>
    <t>domaine dans un élan de colère et d'agonie.</t>
  </si>
  <si>
    <t>Voyagez vers le Domaine distordu de Brèche en utilisant cet objet à la Porte du royaume. Cet objet se consomme à l'utilisation.</t>
  </si>
  <si>
    <t>Classe d'objet: Clés de la Finalité</t>
  </si>
  <si>
    <t>Fragment de Crise érodé</t>
  </si>
  <si>
    <t>Les pictogrammes semblent délivrer un avertissement funeste.</t>
  </si>
  <si>
    <t>Peut être placée dans une porte dans le Monolithe ardent.</t>
  </si>
  <si>
    <t>Classe d'objet: Présage</t>
  </si>
  <si>
    <t>Présage de Couronnement sénestre</t>
  </si>
  <si>
    <t>Tant que cet objet est actif dans votre inventaire, le prochain</t>
  </si>
  <si>
    <t>Orbe royal que vous utiliserez ajoutera uniquement des préfixes</t>
  </si>
  <si>
    <t>Effectuez un clic droit sur cet objet lorsqu'il est dans votre inventaire pour le rendre actif. Cet objet est consommé lorsqu'il se déclenche.</t>
  </si>
  <si>
    <t>Gegenstandsklasse: Fokusse</t>
  </si>
  <si>
    <t>Bewölkter Meisterlicher Federfokus des Salamanders</t>
  </si>
  <si>
    <t>Energieschild: 63</t>
  </si>
  <si>
    <t>Stufe: 75</t>
  </si>
  <si>
    <t>53% erhöhter Chaosschaden</t>
  </si>
  <si>
    <t>+13% zu Feuerwiderstand</t>
  </si>
  <si>
    <t>Gegenstandsklasse: Einfassbar</t>
  </si>
  <si>
    <t>Eisenrune</t>
  </si>
  <si>
    <t>Kampfwaffe: 20% erhöhter physischer Schaden</t>
  </si>
  <si>
    <t>Rüstung: 20% erhöhte Rüstung, Ausweichen und Energieschild</t>
  </si>
  <si>
    <t>Platziere dies in eine leere Runenfassung von Kampfwaffen oder Ausrüstungsgegenständen, um den Effekt anzuwenden. Kann nach dem Einfassen nicht mehr entfernt oder ersetzt werden.</t>
  </si>
  <si>
    <t>Gegenstandsklasse: Wegsteine</t>
  </si>
  <si>
    <t>Wegstein (Level 14)</t>
  </si>
  <si>
    <t>Wegsteinlevel: 14</t>
  </si>
  <si>
    <t>Kann in einem Kartenapparat verwendet werden und gewährt dir Zutritt zu einer Karte. Wegsteine können nur einmal verwendet werden.</t>
  </si>
  <si>
    <t>Gegenstandsklasse: Prüfungsmünzen</t>
  </si>
  <si>
    <t>Dschinn-Barya</t>
  </si>
  <si>
    <t>Gebietsstufe: 52</t>
  </si>
  <si>
    <t>Anzahl der Prüfungen: 2</t>
  </si>
  <si>
    <t>Gegenstandsstufe: 52</t>
  </si>
  <si>
    <t>Bring mich zur Prüfung der Sekhemas._x000D_
Ich werde dienen.</t>
  </si>
  <si>
    <t>Bringe diesen Gegenstand zum Reliktaltar in der Prüfung der Sekhemas.</t>
  </si>
  <si>
    <t>Gegenstandsklasse: Inschrift des Ultimatums</t>
  </si>
  <si>
    <t>Inschrift des Ultimatums</t>
  </si>
  <si>
    <t>Gebietsstufe: 68</t>
  </si>
  <si>
    <t>Anzahl der Prüfungen: 7</t>
  </si>
  <si>
    <t>Die Sterblichen verbringen ihr Leben damit, sich zu fragen, welches Schicksal sie ereilen wird. Chaos findet es amüsant, die Antwort zu kennen: alle.</t>
  </si>
  <si>
    <t>Bringt diesen Gegenstand zum Tempel des Chaos, um an einer Prüfung des Chaos teilzunehmen.</t>
  </si>
  <si>
    <t>Gegenstandsklasse: Tafel</t>
  </si>
  <si>
    <t>Delirium-Wegbereitertafel</t>
  </si>
  <si>
    <t>7 Karten in Reichweite enthalten Spiegel des Deliriums (implicit)</t>
  </si>
  <si>
    <t>Kann in einem abgeschlossenen Turm auf Eurem Atlas verwendet werden, um die umliegenden Karten zu beeinflussen. Tafeln werden verbraucht, sobald sie in einem Turm platziert sind.</t>
  </si>
  <si>
    <t>Gegenstandsklasse: Armbrüste</t>
  </si>
  <si>
    <t>Zweikampfstarke Fortschrittliche Einsame Armbrust des Verschlingens</t>
  </si>
  <si>
    <t>Physischer Schaden: 34-134 (augmented)</t>
  </si>
  <si>
    <t>Angriffe pro Sekunde: 1.60</t>
  </si>
  <si>
    <t>Nachladezeit: 0.80</t>
  </si>
  <si>
    <t>Ges : 78</t>
  </si>
  <si>
    <t>46% erhöhter physischer Schaden</t>
  </si>
  <si>
    <t>+113 zu Treffgenauigkeit</t>
  </si>
  <si>
    <t>Erhaltet 33 Mana pro getötetem Gegner</t>
  </si>
  <si>
    <t>Meisterlicher Halbmond-Kampfstab des Glanzes</t>
  </si>
  <si>
    <t>Physischer Schaden: 50-103</t>
  </si>
  <si>
    <t>Stufe: 72</t>
  </si>
  <si>
    <t>Ges : 150</t>
  </si>
  <si>
    <t>+52 zu Treffgenauigkeit</t>
  </si>
  <si>
    <t>15% vergrößerter Lichtradius</t>
  </si>
  <si>
    <t>Animus-Abzeichen</t>
  </si>
  <si>
    <t>Fortschrittliche Kantige Tartsche</t>
  </si>
  <si>
    <t>Blockchance: 38% (augmented)</t>
  </si>
  <si>
    <t>Rüstung: 144 (augmented)</t>
  </si>
  <si>
    <t>Ausweichwert: 131 (augmented)</t>
  </si>
  <si>
    <t>Ges : 59</t>
  </si>
  <si>
    <t>54% erhöhte Blockchance</t>
  </si>
  <si>
    <t>87% erhöhte Rüstung und Ausweichen</t>
  </si>
  <si>
    <t>+248 zur Betäubungsschwelle</t>
  </si>
  <si>
    <t>24 bis 40 physischer Dornenschaden</t>
  </si>
  <si>
    <t>Gegenstandsklasse: Riss-Steine</t>
  </si>
  <si>
    <t>Riss-Stein</t>
  </si>
  <si>
    <t>Der entstellte Riss-Fürst greift mit wahnsinniger Agonie und Wut aus seinem Reich hervor.</t>
  </si>
  <si>
    <t>Reist in das Verzerrte Reich, indem Ihr diesen Gegenstand an der Weltenpforte benutzt. Kann nur einmal benutzt werden.</t>
  </si>
  <si>
    <t>Gegenstandsklasse: Zinnenschhlüssel</t>
  </si>
  <si>
    <t>Verwittertes Krisenfragment</t>
  </si>
  <si>
    <t>Die Inschriften scheinen eine unheilvolle Warnung zu enthalten.</t>
  </si>
  <si>
    <t>Kann in einer Tür im Brennenden Monolithen platziert werden.</t>
  </si>
  <si>
    <t>Gegenstandsklasse: Omen</t>
  </si>
  <si>
    <t>Omen der Sinistralen Krönung</t>
  </si>
  <si>
    <t>Während dieser Gegenstand in deinem Inventar aktiv ist,</t>
  </si>
  <si>
    <t>gewährt deine nächste Hoheitliche Sphäre nur Präfix-Modifikatoren.</t>
  </si>
  <si>
    <t>Rechtsklicke auf diesen Gegenstand in deinem Inventar, um ihn zu aktivieren. Dieser Gegenstand wird verbraucht, wenn er ausgelöst wird.</t>
  </si>
  <si>
    <t>Classe do Item: Focos</t>
  </si>
  <si>
    <t>Foco Emplumado Aprimorado Nebuloso da Salamandra</t>
  </si>
  <si>
    <t>Escudo de Energia: 63</t>
  </si>
  <si>
    <t>Nível: 75</t>
  </si>
  <si>
    <t>Dano de Caos aumentado em 53%</t>
  </si>
  <si>
    <t>+13% de Resistência a Fogo</t>
  </si>
  <si>
    <t>Classe do Item: Encaixável</t>
  </si>
  <si>
    <t xml:space="preserve">Runa de Ferro  </t>
  </si>
  <si>
    <t>Arma Marcial: Dano Físico aumentado em 20%</t>
  </si>
  <si>
    <t>Armadura: Armadura, Evasão e Escudo de Energia aumentados em 20%</t>
  </si>
  <si>
    <t>Coloque em um Encaixe de Runa vazio em uma Arma Marcial ou Armadura para aplicar seu efeito a esse item. Uma vez encaixada, não pode ser removida ou substituída.</t>
  </si>
  <si>
    <t>Classe do Item: Pedras Guia</t>
  </si>
  <si>
    <t>Pedravia (Tier 14)</t>
  </si>
  <si>
    <t>Tier da Pedra Guia: 14</t>
  </si>
  <si>
    <t>Pode ser usado em um Dispositivo de Mapa, permitindo que você entre em um Mapa. Pedras Guia só podem ser usadas uma vez.</t>
  </si>
  <si>
    <t>Classe do Item: Moedas da Provação</t>
  </si>
  <si>
    <t>Moeda da Djinn</t>
  </si>
  <si>
    <t>Nível da Área : 52</t>
  </si>
  <si>
    <t>Número de Provações: 2</t>
  </si>
  <si>
    <t>Nível do Item: 52</t>
  </si>
  <si>
    <t>Leve-me para a Provação das Sekhemas._x000D_
Eu servirei.</t>
  </si>
  <si>
    <t>Leve este item ao Altar de Relíquias na Provação das Sekhemas.</t>
  </si>
  <si>
    <t>Classe do Item: Ultimato Talhado</t>
  </si>
  <si>
    <t>Ultimato Talhado</t>
  </si>
  <si>
    <t>Nível da Área : 68</t>
  </si>
  <si>
    <t>Número de Provações: 7</t>
  </si>
  <si>
    <t>Os mortais passam a vida pensando em seus possíveis destinos. O Caos se diverte com a resposta: todos.</t>
  </si>
  <si>
    <t>Leve este item até o Templo do Caos para participar de uma Provação do Caos.</t>
  </si>
  <si>
    <t>Classe do Item: Tábua</t>
  </si>
  <si>
    <t>Tábua do Precursor do Delírio</t>
  </si>
  <si>
    <t>7 Mapas no Alcance contêm Espelhos do Delírio (implicit)</t>
  </si>
  <si>
    <t>Pode ser usado em uma Torre concluída no seu Atlas para influenciar os Mapas ao redor. As Tábuas são consumidas ao serem colocadas em uma Torre.</t>
  </si>
  <si>
    <t>Classe do Item: Bestas</t>
  </si>
  <si>
    <t>Besta Perdida Avançada do Campeão de Devorador</t>
  </si>
  <si>
    <t>Dano Físico: 34-134 (augmented)</t>
  </si>
  <si>
    <t>Ataques por Segundo: 1.60</t>
  </si>
  <si>
    <t>Tempo de Recarregamento: 0.80</t>
  </si>
  <si>
    <t>Des: 78</t>
  </si>
  <si>
    <t>Dano Físico aumentado em 46%</t>
  </si>
  <si>
    <t>+113 de Precisão</t>
  </si>
  <si>
    <t>Ganha 33 de Mana por Inimigo Morto</t>
  </si>
  <si>
    <t>Bastão Crescente Aprimorado do Esplendor</t>
  </si>
  <si>
    <t>Dano Físico: 50-103</t>
  </si>
  <si>
    <t>Nível: 72</t>
  </si>
  <si>
    <t>Des: 150</t>
  </si>
  <si>
    <t>+52 de Precisão</t>
  </si>
  <si>
    <t>Campo de Visão aumentado em 15%</t>
  </si>
  <si>
    <t>Distintivo da Mente</t>
  </si>
  <si>
    <t>Broquel Entalhada Avançado</t>
  </si>
  <si>
    <t>Chance de Bloqueio: 38% (augmented)</t>
  </si>
  <si>
    <t>Armadura: 144 (augmented)</t>
  </si>
  <si>
    <t>Evasão: 131 (augmented)</t>
  </si>
  <si>
    <t>Des: 59</t>
  </si>
  <si>
    <t>Chance de Bloqueio aumentada em 54%</t>
  </si>
  <si>
    <t>Armadura e Evasão aumentados em 87%</t>
  </si>
  <si>
    <t>+248 ao Ponto de Atordoamento</t>
  </si>
  <si>
    <t>24 a 40 de dano Físico com Espinhos</t>
  </si>
  <si>
    <t>Classe do Item: Pedras de Fenda</t>
  </si>
  <si>
    <t>Pedra de Fenda</t>
  </si>
  <si>
    <t>O Lorde da Fenda Retorcido estende a mão de seu</t>
  </si>
  <si>
    <t>Domínio com agonia e raiva enlouquecidas.</t>
  </si>
  <si>
    <t>Viaje ao Domínio Distorcido usando este item no Portal do Reino. Só pode ser usado uma vez.</t>
  </si>
  <si>
    <t>Classe do Item: Chaves Supremas</t>
  </si>
  <si>
    <t>Fragmento Desgastado da Crise</t>
  </si>
  <si>
    <t>Nosso mundo estava morrendo, mas escolhemos sobreviver.</t>
  </si>
  <si>
    <t>Nós nos libertamos das correntes internas.</t>
  </si>
  <si>
    <t>Pode ser colocado em uma porta no Monólito Ardente.</t>
  </si>
  <si>
    <t>Classe do Item: Presságio</t>
  </si>
  <si>
    <t xml:space="preserve">Presságio da Coroação Sinistra  </t>
  </si>
  <si>
    <t>Enquanto este item estiver ativo em seu inventário</t>
  </si>
  <si>
    <t>seu próximo Orbe Régio só adicionará modificadores prefixos</t>
  </si>
  <si>
    <t>Clique com o botão direito neste item em seu inventário para ativá-lo. Este item é consumido quando ativado.</t>
  </si>
  <si>
    <t>Класс предмета: Фокусы</t>
  </si>
  <si>
    <t>Нечистый Expert Plumed Focus костра</t>
  </si>
  <si>
    <t>Энерг. щит: 63</t>
  </si>
  <si>
    <t>Уровень: 75</t>
  </si>
  <si>
    <t>Инт: 139 (unmet)</t>
  </si>
  <si>
    <t>53% увеличение урона хаосом</t>
  </si>
  <si>
    <t>+13% к сопротивлению огню</t>
  </si>
  <si>
    <t>Класс предмета: Размещаемое</t>
  </si>
  <si>
    <t>Руна железа</t>
  </si>
  <si>
    <t>Боевое оружие: 20% увеличение физического урона</t>
  </si>
  <si>
    <t>Доспехи: 20% повышение брони, уклонения и энергетического щита</t>
  </si>
  <si>
    <t>Вставьте в пустое гнездо для рун на боевом оружии или доспехах, чтобы применить эффект к ним. После вставки нельзя извлечь или заменить.</t>
  </si>
  <si>
    <t>Класс предмета: Путевые камни</t>
  </si>
  <si>
    <t>Путевой камень (Ур. 14)</t>
  </si>
  <si>
    <t>Уровень путевого камня: 14</t>
  </si>
  <si>
    <t>Можно использовать в Машине картоходца, чтобы войти на карту. Путевые камни одноразовые.</t>
  </si>
  <si>
    <t>Класс предмета: Монеты Испытания</t>
  </si>
  <si>
    <t>Бария Джинна</t>
  </si>
  <si>
    <t>Уровень области: 52</t>
  </si>
  <si>
    <t>Число испытаний: 2</t>
  </si>
  <si>
    <t>Уровень предмета: 52</t>
  </si>
  <si>
    <t>«Отнеси меня к Испытанию Сехем.</t>
  </si>
  <si>
    <t>Я послужу».</t>
  </si>
  <si>
    <t>Отнесите этот предмет к алтарю реликвий в Испытании Сехем.</t>
  </si>
  <si>
    <t>Класс предмета: Начертанные Ультиматумы</t>
  </si>
  <si>
    <t>Уровень области: 68</t>
  </si>
  <si>
    <t>Число испытаний: 7</t>
  </si>
  <si>
    <t>Смертные проводят жизнь, гадая,</t>
  </si>
  <si>
    <t>какая именно судьба их ждёт.</t>
  </si>
  <si>
    <t>Хаос забавляется, зная ответ: все.</t>
  </si>
  <si>
    <t>Отнесите этот предмет в Храм Хаоса, чтобы принять участие в Испытании Хаоса.</t>
  </si>
  <si>
    <t>Класс предмета: Плитки</t>
  </si>
  <si>
    <t>Плитка Предтеч Делириума</t>
  </si>
  <si>
    <t>На 7 картах в радиусе можно встретить зеркала Делириума (implicit)</t>
  </si>
  <si>
    <t>Может быть использовано в завершенной башне на вашем Атласе, чтобы оказывать влияние на окружающие карты. Таблички расходуются после помещения в башню.</t>
  </si>
  <si>
    <t>Класс предмета: Самострелы</t>
  </si>
  <si>
    <t>Легионерский Advanced Forlorn Crossbow пожирания</t>
  </si>
  <si>
    <t>Физический урон: 34-134 (augmented)</t>
  </si>
  <si>
    <t>Атак в секунду: 1.60</t>
  </si>
  <si>
    <t>Время перезарядки: 0.80</t>
  </si>
  <si>
    <t>Сила: 78 (unmet)</t>
  </si>
  <si>
    <t>Ловк: 78</t>
  </si>
  <si>
    <t>46% увеличение физического урона</t>
  </si>
  <si>
    <t>+113 к меткости</t>
  </si>
  <si>
    <t>Дарует 33 маны за каждого убитого врага</t>
  </si>
  <si>
    <t>Expert Crescent Quarterstaff полудня</t>
  </si>
  <si>
    <t>Физический урон: 50-103</t>
  </si>
  <si>
    <t>Уровень: 72</t>
  </si>
  <si>
    <t>Ловк: 150</t>
  </si>
  <si>
    <t>Инт: 59</t>
  </si>
  <si>
    <t>+52 к меткости</t>
  </si>
  <si>
    <t>15% увеличение [Light Radius|радиуса обзора]</t>
  </si>
  <si>
    <t>Разумный символ</t>
  </si>
  <si>
    <t>Шанс блока: 38% (augmented)</t>
  </si>
  <si>
    <t>Броня: 144 (augmented)</t>
  </si>
  <si>
    <t>Уклонение: 131 (augmented)</t>
  </si>
  <si>
    <t>Сила: 59</t>
  </si>
  <si>
    <t>Ловк: 59</t>
  </si>
  <si>
    <t>54% увеличение шанса блока</t>
  </si>
  <si>
    <t>87% повышение брони и уклонения</t>
  </si>
  <si>
    <t>+248 к порогу оглушения</t>
  </si>
  <si>
    <t>От 24 до 40 физического урона шипами</t>
  </si>
  <si>
    <t>Класс предмета: Камни Разлома</t>
  </si>
  <si>
    <t>Камень Разлома</t>
  </si>
  <si>
    <t>Искажённый Повелитель Разлома стремится сюда</t>
  </si>
  <si>
    <t>из своей вотчины, обезумев от ярости и агонии.</t>
  </si>
  <si>
    <t>Используйте этот предмет у Врат реальности, чтобы отправиться во Искажённые владения. Можно использовать один раз.</t>
  </si>
  <si>
    <t>Класс предмета: Древние ключи</t>
  </si>
  <si>
    <t>Пиктограммы, по-видимому, передают страшное предупреждение.</t>
  </si>
  <si>
    <t>Можно поместить в дверь Горящего монолита.</t>
  </si>
  <si>
    <t>Класс предмета: Предзнаменования</t>
  </si>
  <si>
    <t>Пока этот предмет активен в вашем инвентаре, следующая использованная</t>
  </si>
  <si>
    <t>сфера царей добавит только свойства-префиксы</t>
  </si>
  <si>
    <t>Щёлкните правой кнопкой мыши по этому предмету в вашем инвентаре, чтобы сделать его активным. При срабатывании предмет будет израсходован.</t>
  </si>
  <si>
    <t>ชนิดไอเทม: โฟกัส</t>
  </si>
  <si>
    <t>โล่พลังงาน: 63</t>
  </si>
  <si>
    <t>เลเวล: 75</t>
  </si>
  <si>
    <t>เพิ่มความเสียหาย เคออส 53%</t>
  </si>
  <si>
    <t>ค่าต้านทาน ไฟ +13%</t>
  </si>
  <si>
    <t>ชนิดไอเทม: ไอเทมใส่รู</t>
  </si>
  <si>
    <t>อักขระเหล็ก</t>
  </si>
  <si>
    <t>อาวุธจู่โจม: เพิ่มความเสียหาย กายภาพ 20%</t>
  </si>
  <si>
    <t>เกราะ: เพิ่มค่าเกราะ, การหลบหลีก, โล่พลังงาน 20%</t>
  </si>
  <si>
    <t>ใส่​ใน รูอักขระที่​ว่างเปล่า ในอาวุธจู่โจมหรือเกราะ เพื่อใช้งานผลของมันไปกับไอเทมชิ้นนั้น เมื่อ​ใส่​ไป​แล้ว​จะ​ไม่​สามารถ​ถอด​ออก​มา​ได้</t>
  </si>
  <si>
    <t>ชนิดไอเทม: ศิลานำทาง</t>
  </si>
  <si>
    <t>ศิลานำทาง (ระดับ 14)</t>
  </si>
  <si>
    <t>ระดับศิลานำทาง: 14</t>
  </si>
  <si>
    <t>ใช้​ใน เครื่องเปิดแผนที่ เพื่อ​เข้าไป​ยัง​แผนที่​หนึ่ง ศิลานำทาง​สามารถ​ใช้ได้​เพียง​ครั้ง​เดียว​เท่านั้น</t>
  </si>
  <si>
    <t>ชนิดไอเทม: เหรียญบททดสอบ</t>
  </si>
  <si>
    <t>บาร์ย่าจินน์</t>
  </si>
  <si>
    <t>ด่านเลเวล: 52</t>
  </si>
  <si>
    <t>จำนวนบททดสอบ: 2</t>
  </si>
  <si>
    <t>เลเวลไอเทม: 52</t>
  </si>
  <si>
    <t>นำ​ข้า​ไป​ยัง​บททดสอบ​แห่ง​เซ็คเคมา_x000D_
ข้า​จะ​รับ​ใช้</t>
  </si>
  <si>
    <t>นำ​ไอเทม​ชิ้น​นี้​ไป​ที่ แท่น​วัตถุ​ตกทอด ภายใน บททดสอบแห่งเซ็คเคมา</t>
  </si>
  <si>
    <t>ชนิดไอเทม: คำขาดจารึก</t>
  </si>
  <si>
    <t>คำขาดจารึก</t>
  </si>
  <si>
    <t>ด่านเลเวล: 68</t>
  </si>
  <si>
    <t>จำนวนบททดสอบ: 7</t>
  </si>
  <si>
    <t>มนุษย์​อยู่​อย่าง​คาใจ​ว่า​จะ​ประสบ​ชะตา​ใด</t>
  </si>
  <si>
    <t>เคออส​นั้น​ชอบใจ​ที่​ได้​รู้​คำตอบ:</t>
  </si>
  <si>
    <t>ทุก​ชะตา</t>
  </si>
  <si>
    <t>นำไอเทม​นี้​ไป​ยัง วิหารเคออส เพื่อ​ร่วม​บททดสอบแห่งเคออส</t>
  </si>
  <si>
    <t>ชนิดไอเทม: แผ่นหิน</t>
  </si>
  <si>
    <t>แผ่นหินผู้มาก่อนกาล เดลิเรียม</t>
  </si>
  <si>
    <t>แผนที่ในระยะ 7 ด่านมี กระจกเดลิเรียม (implicit)</t>
  </si>
  <si>
    <t>ใช้กับหอคอยที่สำเร็จในแอตลาสของคุณเพื่อส่งอิทธิพลต่อแผนที่ที่อยู่รอบด้าน แผ่นหินจะถูกใช้ให้หมดไปเมื่อใส่เข้าไปในหอคอย</t>
  </si>
  <si>
    <t>ชนิดไอเทม: หน้าไม้</t>
  </si>
  <si>
    <t>ความเสียหายกายภาพ: 34-134 (augmented)</t>
  </si>
  <si>
    <t>จำนวนครั้งการโจมตีต่อวินาที: 1.60</t>
  </si>
  <si>
    <t>เวลารีโหลด: 0.80</t>
  </si>
  <si>
    <t>เพิ่มความเสียหาย กายภาพ 46%</t>
  </si>
  <si>
    <t>อัตราความแม่นยำ +113</t>
  </si>
  <si>
    <t>ได้รับมานา 33 ต่อจำนวนศัตรูที่ถูกสังหาร</t>
  </si>
  <si>
    <t>ความเสียหายกายภาพ: 50-103</t>
  </si>
  <si>
    <t>เลเวล: 72</t>
  </si>
  <si>
    <t>อัตราความแม่นยำ +52</t>
  </si>
  <si>
    <t>เพิ่มรัศมีแสง 15%</t>
  </si>
  <si>
    <t>โอกาสบล็อค: 38% (augmented)</t>
  </si>
  <si>
    <t>ค่าเกราะ: 144 (augmented)</t>
  </si>
  <si>
    <t>อัตราการหลบหลีก: 131 (augmented)</t>
  </si>
  <si>
    <t>เพิ่มโอกาสบล็อค 54%</t>
  </si>
  <si>
    <t>เพิ่มค่าเกราะและการหลบหลีก 87%</t>
  </si>
  <si>
    <t>ความยากในการติดสถานะ สตัน +248</t>
  </si>
  <si>
    <t>ผิวหนาม สร้างความเสียหาย กายภาพ 24 ถึง 40</t>
  </si>
  <si>
    <t>ชนิดไอเทม: ศิลาบรีช</t>
  </si>
  <si>
    <t>ศิลาบรีช</t>
  </si>
  <si>
    <t>บรีชลอร์ดวิปลาสเงื้อมมืออกมาจากแดนของเขา</t>
  </si>
  <si>
    <t>ด้วยความทรมานและโทสะอันบ้าคลั่ง</t>
  </si>
  <si>
    <t>เดินทางไปยัง แดนวิปลาส ด้วยการใช้ไอเทมชิ้นนี้ที่ ประตูข้ามอาณาจักร สามารถใช้ได้เพียงครั้งเดียวเท่านั้น</t>
  </si>
  <si>
    <t>ชนิดไอเทม: กุญแจอภิมหาบอส</t>
  </si>
  <si>
    <t>ชิ้นส่วนวิกฤตสึกกร่อน</t>
  </si>
  <si>
    <t>เหมือนว่าภาพสัญลักษณ์นี้จะถ่ายทอดคำเตือนอันเลวร้ายยิ่ง</t>
  </si>
  <si>
    <t>สามารถใส่ลงไปในประตูภายในอนุสาวรีย์เพลิงพิโรธ</t>
  </si>
  <si>
    <t>ชนิดไอเทม: ลางบอกเหตุ</t>
  </si>
  <si>
    <t>ลางบอกเหตุ Regal เสริมซ้าย</t>
  </si>
  <si>
    <t>ขณะที่ไอเทมนี้ถูกตั้งให้ใช้งานในช่องเก็บของของคุณ</t>
  </si>
  <si>
    <t>Regal Orb ชิ้นถัดไปที่คุณใช้จะเพิ่ม ม็อดพรีฟิกซ์ เท่านั้น</t>
  </si>
  <si>
    <t>คลิกขวาที่ไอเทมชิ้นนี้ในช่องเก็บของของคุณเพื่อตั้งให้ใช้งาน ไอเทมนี้จะถูกใช้ให้หมดไปเมื่อถูกทริกเกอร์</t>
  </si>
  <si>
    <t>物品種類: 法器</t>
  </si>
  <si>
    <t>稀有度: 魔法</t>
  </si>
  <si>
    <t>多雲的火蜥蜴之專家羽毛法器</t>
  </si>
  <si>
    <t>能量護盾: 63</t>
  </si>
  <si>
    <t>需求:</t>
  </si>
  <si>
    <t>等級: 75</t>
  </si>
  <si>
    <t>智慧: 139 (unmet)</t>
  </si>
  <si>
    <t>物品等級: 77</t>
  </si>
  <si>
    <t>增加 53% 混沌傷害</t>
  </si>
  <si>
    <t>+13% 火焰抗性</t>
  </si>
  <si>
    <t>物品種類: 可鑲嵌</t>
  </si>
  <si>
    <t>稀有度: 通貨</t>
  </si>
  <si>
    <t>鍛鐵符文</t>
  </si>
  <si>
    <t>堆疊數量: 1 / 10</t>
  </si>
  <si>
    <t>軍用武器: 增加 20% 物理傷害</t>
  </si>
  <si>
    <t>護甲: 增加 20% 護甲、閃避與能量護盾</t>
  </si>
  <si>
    <t>放入軍用武器或護甲的一個空白符文插槽，將其效果套用至該物品。放入插槽後將無法移除。</t>
  </si>
  <si>
    <t>物品種類: 換界石</t>
  </si>
  <si>
    <t>稀有度: 普通</t>
  </si>
  <si>
    <t>地圖鑰匙（階級 14）</t>
  </si>
  <si>
    <t>換界石階級: 14</t>
  </si>
  <si>
    <t>物品等級: 78</t>
  </si>
  <si>
    <t>可用於地圖裝置以進入地圖。每個換界石只能被使用一次。</t>
  </si>
  <si>
    <t>物品種類: 試煉代幣</t>
  </si>
  <si>
    <t>巨靈之幣</t>
  </si>
  <si>
    <t>區域等級: 52</t>
  </si>
  <si>
    <t>試煉數量: 2</t>
  </si>
  <si>
    <t>物品等級: 52</t>
  </si>
  <si>
    <t>「帶我去絲克瑪試煉。</t>
  </si>
  <si>
    <t>我願意服侍。」</t>
  </si>
  <si>
    <t>將此物品帶到絲克瑪試煉的聖物祭壇。</t>
  </si>
  <si>
    <t>物品種類: 最後通牒雕刻</t>
  </si>
  <si>
    <t>最後通牒雕刻</t>
  </si>
  <si>
    <t>區域等級: 68</t>
  </si>
  <si>
    <t>試煉數量: 7</t>
  </si>
  <si>
    <t>物品等級: 68</t>
  </si>
  <si>
    <t>凡人終其一生都在追尋自己將迎來何種命運。</t>
  </si>
  <si>
    <t>混沌因知曉解答而從中得樂：</t>
  </si>
  <si>
    <t>所有一切，皆為命運。</t>
  </si>
  <si>
    <t>把這個物品帶到混沌神殿來參與混沌試煉。</t>
  </si>
  <si>
    <t>物品種類: 面板</t>
  </si>
  <si>
    <t>譫妄碑牌</t>
  </si>
  <si>
    <t>物品等級: 75</t>
  </si>
  <si>
    <t>範圍內 7 張地圖內含譫妄之鏡 (implicit)</t>
  </si>
  <si>
    <t>可用於輿圖中的一座已完成高塔來影響周圍的地圖。碑牌放入高塔後將會被消耗。</t>
  </si>
  <si>
    <t>物品種類: 十字弓</t>
  </si>
  <si>
    <t>冠軍的吞噬之進階絕命十字弓</t>
  </si>
  <si>
    <t>物理傷害: 34-134 (augmented)</t>
  </si>
  <si>
    <t>暴擊率: 5.00%</t>
  </si>
  <si>
    <t>每秒攻擊次數: 1.60</t>
  </si>
  <si>
    <t>重新裝填時間: 0.80</t>
  </si>
  <si>
    <t>等級: 62</t>
  </si>
  <si>
    <t>力量: 78 (unmet)</t>
  </si>
  <si>
    <t>敏捷: 78</t>
  </si>
  <si>
    <t>物品等級: 76</t>
  </si>
  <si>
    <t>增加 46% 物理傷害</t>
  </si>
  <si>
    <t>+113 命中值</t>
  </si>
  <si>
    <t>每個被擊殺的敵人，獲得 33 魔力</t>
  </si>
  <si>
    <t>物品種類: 征戰長杖</t>
  </si>
  <si>
    <t>光輝之專家新月細杖</t>
  </si>
  <si>
    <t>物理傷害: 50-103</t>
  </si>
  <si>
    <t>暴擊率: 10.00%</t>
  </si>
  <si>
    <t>每秒攻擊次數: 1.50</t>
  </si>
  <si>
    <t>等級: 72</t>
  </si>
  <si>
    <t>敏捷: 150</t>
  </si>
  <si>
    <t>智慧: 59</t>
  </si>
  <si>
    <t>+52 命中值</t>
  </si>
  <si>
    <t>增加 15% 照亮範圍</t>
  </si>
  <si>
    <t>物品種類: 盾</t>
  </si>
  <si>
    <t>稀有度: 稀有</t>
  </si>
  <si>
    <t>心靈 之徽</t>
  </si>
  <si>
    <t>進階鑿刻圓盾</t>
  </si>
  <si>
    <t>格擋機率: 38% (augmented)</t>
  </si>
  <si>
    <t>護甲: 144 (augmented)</t>
  </si>
  <si>
    <t>閃避值: 131 (augmented)</t>
  </si>
  <si>
    <t>等級: 59</t>
  </si>
  <si>
    <t>力量: 59</t>
  </si>
  <si>
    <t>敏捷: 59</t>
  </si>
  <si>
    <t>格擋率增加 54%</t>
  </si>
  <si>
    <t>增加 87% 護甲與閃避</t>
  </si>
  <si>
    <t>暈眩門檻 +248</t>
  </si>
  <si>
    <t>24 至 40 點物理荊棘傷害</t>
  </si>
  <si>
    <t>物品種類: 裂痕石</t>
  </si>
  <si>
    <t>裂痕石</t>
  </si>
  <si>
    <t>扭曲的裂痕王在瘋狂的痛苦和怒氣中</t>
  </si>
  <si>
    <t>從他的國度向外拓展。</t>
  </si>
  <si>
    <t>在界域之門使用這個物品來前往扭曲領域。僅能使用一次。</t>
  </si>
  <si>
    <t>物品種類: 巔峰鑰匙</t>
  </si>
  <si>
    <t>風化危機碎片</t>
  </si>
  <si>
    <t>象形文字似乎想傳達迫在眉睫的危機。</t>
  </si>
  <si>
    <t>可放置於燃燒豐碑中的門上。</t>
  </si>
  <si>
    <t>物品種類: 預兆</t>
  </si>
  <si>
    <t>左旋加冕之兆</t>
  </si>
  <si>
    <t>此物品在你的背包裡啟動時，你的下一個</t>
  </si>
  <si>
    <t>富豪石只會附加前綴</t>
  </si>
  <si>
    <t>在你的背包內右鍵點擊此物品以將其啟動。此物品會在觸發時被消耗。</t>
  </si>
  <si>
    <t>Clase de objeto: Focos</t>
  </si>
  <si>
    <t>Foco emplumado experto nublado de la salamandra</t>
  </si>
  <si>
    <t>Escudo de energía: 63</t>
  </si>
  <si>
    <t>Nivel: 75</t>
  </si>
  <si>
    <t>Daño de caos aumentado un 53%</t>
  </si>
  <si>
    <t>+13% a la resistencia al fuego</t>
  </si>
  <si>
    <t>Clase de objeto: Engarzable</t>
  </si>
  <si>
    <t>Runa de hierro</t>
  </si>
  <si>
    <t>Arma marcial: Daño físico aumentado un 20%</t>
  </si>
  <si>
    <t>Armadura: Armadura, evasión y escudo de energía aumentados un 20%</t>
  </si>
  <si>
    <t>Colócalo en un engarce de runa vacío de un arma marcial o una armadura para aplicar su efecto a ese objeto. Una vez engarzado, no se podrá retirar ni reemplazar.</t>
  </si>
  <si>
    <t>Clase de objeto: Piedras guía</t>
  </si>
  <si>
    <t>Piedra guía (grado 14)</t>
  </si>
  <si>
    <t>Grado de la piedra guía: 14</t>
  </si>
  <si>
    <t>Se puede colocar en un artefacto de mapas para entrar en un mapa. Las rocas guía solo se pueden usar una vez.</t>
  </si>
  <si>
    <t>Clase de objeto: Monedas de la prueba</t>
  </si>
  <si>
    <t>Barya de genio</t>
  </si>
  <si>
    <t>Nivel del área: 52</t>
  </si>
  <si>
    <t>Número de pruebas: 2</t>
  </si>
  <si>
    <t>Nivel de objeto: 52</t>
  </si>
  <si>
    <t>Llévame a la Prueba de las sekhemas._x000D_
Y allí serviré.</t>
  </si>
  <si>
    <t>Lleva este objeto al altar de reliquias de la prueba de las sekhemas.</t>
  </si>
  <si>
    <t>Clase de objeto: Ultimátum inscrito</t>
  </si>
  <si>
    <t>Ultimátum inscrito</t>
  </si>
  <si>
    <t>Nivel del área: 68</t>
  </si>
  <si>
    <t>Número de pruebas: 7</t>
  </si>
  <si>
    <t>Los mortales dedican toda su vida a preguntarse</t>
  </si>
  <si>
    <t>qué destino será el suyo. Caos se ríe,</t>
  </si>
  <si>
    <t>pues ya sabe la respuesta: todos ellos.</t>
  </si>
  <si>
    <t>Lleva este objeto al Templo de Caos para participar en una Prueba de caos.</t>
  </si>
  <si>
    <t>Clase de objeto: Tablilla</t>
  </si>
  <si>
    <t>Tablilla precursora de delirio</t>
  </si>
  <si>
    <t>7 mapas dentro de su alcance contienen espejos de delirio (implicit)</t>
  </si>
  <si>
    <t>Se puede utilizar en una torre completada de tu Atlas para influenciar los mapas circundantes. Las tablillas se consumen una vez que las colocas en una torre.</t>
  </si>
  <si>
    <t>Clase de objeto: Ballestas</t>
  </si>
  <si>
    <t>Ballesta olvidada avanzada del campeón de devoración</t>
  </si>
  <si>
    <t>Daño físico: 34-134 (augmented)</t>
  </si>
  <si>
    <t>Ataques por segundo: 1.60</t>
  </si>
  <si>
    <t>Tiempo de recarga: 0.80</t>
  </si>
  <si>
    <t>Fue: 78 (unmet)</t>
  </si>
  <si>
    <t>Daño físico aumentado un 46%</t>
  </si>
  <si>
    <t>+113 a la precisión</t>
  </si>
  <si>
    <t>Ganas 33 de maná por cada enemigo asesinado</t>
  </si>
  <si>
    <t>Bastón de medialuna experto de resplandor</t>
  </si>
  <si>
    <t>Daño físico: 50-103</t>
  </si>
  <si>
    <t>Nivel: 72</t>
  </si>
  <si>
    <t>+52 a la precisión</t>
  </si>
  <si>
    <t>Radio de iluminación aumentado un 15%</t>
  </si>
  <si>
    <t>Insignia de la mente</t>
  </si>
  <si>
    <t>Targe cincelado avanzado</t>
  </si>
  <si>
    <t>Probabilidad de bloqueo: 38% (augmented)</t>
  </si>
  <si>
    <t>Evasión: 131 (augmented)</t>
  </si>
  <si>
    <t>Fue: 59</t>
  </si>
  <si>
    <t>Probabilidad de bloqueo aumentada un 54%</t>
  </si>
  <si>
    <t>Armadura y evasión aumentadas un 87%</t>
  </si>
  <si>
    <t>+248 al umbral de aturdimiento</t>
  </si>
  <si>
    <t>De 24 a 40 de daño físico de las espinas</t>
  </si>
  <si>
    <t>Clase de objeto: Piedras de fisura</t>
  </si>
  <si>
    <t>Piedra de fisura</t>
  </si>
  <si>
    <t>El señor retorcido de la fisura extiende la mano desde</t>
  </si>
  <si>
    <t>su dominio con agonía y rabia enloquecida.</t>
  </si>
  <si>
    <t>Viaja al Dominio retorcido colocando este objeto en la Puerta del reino. Solo se puede usar una vez.</t>
  </si>
  <si>
    <t>Clase de objeto: Llaves de jefes finales</t>
  </si>
  <si>
    <t>Fragmento de crisis desgastado</t>
  </si>
  <si>
    <t>Sus pictogramas parecen transmitir una advertencia terrible.</t>
  </si>
  <si>
    <t>Se puede colocar en una puerta en el Monolito ardiente.</t>
  </si>
  <si>
    <t>Clase de objeto: Augurio</t>
  </si>
  <si>
    <t>Augurio de coronación derecha</t>
  </si>
  <si>
    <t>Mientras este objeto esté activo en tu inventario, tu siguiente</t>
  </si>
  <si>
    <t>orbe regio solo agregará modificadores de prefijo</t>
  </si>
  <si>
    <t>Haz clic derecho en este objeto en tu inventario para cambiar su estado a activo. Este objeto se consume cuando se desencadena su efecto.</t>
  </si>
  <si>
    <t>아이템 종류: 집중구</t>
  </si>
  <si>
    <t>흐릿한 전문 깃털 달린 집중구 - 불도마뱀</t>
  </si>
  <si>
    <t>에너지 보호막: 63</t>
  </si>
  <si>
    <t>레벨: 75</t>
  </si>
  <si>
    <t>지능: 139 (unmet)</t>
  </si>
  <si>
    <t>카오스 피해 53% 증가</t>
  </si>
  <si>
    <t>화염 저항 +13%</t>
  </si>
  <si>
    <t>아이템 종류: 홈에 장착 가능</t>
  </si>
  <si>
    <t>철 룬</t>
  </si>
  <si>
    <t>무도 무기: 물리 피해 20% 증가</t>
  </si>
  <si>
    <t>방어도: 방어도, 회피, 에너지 보호막 20% 증가</t>
  </si>
  <si>
    <t>무도 무기나 방어구에 있는 빈 룬 홈에 장착하여 그 아이템에 효과를 적용할 수 있습니다. 홈에 장착한 후에는 뺄 수 없습니다.</t>
  </si>
  <si>
    <t>아이템 종류: 경로석</t>
  </si>
  <si>
    <t>경로석(14등급)</t>
  </si>
  <si>
    <t>경로석 등급: 14</t>
  </si>
  <si>
    <t>지도 장치에서 사용하면 지도 안으로 이동할 수 있습니다. 경로석은 한 번만 사용할 수 있습니다.</t>
  </si>
  <si>
    <t>아이템 종류: 시련 주화</t>
  </si>
  <si>
    <t>진 바리야</t>
  </si>
  <si>
    <t>지역 레벨: 52</t>
  </si>
  <si>
    <t>시련 수: 2</t>
  </si>
  <si>
    <t>아이템 레벨: 52</t>
  </si>
  <si>
    <t>나를 세케마의 시련으로 데려다 다오._x000D_
나는 섬길 것이다.</t>
  </si>
  <si>
    <t>이 아이템을 세케마의 시련에 있는 유물 제단으로 가져가십시오.</t>
  </si>
  <si>
    <t>아이템 종류: 새겨진 결전</t>
  </si>
  <si>
    <t>새겨진 결전</t>
  </si>
  <si>
    <t>지역 레벨: 68</t>
  </si>
  <si>
    <t>시련 수: 7</t>
  </si>
  <si>
    <t>필멸자는 자신의 운명이 무엇일지 궁금해하며 살아간다.</t>
  </si>
  <si>
    <t>혼돈은 그 답이 모든 운명이란 것을</t>
  </si>
  <si>
    <t>알기에 즐거워한다.</t>
  </si>
  <si>
    <t>이 아이템을 혼돈의 사원으로 가져가서 혼돈의 시련에 참여하십시오.</t>
  </si>
  <si>
    <t>아이템 종류: 서판</t>
  </si>
  <si>
    <t>환영 선도자 서판</t>
  </si>
  <si>
    <t>범위 내 지도 7개에 환영의 거울 등장 (implicit)</t>
  </si>
  <si>
    <t>아틀라스의 완료한 탑에서 사용하면 주위 지도에 영향을 미칠 수 있습니다. 서판은 탑에 장착하면 사라집니다.</t>
  </si>
  <si>
    <t>아이템 종류: 쇠뇌</t>
  </si>
  <si>
    <t>용사의 고급 고독한 석궁 - 포식</t>
  </si>
  <si>
    <t>물리 피해: 34-134 (augmented)</t>
  </si>
  <si>
    <t>초당 공격 횟수: 1.60</t>
  </si>
  <si>
    <t>재장전 시간: 0.80</t>
  </si>
  <si>
    <t>힘: 78 (unmet)</t>
  </si>
  <si>
    <t>민첩: 78</t>
  </si>
  <si>
    <t>물리 피해 46% 증가</t>
  </si>
  <si>
    <t>정확도 +113</t>
  </si>
  <si>
    <t>처치한 적 하나당 마나 33 획득</t>
  </si>
  <si>
    <t>전문 초승달 육척봉 - 광휘</t>
  </si>
  <si>
    <t>물리 피해: 50-103</t>
  </si>
  <si>
    <t>레벨: 72</t>
  </si>
  <si>
    <t>민첩: 150</t>
  </si>
  <si>
    <t>지능: 59</t>
  </si>
  <si>
    <t>정확도 +52</t>
  </si>
  <si>
    <t>시야 반경 15% 증가</t>
  </si>
  <si>
    <t>마음의 배지</t>
  </si>
  <si>
    <t>고급 깎아놓은 타지</t>
  </si>
  <si>
    <t>막기 확률: 38% (augmented)</t>
  </si>
  <si>
    <t>방어도: 144 (augmented)</t>
  </si>
  <si>
    <t>회피: 131 (augmented)</t>
  </si>
  <si>
    <t>힘: 59</t>
  </si>
  <si>
    <t>민첩: 59</t>
  </si>
  <si>
    <t>막기 확률 54% 증가</t>
  </si>
  <si>
    <t>방어도 및 회피 87% 증가</t>
  </si>
  <si>
    <t>기절 한계치 +248</t>
  </si>
  <si>
    <t>24~40 물리 가시 피해</t>
  </si>
  <si>
    <t>아이템 종류: 균열석</t>
  </si>
  <si>
    <t>균열석</t>
  </si>
  <si>
    <t>뒤틀린 균열 군주가 광기의 고통과 분노에 차오른 채</t>
  </si>
  <si>
    <t>자신의 영역으로부터 손아귀를 뻗친다.</t>
  </si>
  <si>
    <t>영역 관문에서 해당 아이템을 사용해 뒤틀린 영역으로 갈 수 있습니다. 한 번만 사용할 수 있습니다.</t>
  </si>
  <si>
    <t>아이템 종류: 최종 열쇠</t>
  </si>
  <si>
    <t>풍화된 위기 조각</t>
  </si>
  <si>
    <t>그림 문자가 다급한 경고를 전하려 하는 듯합니다.</t>
  </si>
  <si>
    <t>불타는 거석의 문에 넣을 수 있습니다.</t>
  </si>
  <si>
    <t>아이템 종류: 징조</t>
  </si>
  <si>
    <t>좌측 대관식의 징조</t>
  </si>
  <si>
    <t>이 아이템이 소지품에서 활성화되어 있을 때</t>
  </si>
  <si>
    <t>제왕의 오브를 사용하면 접두어 속성만 추가됩니다.</t>
  </si>
  <si>
    <t>소지품에서 이 아이템을 우클릭하면 활성화할 수 있습니다. 효과가 발동하면 아이템이 소모됩니다.</t>
  </si>
  <si>
    <t>アイテムクラス: フォーカス</t>
  </si>
  <si>
    <t>曇った サラマンダーの 特級羽飾りのフォーカス</t>
  </si>
  <si>
    <t>エナジーシールド: 63</t>
  </si>
  <si>
    <t>レベル: 75</t>
  </si>
  <si>
    <t>知性: 139 (unmet)</t>
  </si>
  <si>
    <t>混沌ダメージが53%増加する</t>
  </si>
  <si>
    <t>火耐性 +13%</t>
  </si>
  <si>
    <t>アイテムクラス: ソケット可能</t>
  </si>
  <si>
    <t>鉄のルーン</t>
  </si>
  <si>
    <t>マーシャル武器: 物理ダメージが20%増加する</t>
  </si>
  <si>
    <t>防具: アーマー、回避力およびエナジーシールドが20%増加する</t>
  </si>
  <si>
    <t>マーシャル武器または防具の空のルーンソケットにつけることで効果を適用する。一度ソケットすると置き換えたり取り外すことはできない。</t>
  </si>
  <si>
    <t>アイテムクラス: ウェイストーン</t>
  </si>
  <si>
    <t>ウェイストーン（ティア14）</t>
  </si>
  <si>
    <t>ウェイストーンティア: 14</t>
  </si>
  <si>
    <t>マップデバイスで使用すると、マップに入ることができる。ウェイストーンは1度のみ使用できる。</t>
  </si>
  <si>
    <t>アイテムクラス: 試練のコイン</t>
  </si>
  <si>
    <t>ジンのバリャ</t>
  </si>
  <si>
    <t>エリアレベル: 52</t>
  </si>
  <si>
    <t>試練数: 2</t>
  </si>
  <si>
    <t>アイテムレベル: 52</t>
  </si>
  <si>
    <t>「セケマの試練へ連れて行ってくれ。</t>
  </si>
  <si>
    <t>仕えよう。」</t>
  </si>
  <si>
    <t>このアイテムをセケマの試練のレリックの祭壇に持っていく。</t>
  </si>
  <si>
    <t>アイテムクラス: 刻印されたアルティメイタム</t>
  </si>
  <si>
    <t>アルティメイタムの刻印</t>
  </si>
  <si>
    <t>エリアレベル: 68</t>
  </si>
  <si>
    <t>試練数: 7</t>
  </si>
  <si>
    <t>人間は自分のものとなるのがどの運命かを</t>
  </si>
  <si>
    <t>想像することに生涯を費やす。カオスは</t>
  </si>
  <si>
    <t>その答えを知ってほくそ笑む：全てだ。</t>
  </si>
  <si>
    <t>このアイテムを混沌の寺院に持っていき混沌の試練に参加する</t>
  </si>
  <si>
    <t>アイテムクラス: 石板</t>
  </si>
  <si>
    <t>デリリウムの先人の石板</t>
  </si>
  <si>
    <t>範囲内の7個のマップにはデリリウムの鏡が出現する (implicit)</t>
  </si>
  <si>
    <t>アトラス上の完了した塔で使用することで、周囲のマップに影響を与えることができる。石板は塔に設置することで消費される。</t>
  </si>
  <si>
    <t>アイテムクラス: クロスボウ</t>
  </si>
  <si>
    <t>覇者の 捕食の 上級孤独なクロスボウ</t>
  </si>
  <si>
    <t>物理ダメージ: 34-134 (augmented)</t>
  </si>
  <si>
    <t>秒間アタック回数: 1.60</t>
  </si>
  <si>
    <t>再装填時間: 0.80</t>
  </si>
  <si>
    <t>筋力: 78 (unmet)</t>
  </si>
  <si>
    <t>器用さ: 78</t>
  </si>
  <si>
    <t>物理ダメージが46%増加する</t>
  </si>
  <si>
    <t>命中力 +113</t>
  </si>
  <si>
    <t>敵を1体キルするごとに33のマナを獲得する</t>
  </si>
  <si>
    <t>光輝の 特級三日月のクォータースタッフ</t>
  </si>
  <si>
    <t>物理ダメージ: 50-103</t>
  </si>
  <si>
    <t>レベル: 72</t>
  </si>
  <si>
    <t>器用さ: 150</t>
  </si>
  <si>
    <t>知性: 59</t>
  </si>
  <si>
    <t>命中力 +52</t>
  </si>
  <si>
    <t>光半径が15%増加する</t>
  </si>
  <si>
    <t>精神の記章</t>
  </si>
  <si>
    <t>上級彫り込まれたタージ</t>
  </si>
  <si>
    <t>ブロック率: 38% (augmented)</t>
  </si>
  <si>
    <t>アーマー: 144 (augmented)</t>
  </si>
  <si>
    <t>回避力: 131 (augmented)</t>
  </si>
  <si>
    <t>筋力: 59</t>
  </si>
  <si>
    <t>器用さ: 59</t>
  </si>
  <si>
    <t>ブロック率が54%増加する</t>
  </si>
  <si>
    <t>アーマーおよび回避力が87%増加する</t>
  </si>
  <si>
    <t>スタン閾値 +248</t>
  </si>
  <si>
    <t>24から40の物理棘ダメージ</t>
  </si>
  <si>
    <t>アイテムクラス: ブリーチストーン</t>
  </si>
  <si>
    <t>ブリーチストーン</t>
  </si>
  <si>
    <t>歪んだブリーチロードは狂った苦痛と怒りで</t>
  </si>
  <si>
    <t>その領域から手を伸ばす。</t>
  </si>
  <si>
    <t>領域の門でこのアイテムを使用して歪んだ領域に移動する。一度のみ使用できる。</t>
  </si>
  <si>
    <t>アイテムクラス: ピナクルキー</t>
  </si>
  <si>
    <t>風化した危機の断片</t>
  </si>
  <si>
    <t>象形文字が何か恐ろしいものに対する警告をしているようだ。</t>
  </si>
  <si>
    <t>燃えるモノリス内の扉に設置できる</t>
  </si>
  <si>
    <t>アイテムクラス: お告げ</t>
  </si>
  <si>
    <t>左側の戴冠のお告げ</t>
  </si>
  <si>
    <t>インベントリ内でアクティブ状態の時</t>
  </si>
  <si>
    <t>次に使用する王者のオーブはプレフィックスモッドをのみを追加する。</t>
  </si>
  <si>
    <t>インベントリ内で右クリックでアクティブ状態となる。このアイテムはトリガー時に消費される。</t>
  </si>
  <si>
    <t>物品種類: 弓</t>
  </si>
  <si>
    <t>加熱的征服之進階雙弦弓</t>
  </si>
  <si>
    <t>物理傷害: 29-54</t>
  </si>
  <si>
    <t>火焰傷害: 3-5 (augmented)</t>
  </si>
  <si>
    <t>每秒攻擊次數: 1.20</t>
  </si>
  <si>
    <t>等級: 55</t>
  </si>
  <si>
    <t>敏捷: 126</t>
  </si>
  <si>
    <t>物品等級: 60</t>
  </si>
  <si>
    <t>弓攻擊發射 1 個額外箭矢 (implicit)</t>
  </si>
  <si>
    <t>附加 3 至 5 火焰傷害</t>
  </si>
  <si>
    <t>每個被擊殺的敵人，獲得 30 生命</t>
  </si>
  <si>
    <t>凍結的衝擊之進階新月細杖</t>
  </si>
  <si>
    <t>物理傷害: 40-83</t>
  </si>
  <si>
    <t>冰冷傷害: 31-45 (augmented)</t>
  </si>
  <si>
    <t>敏捷: 98</t>
  </si>
  <si>
    <t>智慧: 39</t>
  </si>
  <si>
    <t>附加 31 至 45 冰冷傷害</t>
  </si>
  <si>
    <t>增加 11% 暈眩持續時間</t>
  </si>
  <si>
    <t>災病 破風</t>
  </si>
  <si>
    <t>進階雙弦弓</t>
  </si>
  <si>
    <t>閃電傷害: 7-97 (augmented)</t>
  </si>
  <si>
    <t>每秒攻擊次數: 1.36 (augmented)</t>
  </si>
  <si>
    <t>附加 7 至 97 閃電傷害</t>
  </si>
  <si>
    <t>增加 13% 攻擊速度</t>
  </si>
  <si>
    <t>+29 敏捷</t>
  </si>
  <si>
    <t>傭兵的光明之進階教徒之弓</t>
  </si>
  <si>
    <t>混沌傷害: 41-69 (augmented)</t>
  </si>
  <si>
    <t>敏捷: 135</t>
  </si>
  <si>
    <t>增加 41% 物理傷害</t>
  </si>
  <si>
    <t>+109 命中值</t>
  </si>
  <si>
    <t>增加 10% 照亮範圍</t>
  </si>
  <si>
    <t>Sol Visage</t>
  </si>
  <si>
    <t>Expert Wicker Tiara</t>
  </si>
  <si>
    <t>Energy Shield: 439 (augmented)</t>
  </si>
  <si>
    <t>Int: 118</t>
  </si>
  <si>
    <t xml:space="preserve">Sockets: S </t>
  </si>
  <si>
    <t>20% increased Armour, Evasion and Energy Shield (rune)</t>
  </si>
  <si>
    <t>+69 to maximum Energy Shield</t>
  </si>
  <si>
    <t>119% increased Energy Shield</t>
  </si>
  <si>
    <t>+34 to maximum Life</t>
  </si>
  <si>
    <t>12% increased Critical Hit Chance</t>
  </si>
  <si>
    <t>+12 to Intelligence</t>
  </si>
  <si>
    <t>+13% to Chaos Resistance</t>
  </si>
  <si>
    <t>Солнечный облик</t>
  </si>
  <si>
    <t>Мастерская тиара из прутьев</t>
  </si>
  <si>
    <t>Энергетический щит: 439 (augmented)</t>
  </si>
  <si>
    <t>Инт: 118</t>
  </si>
  <si>
    <t xml:space="preserve">Гнезда: S </t>
  </si>
  <si>
    <t>20% повышение брони, уклонения и энергетического щита (rune)</t>
  </si>
  <si>
    <t>+69 к максимуму энергетического щита</t>
  </si>
  <si>
    <t>119% увеличение энергетического щита</t>
  </si>
  <si>
    <t>+34 к максимуму здоровья</t>
  </si>
  <si>
    <t>12% повышение глобального шанса критического удара</t>
  </si>
  <si>
    <t>+12 к интеллекту</t>
  </si>
  <si>
    <t>+13% к сопротивлению хаосу</t>
  </si>
  <si>
    <t>Result</t>
  </si>
  <si>
    <t>Empty</t>
  </si>
  <si>
    <t>Macro</t>
  </si>
  <si>
    <t>Burning Rattling Sceptre</t>
  </si>
  <si>
    <t>Spirit: 100</t>
  </si>
  <si>
    <t>Requires: Level 66, 46 Str, 117 Int</t>
  </si>
  <si>
    <t>Allies in your Presence deal 9 to 13 additional Attack Fire Damage</t>
  </si>
  <si>
    <t>Sceptre cliquetant Embrasé</t>
  </si>
  <si>
    <t>Esprit: 100</t>
  </si>
  <si>
    <t>Prérequis : Niveau 66, 46 For, 117 Int</t>
  </si>
  <si>
    <t>Les Attaques des Alliés en votre Présence infligent 9 à 13 Dégâts de Feu supplémentaires</t>
  </si>
  <si>
    <t>Brennendes Rasselndes Zepter</t>
  </si>
  <si>
    <t>Wille: 100</t>
  </si>
  <si>
    <t>Erfordert: Stufe 66, 46 Str, 117 Int</t>
  </si>
  <si>
    <t>Verbündete in Eurer Präsenz verursachen 9 bis 13 zusätzlichen Feuer-Angriffsschaden</t>
  </si>
  <si>
    <t>Cetro Chocalhante Incendiado</t>
  </si>
  <si>
    <t>Espírito: 100</t>
  </si>
  <si>
    <t>Requer: Nível 66, 46 For, 117 Int</t>
  </si>
  <si>
    <t>Aliados em sua Presença causam 9 a 13 de Dano de Fogo adicional com Ataques</t>
  </si>
  <si>
    <t>Горящий Гремящий скипетр</t>
  </si>
  <si>
    <t>Дух: 100</t>
  </si>
  <si>
    <t>Требуется: Уровень 66, 46 Сила, 117 Инт</t>
  </si>
  <si>
    <t>Союзники в вашем присутствии наносят от 9 до 13 дополнительного урона от огня атаками</t>
  </si>
  <si>
    <t>พลังวิญญาณ: 100</t>
  </si>
  <si>
    <t>ต้องการ: เลเวล 66, 46 Str, 117 Int</t>
  </si>
  <si>
    <t>เพื่อนในระยะปรากฏกายของคุณ สร้างความเสียหาย โจมตี ไฟ เพิ่มเติม 9 ถึง 13</t>
  </si>
  <si>
    <t>物品種類: 權杖</t>
  </si>
  <si>
    <t>燃燒的雜響權杖</t>
  </si>
  <si>
    <t>精魂: 100</t>
  </si>
  <si>
    <t>需求: 等級 66, 46 力量, 117 智慧</t>
  </si>
  <si>
    <t>物品等級: 70</t>
  </si>
  <si>
    <t>處於你存在範圍中的友方造成 9 至 13 額外攻擊火焰傷害</t>
  </si>
  <si>
    <t>Cetro traqueteante candente</t>
  </si>
  <si>
    <t>Espíritu: 100</t>
  </si>
  <si>
    <t>Requiere: Nivel 66, 46 Fue, 117 Int</t>
  </si>
  <si>
    <t>Los aliados que están en tu presencia infligen de 9 a 13 de daño de fuego adicional con los ataques</t>
  </si>
  <si>
    <t>불타는 덜컹대는 셉터</t>
  </si>
  <si>
    <t>정신력: 100</t>
  </si>
  <si>
    <t>요구 사항: 레벨 66, 46 힘, 117 지능</t>
  </si>
  <si>
    <t>접근해 있는 동료들이 주는 공격 화염 피해 9~13 추가</t>
  </si>
  <si>
    <t>燃える ラトリングセプター</t>
  </si>
  <si>
    <t>スピリット: 100</t>
  </si>
  <si>
    <t>装備条件：レベル 66, 46 筋力, 117 知性</t>
  </si>
  <si>
    <t>プレイヤーの存在下にいる味方は9から13の追加アタック火ダメージを与える</t>
  </si>
  <si>
    <t>Spirit</t>
  </si>
  <si>
    <t>傳奇</t>
  </si>
  <si>
    <t>普通</t>
  </si>
  <si>
    <t>魔法</t>
  </si>
  <si>
    <t>稀有</t>
  </si>
  <si>
    <t>通貨</t>
  </si>
  <si>
    <t>寶石</t>
  </si>
  <si>
    <t>命運卡</t>
  </si>
  <si>
    <t>品質</t>
  </si>
  <si>
    <t>替代品質</t>
  </si>
  <si>
    <t>已汙染</t>
  </si>
  <si>
    <t>插槽</t>
  </si>
  <si>
    <t>物品等級</t>
  </si>
  <si>
    <t>經驗值</t>
  </si>
  <si>
    <t>物理傷害</t>
  </si>
  <si>
    <t>元素傷害</t>
  </si>
  <si>
    <t>混沌傷害</t>
  </si>
  <si>
    <t>每秒攻擊次數</t>
  </si>
  <si>
    <t>暴擊率</t>
  </si>
  <si>
    <t>能量護盾</t>
  </si>
  <si>
    <t>護甲</t>
  </si>
  <si>
    <t>閃避值</t>
  </si>
  <si>
    <t>格擋率</t>
  </si>
  <si>
    <t>地圖階級</t>
  </si>
  <si>
    <t>物品數量</t>
  </si>
  <si>
    <t>物品稀有度</t>
  </si>
  <si>
    <t>怪物群大小</t>
  </si>
  <si>
    <t>需求</t>
  </si>
  <si>
    <t>區域等級</t>
  </si>
  <si>
    <t>精良的</t>
  </si>
  <si>
    <t>凋落的</t>
  </si>
  <si>
    <t>凋落蔓延</t>
  </si>
  <si>
    <t>塑者之物</t>
  </si>
  <si>
    <t>尊師之物</t>
  </si>
  <si>
    <t>聖戰軍王物品</t>
  </si>
  <si>
    <t>狩獵者物品</t>
  </si>
  <si>
    <t>救贖者物品</t>
  </si>
  <si>
    <t>總督軍物品</t>
  </si>
  <si>
    <t>物品種類</t>
  </si>
  <si>
    <t>可堆疊通貨</t>
  </si>
  <si>
    <t>珠寶</t>
  </si>
  <si>
    <t>掘獄可堆疊有插槽通貨</t>
  </si>
  <si>
    <t>鍊魔樣本</t>
  </si>
  <si>
    <t>劫盜工具</t>
  </si>
  <si>
    <t>項鍊</t>
  </si>
  <si>
    <t>戒指</t>
  </si>
  <si>
    <t>腰帶</t>
  </si>
  <si>
    <t>手套</t>
  </si>
  <si>
    <t>鞋子</t>
  </si>
  <si>
    <t>胸甲</t>
  </si>
  <si>
    <t>頭部</t>
  </si>
  <si>
    <t>盾</t>
  </si>
  <si>
    <t>箭袋</t>
  </si>
  <si>
    <t>生命藥劑</t>
  </si>
  <si>
    <t>魔力藥劑</t>
  </si>
  <si>
    <t>複合藥劑</t>
  </si>
  <si>
    <t>功能藥劑</t>
  </si>
  <si>
    <t>技能寶石</t>
  </si>
  <si>
    <t>輔助寶石</t>
  </si>
  <si>
    <t>地圖</t>
  </si>
  <si>
    <t>地圖碎片</t>
  </si>
  <si>
    <t>契約書</t>
  </si>
  <si>
    <t>藍圖</t>
  </si>
  <si>
    <t>其它</t>
  </si>
  <si>
    <t>爪</t>
  </si>
  <si>
    <t>匕首</t>
  </si>
  <si>
    <t>法杖</t>
  </si>
  <si>
    <t>單手劍</t>
  </si>
  <si>
    <t>細劍</t>
  </si>
  <si>
    <t>單手斧</t>
  </si>
  <si>
    <t>單手錘</t>
  </si>
  <si>
    <t>長杖</t>
  </si>
  <si>
    <t>雙手劍</t>
  </si>
  <si>
    <t>雙手斧</t>
  </si>
  <si>
    <t>雙手錘</t>
  </si>
  <si>
    <t>權杖</t>
  </si>
  <si>
    <t>符紋匕首</t>
  </si>
  <si>
    <t>征戰長杖</t>
  </si>
  <si>
    <t>魚竿</t>
  </si>
  <si>
    <t>劫盜裝備</t>
  </si>
  <si>
    <t>劫盜胸針</t>
  </si>
  <si>
    <t>劫盜目標</t>
  </si>
  <si>
    <t>劫盜披風</t>
  </si>
  <si>
    <t>深淵珠寶</t>
  </si>
  <si>
    <t>飾品</t>
  </si>
  <si>
    <t>探險日誌</t>
  </si>
  <si>
    <t>記憶</t>
  </si>
  <si>
    <t>聖域研究</t>
  </si>
  <si>
    <t>聖物</t>
  </si>
  <si>
    <t>萃取物</t>
  </si>
  <si>
    <t>屍體</t>
  </si>
  <si>
    <t>http://www.pathofexile.tw/trade/</t>
  </si>
  <si>
    <t>http://www.pathofexile.tw/api/trade/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</si>
</sst>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u/>
      <sz val="11"/>
      <color theme="10"/>
      <name val="Calibri"/>
      <family val="2"/>
      <scheme val="minor"/>
    </font>
    <font>
      <sz val="16"/>
      <color theme="1"/>
      <name val="Calibri"/>
      <family val="2"/>
      <scheme val="minor"/>
    </font>
  </fonts>
  <fills count="7">
    <fill>
      <patternFill patternType="none"/>
    </fill>
    <fill>
      <patternFill patternType="gray125"/>
    </fill>
    <fill>
      <patternFill patternType="solid">
        <fgColor theme="1"/>
        <bgColor indexed="64"/>
      </patternFill>
    </fill>
    <fill>
      <patternFill patternType="solid">
        <fgColor theme="4"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4" tint="0.79998168889431442"/>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s>
  <cellStyleXfs count="2">
    <xf numFmtId="0" fontId="0" fillId="0" borderId="0"/>
    <xf numFmtId="0" fontId="1" fillId="0" borderId="0" applyNumberFormat="0" applyFill="0" applyBorder="0" applyAlignment="0" applyProtection="0"/>
  </cellStyleXfs>
  <cellXfs count="36">
    <xf numFmtId="0" fontId="0" fillId="0" borderId="0" xfId="0"/>
    <xf numFmtId="0" fontId="0" fillId="0" borderId="1" xfId="0" applyBorder="1" applyAlignment="1">
      <alignment wrapText="1"/>
    </xf>
    <xf numFmtId="0" fontId="0" fillId="0" borderId="2" xfId="0" applyBorder="1"/>
    <xf numFmtId="0" fontId="0" fillId="0" borderId="3" xfId="0" applyBorder="1"/>
    <xf numFmtId="0" fontId="0" fillId="0" borderId="6" xfId="0" applyBorder="1"/>
    <xf numFmtId="0" fontId="0" fillId="0" borderId="7" xfId="0" applyBorder="1"/>
    <xf numFmtId="0" fontId="0" fillId="0" borderId="5" xfId="0" applyBorder="1" applyAlignment="1">
      <alignment horizontal="left" vertical="top" wrapText="1"/>
    </xf>
    <xf numFmtId="0" fontId="1" fillId="0" borderId="5" xfId="1" applyBorder="1" applyAlignment="1">
      <alignment horizontal="left" vertical="top" wrapText="1"/>
    </xf>
    <xf numFmtId="0" fontId="0" fillId="3" borderId="1" xfId="0" applyFill="1" applyBorder="1" applyAlignment="1">
      <alignment horizontal="left" vertical="top" wrapText="1"/>
    </xf>
    <xf numFmtId="0" fontId="0" fillId="3" borderId="4" xfId="0" applyFill="1" applyBorder="1" applyAlignment="1">
      <alignment horizontal="left" vertical="top" wrapText="1"/>
    </xf>
    <xf numFmtId="0" fontId="0" fillId="5" borderId="4" xfId="0" applyFill="1" applyBorder="1" applyAlignment="1">
      <alignment horizontal="left" vertical="top" wrapText="1"/>
    </xf>
    <xf numFmtId="0" fontId="0" fillId="5" borderId="7" xfId="0" applyFill="1" applyBorder="1" applyAlignment="1">
      <alignment horizontal="left" vertical="top" wrapText="1"/>
    </xf>
    <xf numFmtId="0" fontId="0" fillId="2" borderId="5" xfId="0" applyFill="1" applyBorder="1" applyAlignment="1">
      <alignment horizontal="left" vertical="top" wrapText="1"/>
    </xf>
    <xf numFmtId="0" fontId="0" fillId="4" borderId="5" xfId="0" applyFill="1" applyBorder="1" applyAlignment="1">
      <alignment horizontal="left" vertical="top" wrapText="1"/>
    </xf>
    <xf numFmtId="0" fontId="0" fillId="5" borderId="3" xfId="0" applyFill="1" applyBorder="1" applyAlignment="1">
      <alignment horizontal="left" vertical="top" wrapText="1"/>
    </xf>
    <xf numFmtId="0" fontId="0" fillId="0" borderId="0" xfId="0" applyAlignment="1">
      <alignment horizontal="left" vertical="top" wrapText="1"/>
    </xf>
    <xf numFmtId="0" fontId="0" fillId="0" borderId="6" xfId="0" applyBorder="1" applyAlignment="1">
      <alignment horizontal="left" vertical="top" wrapText="1"/>
    </xf>
    <xf numFmtId="0" fontId="0" fillId="0" borderId="4" xfId="0" applyBorder="1" applyAlignment="1">
      <alignment horizontal="left" vertical="top" wrapText="1"/>
    </xf>
    <xf numFmtId="0" fontId="0" fillId="0" borderId="7" xfId="0" applyBorder="1" applyAlignment="1">
      <alignment horizontal="left" vertical="top" wrapText="1"/>
    </xf>
    <xf numFmtId="0" fontId="0" fillId="5" borderId="1" xfId="0" applyFill="1" applyBorder="1" applyAlignment="1">
      <alignment horizontal="left" vertical="top" wrapText="1"/>
    </xf>
    <xf numFmtId="0" fontId="0" fillId="0" borderId="1" xfId="0" applyBorder="1" applyAlignment="1">
      <alignment horizontal="left" vertical="top" wrapText="1"/>
    </xf>
    <xf numFmtId="0" fontId="0" fillId="0" borderId="2" xfId="0" applyBorder="1" applyAlignment="1">
      <alignment horizontal="left" vertical="top" wrapText="1"/>
    </xf>
    <xf numFmtId="0" fontId="0" fillId="0" borderId="7" xfId="0" quotePrefix="1" applyBorder="1" applyAlignment="1">
      <alignment horizontal="left" vertical="top" wrapText="1"/>
    </xf>
    <xf numFmtId="0" fontId="0" fillId="0" borderId="0" xfId="0" applyAlignment="1">
      <alignment wrapText="1"/>
    </xf>
    <xf numFmtId="0" fontId="1" fillId="0" borderId="0" xfId="1"/>
    <xf numFmtId="0" fontId="0" fillId="6" borderId="1" xfId="0" applyFill="1" applyBorder="1" applyAlignment="1">
      <alignment horizontal="center" vertical="center"/>
    </xf>
    <xf numFmtId="0" fontId="0" fillId="0" borderId="0" xfId="0" applyAlignment="1">
      <alignment horizontal="center" vertical="center"/>
    </xf>
    <xf numFmtId="0" fontId="0" fillId="0" borderId="1" xfId="0" applyBorder="1" applyAlignment="1">
      <alignment horizontal="center" vertical="center"/>
    </xf>
    <xf numFmtId="0" fontId="1" fillId="0" borderId="1" xfId="1" applyBorder="1" applyAlignment="1">
      <alignment horizontal="center" vertical="center"/>
    </xf>
    <xf numFmtId="0" fontId="1" fillId="0" borderId="0" xfId="1" applyAlignment="1">
      <alignment horizontal="center" vertical="center"/>
    </xf>
    <xf numFmtId="0" fontId="1" fillId="0" borderId="6" xfId="1" applyBorder="1" applyAlignment="1">
      <alignment horizontal="left" vertical="top" wrapText="1"/>
    </xf>
    <xf numFmtId="0" fontId="1" fillId="0" borderId="1" xfId="1" applyBorder="1" applyAlignment="1">
      <alignment wrapText="1"/>
    </xf>
    <xf numFmtId="0" fontId="2" fillId="3" borderId="5" xfId="0" applyFont="1" applyFill="1" applyBorder="1" applyAlignment="1">
      <alignment horizontal="center" vertical="center"/>
    </xf>
    <xf numFmtId="0" fontId="2" fillId="3" borderId="6" xfId="0" applyFont="1" applyFill="1" applyBorder="1" applyAlignment="1">
      <alignment horizontal="center" vertical="center"/>
    </xf>
    <xf numFmtId="0" fontId="2" fillId="3" borderId="2" xfId="0" applyFont="1" applyFill="1" applyBorder="1" applyAlignment="1">
      <alignment horizontal="center" vertical="center"/>
    </xf>
    <xf numFmtId="0" fontId="2" fillId="3" borderId="1" xfId="0" applyFont="1" applyFill="1" applyBorder="1" applyAlignment="1">
      <alignment horizontal="center" vertical="center"/>
    </xf>
  </cellXfs>
  <cellStyles count="2">
    <cellStyle name="Hyperlink" xfId="1" builtinId="8"/>
    <cellStyle name="Normal" xfId="0" builtinId="0"/>
  </cellStyles>
  <dxfs count="542">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rgb="FFFFCCCC"/>
        </patternFill>
      </fill>
    </dxf>
    <dxf>
      <fill>
        <patternFill>
          <bgColor theme="1"/>
        </patternFill>
      </fill>
    </dxf>
    <dxf>
      <fill>
        <patternFill>
          <bgColor rgb="FFFFCCCC"/>
        </patternFill>
      </fill>
    </dxf>
    <dxf>
      <fill>
        <patternFill>
          <bgColor rgb="FFFFCCCC"/>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CCCC"/>
        </patternFill>
      </fill>
    </dxf>
    <dxf>
      <fill>
        <patternFill>
          <bgColor rgb="FFFFCCCC"/>
        </patternFill>
      </fill>
    </dxf>
    <dxf>
      <fill>
        <patternFill>
          <bgColor theme="1"/>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ont>
        <color rgb="FFFF5050"/>
      </font>
      <fill>
        <patternFill>
          <bgColor rgb="FFFF5050"/>
        </patternFill>
      </fill>
    </dxf>
    <dxf>
      <font>
        <color theme="9" tint="0.39994506668294322"/>
      </font>
      <fill>
        <patternFill>
          <bgColor theme="9" tint="0.39994506668294322"/>
        </patternFill>
      </fill>
    </dxf>
    <dxf>
      <fill>
        <patternFill>
          <bgColor theme="7" tint="0.79998168889431442"/>
        </patternFill>
      </fill>
    </dxf>
    <dxf>
      <fill>
        <patternFill>
          <bgColor theme="9" tint="0.79998168889431442"/>
        </patternFill>
      </fill>
    </dxf>
    <dxf>
      <fill>
        <patternFill>
          <bgColor rgb="FFFFCCCC"/>
        </patternFill>
      </fill>
    </dxf>
    <dxf>
      <fill>
        <patternFill>
          <bgColor theme="1"/>
        </patternFill>
      </fill>
    </dxf>
    <dxf>
      <fill>
        <patternFill>
          <bgColor rgb="FFFFCCCC"/>
        </patternFill>
      </fill>
    </dxf>
    <dxf>
      <fill>
        <patternFill>
          <bgColor rgb="FFFFCCCC"/>
        </patternFill>
      </fill>
    </dxf>
  </dxfs>
  <tableStyles count="0" defaultTableStyle="TableStyleMedium2" defaultPivotStyle="PivotStyleLight16"/>
  <colors>
    <mruColors>
      <color rgb="FFFFCCCC"/>
      <color rgb="FFFF5050"/>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sheetMetadata" Target="metadata.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openxmlformats.org/officeDocument/2006/relationships/calcChain" Target="calcChain.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styles" Target="styles.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hyperlink" Target="https://ru.pathofexile.com/trade/" TargetMode="External"/><Relationship Id="rId13" Type="http://schemas.openxmlformats.org/officeDocument/2006/relationships/hyperlink" Target="http://www.pathofexile.tw/trade/" TargetMode="External"/><Relationship Id="rId3" Type="http://schemas.openxmlformats.org/officeDocument/2006/relationships/hyperlink" Target="https://es.pathofexile.com/trade/" TargetMode="External"/><Relationship Id="rId7" Type="http://schemas.openxmlformats.org/officeDocument/2006/relationships/hyperlink" Target="https://br.pathofexile.com/trade/" TargetMode="External"/><Relationship Id="rId12" Type="http://schemas.openxmlformats.org/officeDocument/2006/relationships/hyperlink" Target="https://www.pathofexile.com/api/trade/" TargetMode="External"/><Relationship Id="rId2" Type="http://schemas.openxmlformats.org/officeDocument/2006/relationships/hyperlink" Target="https://de.pathofexile.com/trade/" TargetMode="External"/><Relationship Id="rId1" Type="http://schemas.openxmlformats.org/officeDocument/2006/relationships/hyperlink" Target="https://web.poecdn.com/" TargetMode="External"/><Relationship Id="rId6" Type="http://schemas.openxmlformats.org/officeDocument/2006/relationships/hyperlink" Target="https://poe.game.daum.net/trade/" TargetMode="External"/><Relationship Id="rId11" Type="http://schemas.openxmlformats.org/officeDocument/2006/relationships/hyperlink" Target="https://www.pathofexile.com/trade/" TargetMode="External"/><Relationship Id="rId5" Type="http://schemas.openxmlformats.org/officeDocument/2006/relationships/hyperlink" Target="https://jp.pathofexile.com/trade/" TargetMode="External"/><Relationship Id="rId15" Type="http://schemas.openxmlformats.org/officeDocument/2006/relationships/printerSettings" Target="../printerSettings/printerSettings1.bin"/><Relationship Id="rId10" Type="http://schemas.openxmlformats.org/officeDocument/2006/relationships/hyperlink" Target="https://www.pathofexile.com/trade/" TargetMode="External"/><Relationship Id="rId4" Type="http://schemas.openxmlformats.org/officeDocument/2006/relationships/hyperlink" Target="https://fr.pathofexile.com/trade/" TargetMode="External"/><Relationship Id="rId9" Type="http://schemas.openxmlformats.org/officeDocument/2006/relationships/hyperlink" Target="https://th.pathofexile.com/trade/" TargetMode="External"/><Relationship Id="rId14" Type="http://schemas.openxmlformats.org/officeDocument/2006/relationships/hyperlink" Target="http://www.pathofexile.tw/api/trade/" TargetMode="Externa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B625D8-33C9-47A3-86E8-6B057A70BC59}">
  <sheetPr codeName="Sheet1">
    <tabColor theme="8" tint="0.79998168889431442"/>
  </sheetPr>
  <dimension ref="A1:S39"/>
  <sheetViews>
    <sheetView workbookViewId="0">
      <selection activeCell="G21" sqref="G21"/>
    </sheetView>
  </sheetViews>
  <sheetFormatPr defaultRowHeight="15" x14ac:dyDescent="0.25"/>
  <cols>
    <col min="1" max="1" width="6" style="26" customWidth="1"/>
    <col min="2" max="2" width="23.7109375" style="26" customWidth="1"/>
    <col min="3" max="3" width="12.7109375" style="26" customWidth="1"/>
    <col min="4" max="4" width="5.42578125" style="26" customWidth="1"/>
    <col min="5" max="5" width="6" style="26" customWidth="1"/>
    <col min="6" max="6" width="23.7109375" style="26" customWidth="1"/>
    <col min="7" max="7" width="12.7109375" style="26" customWidth="1"/>
    <col min="8" max="8" width="5.42578125" style="26" customWidth="1"/>
    <col min="9" max="9" width="6" style="26" customWidth="1"/>
    <col min="10" max="10" width="23.7109375" style="26" customWidth="1"/>
    <col min="11" max="11" width="12.7109375" style="26" customWidth="1"/>
    <col min="12" max="12" width="5.42578125" style="26" customWidth="1"/>
    <col min="13" max="13" width="6" style="26" customWidth="1"/>
    <col min="14" max="14" width="23.7109375" style="26" customWidth="1"/>
    <col min="15" max="15" width="12.7109375" style="26" customWidth="1"/>
  </cols>
  <sheetData>
    <row r="1" spans="1:19" ht="21" customHeight="1" x14ac:dyDescent="0.25">
      <c r="A1" s="35" t="s">
        <v>1564</v>
      </c>
      <c r="B1" s="35"/>
      <c r="C1" s="35"/>
      <c r="E1" s="35" t="s">
        <v>1566</v>
      </c>
      <c r="F1" s="35"/>
      <c r="G1" s="35"/>
      <c r="I1" s="35" t="s">
        <v>1569</v>
      </c>
      <c r="J1" s="35"/>
      <c r="K1" s="35"/>
      <c r="M1" s="35" t="s">
        <v>73</v>
      </c>
      <c r="N1" s="35"/>
      <c r="O1" s="35"/>
      <c r="Q1" s="35" t="s">
        <v>7871</v>
      </c>
      <c r="R1" s="35"/>
      <c r="S1" s="35"/>
    </row>
    <row r="2" spans="1:19" ht="21" customHeight="1" x14ac:dyDescent="0.25">
      <c r="A2" s="25">
        <v>1</v>
      </c>
      <c r="B2" s="27" t="str" cm="1">
        <f t="array" ref="B2">INDEX(LISTSHEETS,A2)</f>
        <v>Sheets</v>
      </c>
      <c r="C2" s="28" t="str">
        <f t="shared" ref="C2:C3" si="0">HYPERLINK(_xlfn.CONCAT("#'", B2, "'!A1"), "Go to Sheet")</f>
        <v>Go to Sheet</v>
      </c>
      <c r="E2" s="25">
        <v>21</v>
      </c>
      <c r="F2" s="27" t="str" cm="1">
        <f t="array" ref="F2">INDEX(LISTSHEETS,E2)</f>
        <v>Hybrid Flask</v>
      </c>
      <c r="G2" s="28" t="str">
        <f>HYPERLINK(_xlfn.CONCAT("#'", F2, "'!A1"), "Go to Sheet")</f>
        <v>Go to Sheet</v>
      </c>
      <c r="I2" s="25">
        <v>37</v>
      </c>
      <c r="J2" s="27" t="str" cm="1">
        <f t="array" ref="J2">INDEX(LISTSHEETS,I2)</f>
        <v>Abyssal Jewel</v>
      </c>
      <c r="K2" s="28" t="str">
        <f t="shared" ref="K2:K21" si="1">HYPERLINK(_xlfn.CONCAT("#'", J2, "'!A1"), "Go to Sheet")</f>
        <v>Go to Sheet</v>
      </c>
      <c r="M2" s="25">
        <v>57</v>
      </c>
      <c r="N2" s="27" t="str" cm="1">
        <f t="array" ref="N2">INDEX(LISTSHEETS,M2)</f>
        <v>Heist Brooch</v>
      </c>
      <c r="O2" s="28" t="str">
        <f t="shared" ref="O2:O7" si="2">HYPERLINK(_xlfn.CONCAT("#'", N2, "'!A1"), "Go to Sheet")</f>
        <v>Go to Sheet</v>
      </c>
      <c r="Q2" s="25">
        <v>1</v>
      </c>
      <c r="R2" s="27" t="s">
        <v>7869</v>
      </c>
      <c r="S2" s="28" t="str">
        <f>HYPERLINK(_xlfn.CONCAT("#'", R2, "'!A1"), "Go to Sheet")</f>
        <v>Go to Sheet</v>
      </c>
    </row>
    <row r="3" spans="1:19" ht="21" customHeight="1" x14ac:dyDescent="0.25">
      <c r="A3" s="25">
        <v>2</v>
      </c>
      <c r="B3" s="27" t="str" cm="1">
        <f t="array" ref="B3">INDEX(LISTSHEETS,A3)</f>
        <v>Result</v>
      </c>
      <c r="C3" s="28" t="str">
        <f t="shared" si="0"/>
        <v>Go to Sheet</v>
      </c>
      <c r="E3" s="25">
        <v>22</v>
      </c>
      <c r="F3" s="27" t="str" cm="1">
        <f t="array" ref="F3">INDEX(LISTSHEETS,E3)</f>
        <v>Mana Flask</v>
      </c>
      <c r="G3" s="28" t="str">
        <f>HYPERLINK(_xlfn.CONCAT("#'", F3, "'!A1"), "Go to Sheet")</f>
        <v>Go to Sheet</v>
      </c>
      <c r="I3" s="25">
        <v>38</v>
      </c>
      <c r="J3" s="27" t="str" cm="1">
        <f t="array" ref="J3">INDEX(LISTSHEETS,I3)</f>
        <v>Belt</v>
      </c>
      <c r="K3" s="28" t="str">
        <f t="shared" si="1"/>
        <v>Go to Sheet</v>
      </c>
      <c r="M3" s="25">
        <v>58</v>
      </c>
      <c r="N3" s="27" t="str" cm="1">
        <f t="array" ref="N3">INDEX(LISTSHEETS,M3)</f>
        <v>Heist Cloak</v>
      </c>
      <c r="O3" s="28" t="str">
        <f t="shared" si="2"/>
        <v>Go to Sheet</v>
      </c>
      <c r="Q3" s="25">
        <v>2</v>
      </c>
      <c r="R3" s="27" t="s">
        <v>7870</v>
      </c>
      <c r="S3" s="28" t="str">
        <f t="shared" ref="S3:S4" si="3">HYPERLINK(_xlfn.CONCAT("#'", R3, "'!A1"), "Go to Sheet")</f>
        <v>Go to Sheet</v>
      </c>
    </row>
    <row r="4" spans="1:19" ht="21" customHeight="1" x14ac:dyDescent="0.25">
      <c r="A4" s="25">
        <v>3</v>
      </c>
      <c r="B4" s="27" t="str" cm="1">
        <f t="array" ref="B4">INDEX(LISTSHEETS,A4)</f>
        <v>Empty</v>
      </c>
      <c r="C4" s="28" t="str">
        <f t="shared" ref="C3:C4" si="4">HYPERLINK(_xlfn.CONCAT("#'", B4, "'!A1"), "Go to Sheet")</f>
        <v>Go to Sheet</v>
      </c>
      <c r="E4" s="25">
        <v>23</v>
      </c>
      <c r="F4" s="27" t="str" cm="1">
        <f t="array" ref="F4">INDEX(LISTSHEETS,E4)</f>
        <v>Life Flask</v>
      </c>
      <c r="G4" s="28" t="str">
        <f>HYPERLINK(_xlfn.CONCAT("#'", F4, "'!A1"), "Go to Sheet")</f>
        <v>Go to Sheet</v>
      </c>
      <c r="I4" s="25">
        <v>39</v>
      </c>
      <c r="J4" s="27" t="str" cm="1">
        <f t="array" ref="J4">INDEX(LISTSHEETS,I4)</f>
        <v>Boots</v>
      </c>
      <c r="K4" s="28" t="str">
        <f t="shared" si="1"/>
        <v>Go to Sheet</v>
      </c>
      <c r="M4" s="25">
        <v>59</v>
      </c>
      <c r="N4" s="27" t="str" cm="1">
        <f t="array" ref="N4">INDEX(LISTSHEETS,M4)</f>
        <v>Heist Gear</v>
      </c>
      <c r="O4" s="28" t="str">
        <f t="shared" si="2"/>
        <v>Go to Sheet</v>
      </c>
      <c r="Q4" s="25">
        <v>3</v>
      </c>
      <c r="R4" s="27" t="str" cm="1">
        <f t="array" ref="R4">INDEX(LISTSHEETS,Q4)</f>
        <v>Empty</v>
      </c>
      <c r="S4" s="28" t="str">
        <f t="shared" si="3"/>
        <v>Go to Sheet</v>
      </c>
    </row>
    <row r="5" spans="1:19" ht="21" customHeight="1" x14ac:dyDescent="0.25">
      <c r="A5"/>
      <c r="B5"/>
      <c r="C5"/>
      <c r="E5" s="25">
        <v>24</v>
      </c>
      <c r="F5" s="27" t="str" cm="1">
        <f t="array" ref="F5">INDEX(LISTSHEETS,E5)</f>
        <v>Magic Utility Flask</v>
      </c>
      <c r="G5" s="28" t="str">
        <f>HYPERLINK(_xlfn.CONCAT("#'", F5, "'!A1"), "Go to Sheet")</f>
        <v>Go to Sheet</v>
      </c>
      <c r="I5" s="25">
        <v>40</v>
      </c>
      <c r="J5" s="27" t="str" cm="1">
        <f t="array" ref="J5">INDEX(LISTSHEETS,I5)</f>
        <v>Gloves</v>
      </c>
      <c r="K5" s="28" t="str">
        <f t="shared" si="1"/>
        <v>Go to Sheet</v>
      </c>
      <c r="M5" s="25">
        <v>60</v>
      </c>
      <c r="N5" s="27" t="str" cm="1">
        <f t="array" ref="N5">INDEX(LISTSHEETS,M5)</f>
        <v>Heist Target</v>
      </c>
      <c r="O5" s="28" t="str">
        <f t="shared" si="2"/>
        <v>Go to Sheet</v>
      </c>
    </row>
    <row r="6" spans="1:19" ht="21" customHeight="1" x14ac:dyDescent="0.25">
      <c r="A6" s="32" t="s">
        <v>1565</v>
      </c>
      <c r="B6" s="33"/>
      <c r="C6" s="34"/>
      <c r="E6" s="25">
        <v>64</v>
      </c>
      <c r="F6" s="27" t="str" cm="1">
        <f t="array" ref="F6">INDEX(LISTSHEETS,E6)</f>
        <v>Tinctures</v>
      </c>
      <c r="G6" s="28" t="str">
        <f>HYPERLINK(_xlfn.CONCAT("#'", F6, "'!A1"), "Go to Sheet")</f>
        <v>Go to Sheet</v>
      </c>
      <c r="I6" s="25">
        <v>41</v>
      </c>
      <c r="J6" s="27" t="str" cm="1">
        <f t="array" ref="J6">INDEX(LISTSHEETS,I6)</f>
        <v>Bow</v>
      </c>
      <c r="K6" s="28" t="str">
        <f t="shared" si="1"/>
        <v>Go to Sheet</v>
      </c>
      <c r="M6" s="25">
        <v>61</v>
      </c>
      <c r="N6" s="27" t="str" cm="1">
        <f t="array" ref="N6">INDEX(LISTSHEETS,M6)</f>
        <v>Heist Tool</v>
      </c>
      <c r="O6" s="28" t="str">
        <f t="shared" si="2"/>
        <v>Go to Sheet</v>
      </c>
    </row>
    <row r="7" spans="1:19" ht="21" customHeight="1" x14ac:dyDescent="0.25">
      <c r="A7" s="25">
        <v>4</v>
      </c>
      <c r="B7" s="27" t="str" cm="1">
        <f t="array" ref="B7">INDEX(LISTSHEETS,A7)</f>
        <v>Anomalous Gem</v>
      </c>
      <c r="C7" s="28" t="str">
        <f>HYPERLINK(_xlfn.CONCAT("#'", B7, "'!A1"), "Go to Sheet")</f>
        <v>Go to Sheet</v>
      </c>
      <c r="I7" s="25">
        <v>42</v>
      </c>
      <c r="J7" s="27" t="str" cm="1">
        <f t="array" ref="J7">INDEX(LISTSHEETS,I7)</f>
        <v>Claw</v>
      </c>
      <c r="K7" s="28" t="str">
        <f t="shared" si="1"/>
        <v>Go to Sheet</v>
      </c>
      <c r="M7" s="25">
        <v>62</v>
      </c>
      <c r="N7" s="27" t="str" cm="1">
        <f t="array" ref="N7">INDEX(LISTSHEETS,M7)</f>
        <v>Heist Trinket</v>
      </c>
      <c r="O7" s="28" t="str">
        <f t="shared" si="2"/>
        <v>Go to Sheet</v>
      </c>
    </row>
    <row r="8" spans="1:19" ht="21" customHeight="1" x14ac:dyDescent="0.25">
      <c r="A8" s="25">
        <v>5</v>
      </c>
      <c r="B8" s="27" t="str" cm="1">
        <f t="array" ref="B8">INDEX(LISTSHEETS,A8)</f>
        <v>Divergent Support Gem</v>
      </c>
      <c r="C8" s="28" t="str">
        <f>HYPERLINK(_xlfn.CONCAT("#'", B8, "'!A1"), "Go to Sheet")</f>
        <v>Go to Sheet</v>
      </c>
      <c r="E8" s="35" t="s">
        <v>1567</v>
      </c>
      <c r="F8" s="35"/>
      <c r="G8" s="35"/>
      <c r="I8" s="25">
        <v>43</v>
      </c>
      <c r="J8" s="27" t="str" cm="1">
        <f t="array" ref="J8">INDEX(LISTSHEETS,I8)</f>
        <v>Dagger</v>
      </c>
      <c r="K8" s="28" t="str">
        <f t="shared" si="1"/>
        <v>Go to Sheet</v>
      </c>
    </row>
    <row r="9" spans="1:19" ht="21" customHeight="1" x14ac:dyDescent="0.25">
      <c r="A9" s="25">
        <v>6</v>
      </c>
      <c r="B9" s="27" t="str" cm="1">
        <f t="array" ref="B9">INDEX(LISTSHEETS,A9)</f>
        <v>Phantasmal Gem</v>
      </c>
      <c r="C9" s="28" t="str">
        <f>HYPERLINK(_xlfn.CONCAT("#'", B9, "'!A1"), "Go to Sheet")</f>
        <v>Go to Sheet</v>
      </c>
      <c r="E9" s="25">
        <v>25</v>
      </c>
      <c r="F9" s="27" t="str" cm="1">
        <f t="array" ref="F9">INDEX(LISTSHEETS,E9)</f>
        <v>Foiled Amulet</v>
      </c>
      <c r="G9" s="28" t="str">
        <f t="shared" ref="G9:G14" si="5">HYPERLINK(_xlfn.CONCAT("#'", F9, "'!A1"), "Go to Sheet")</f>
        <v>Go to Sheet</v>
      </c>
      <c r="I9" s="25">
        <v>44</v>
      </c>
      <c r="J9" s="27" t="str" cm="1">
        <f t="array" ref="J9">INDEX(LISTSHEETS,I9)</f>
        <v>Jewel</v>
      </c>
      <c r="K9" s="28" t="str">
        <f t="shared" si="1"/>
        <v>Go to Sheet</v>
      </c>
      <c r="M9" s="35" t="s">
        <v>1570</v>
      </c>
      <c r="N9" s="35"/>
      <c r="O9" s="35"/>
    </row>
    <row r="10" spans="1:19" ht="21" customHeight="1" x14ac:dyDescent="0.25">
      <c r="E10" s="25">
        <v>26</v>
      </c>
      <c r="F10" s="27" t="str" cm="1">
        <f t="array" ref="F10">INDEX(LISTSHEETS,E10)</f>
        <v>Unidentified ring</v>
      </c>
      <c r="G10" s="28" t="str">
        <f t="shared" si="5"/>
        <v>Go to Sheet</v>
      </c>
      <c r="I10" s="25">
        <v>45</v>
      </c>
      <c r="J10" s="27" t="str" cm="1">
        <f t="array" ref="J10">INDEX(LISTSHEETS,I10)</f>
        <v>Quiver</v>
      </c>
      <c r="K10" s="28" t="str">
        <f t="shared" si="1"/>
        <v>Go to Sheet</v>
      </c>
      <c r="M10" s="25">
        <v>65</v>
      </c>
      <c r="N10" s="27" t="str" cm="1">
        <f t="array" ref="N10">INDEX(LISTSHEETS,M10)</f>
        <v>Sanctum Relics</v>
      </c>
      <c r="O10" s="28" t="str">
        <f>HYPERLINK(_xlfn.CONCAT("#'", N10, "'!A1"), "Go to Sheet")</f>
        <v>Go to Sheet</v>
      </c>
    </row>
    <row r="11" spans="1:19" ht="21" customHeight="1" x14ac:dyDescent="0.25">
      <c r="A11" s="32" t="s">
        <v>740</v>
      </c>
      <c r="B11" s="33"/>
      <c r="C11" s="34"/>
      <c r="E11" s="25">
        <v>27</v>
      </c>
      <c r="F11" s="27" t="str" cm="1">
        <f t="array" ref="F11">INDEX(LISTSHEETS,E11)</f>
        <v>Abyssus</v>
      </c>
      <c r="G11" s="28" t="str">
        <f t="shared" si="5"/>
        <v>Go to Sheet</v>
      </c>
      <c r="I11" s="25">
        <v>46</v>
      </c>
      <c r="J11" s="27" t="str" cm="1">
        <f t="array" ref="J11">INDEX(LISTSHEETS,I11)</f>
        <v>Sceptre</v>
      </c>
      <c r="K11" s="28" t="str">
        <f t="shared" si="1"/>
        <v>Go to Sheet</v>
      </c>
      <c r="M11" s="25">
        <v>66</v>
      </c>
      <c r="N11" s="27" t="str" cm="1">
        <f t="array" ref="N11">INDEX(LISTSHEETS,M11)</f>
        <v>Corpses</v>
      </c>
      <c r="O11" s="28" t="str">
        <f>HYPERLINK(_xlfn.CONCAT("#'", N11, "'!A1"), "Go to Sheet")</f>
        <v>Go to Sheet</v>
      </c>
    </row>
    <row r="12" spans="1:19" ht="21" customHeight="1" x14ac:dyDescent="0.25">
      <c r="A12" s="25">
        <v>7</v>
      </c>
      <c r="B12" s="27" t="str" cm="1">
        <f t="array" ref="B12">INDEX(LISTSHEETS,A12)</f>
        <v>Chaos Orb</v>
      </c>
      <c r="C12" s="28" t="str">
        <f t="shared" ref="C12:C17" si="6">HYPERLINK(_xlfn.CONCAT("#'", B12, "'!A1"), "Go to Sheet")</f>
        <v>Go to Sheet</v>
      </c>
      <c r="E12" s="25">
        <v>28</v>
      </c>
      <c r="F12" s="27" t="str" cm="1">
        <f t="array" ref="F12">INDEX(LISTSHEETS,E12)</f>
        <v>Carcass Jack</v>
      </c>
      <c r="G12" s="28" t="str">
        <f t="shared" si="5"/>
        <v>Go to Sheet</v>
      </c>
      <c r="I12" s="25">
        <v>47</v>
      </c>
      <c r="J12" s="27" t="str" cm="1">
        <f t="array" ref="J12">INDEX(LISTSHEETS,I12)</f>
        <v>Staff</v>
      </c>
      <c r="K12" s="28" t="str">
        <f t="shared" si="1"/>
        <v>Go to Sheet</v>
      </c>
      <c r="M12"/>
      <c r="N12"/>
      <c r="O12"/>
    </row>
    <row r="13" spans="1:19" ht="21" customHeight="1" x14ac:dyDescent="0.25">
      <c r="A13" s="25">
        <v>8</v>
      </c>
      <c r="B13" s="27" t="str" cm="1">
        <f t="array" ref="B13">INDEX(LISTSHEETS,A13)</f>
        <v>Resonator</v>
      </c>
      <c r="C13" s="28" t="str">
        <f t="shared" si="6"/>
        <v>Go to Sheet</v>
      </c>
      <c r="E13" s="25">
        <v>29</v>
      </c>
      <c r="F13" s="27" t="str" cm="1">
        <f t="array" ref="F13">INDEX(LISTSHEETS,E13)</f>
        <v>Mistwall</v>
      </c>
      <c r="G13" s="28" t="str">
        <f t="shared" si="5"/>
        <v>Go to Sheet</v>
      </c>
      <c r="I13" s="25">
        <v>48</v>
      </c>
      <c r="J13" s="27" t="str" cm="1">
        <f t="array" ref="J13">INDEX(LISTSHEETS,I13)</f>
        <v>Wand</v>
      </c>
      <c r="K13" s="28" t="str">
        <f t="shared" si="1"/>
        <v>Go to Sheet</v>
      </c>
    </row>
    <row r="14" spans="1:19" ht="21" customHeight="1" x14ac:dyDescent="0.25">
      <c r="A14" s="25">
        <v>9</v>
      </c>
      <c r="B14" s="27" t="str" cm="1">
        <f t="array" ref="B14">INDEX(LISTSHEETS,A14)</f>
        <v>Card</v>
      </c>
      <c r="C14" s="28" t="str">
        <f t="shared" si="6"/>
        <v>Go to Sheet</v>
      </c>
      <c r="E14" s="25">
        <v>30</v>
      </c>
      <c r="F14" s="27" t="str" cm="1">
        <f t="array" ref="F14">INDEX(LISTSHEETS,E14)</f>
        <v>White Wind</v>
      </c>
      <c r="G14" s="28" t="str">
        <f t="shared" si="5"/>
        <v>Go to Sheet</v>
      </c>
      <c r="I14" s="25">
        <v>49</v>
      </c>
      <c r="J14" s="27" t="str" cm="1">
        <f t="array" ref="J14">INDEX(LISTSHEETS,I14)</f>
        <v>Warstaff</v>
      </c>
      <c r="K14" s="28" t="str">
        <f t="shared" si="1"/>
        <v>Go to Sheet</v>
      </c>
    </row>
    <row r="15" spans="1:19" ht="21" customHeight="1" x14ac:dyDescent="0.25">
      <c r="A15" s="25">
        <v>10</v>
      </c>
      <c r="B15" s="27" t="str" cm="1">
        <f t="array" ref="B15">INDEX(LISTSHEETS,A15)</f>
        <v>Metamorph Sample</v>
      </c>
      <c r="C15" s="28" t="str">
        <f t="shared" si="6"/>
        <v>Go to Sheet</v>
      </c>
      <c r="D15" s="29"/>
      <c r="E15" s="25">
        <v>67</v>
      </c>
      <c r="F15" s="27" t="str" cm="1">
        <f t="array" ref="F15">INDEX(LISTSHEETS,E15)</f>
        <v>Fire Damage Property</v>
      </c>
      <c r="G15" s="28" t="str">
        <f t="shared" ref="G15:G18" si="7">HYPERLINK(_xlfn.CONCAT("#'", F15, "'!A1"), "Go to Sheet")</f>
        <v>Go to Sheet</v>
      </c>
      <c r="I15" s="25">
        <v>50</v>
      </c>
      <c r="J15" s="27" t="str" cm="1">
        <f t="array" ref="J15">INDEX(LISTSHEETS,I15)</f>
        <v>1H Sword</v>
      </c>
      <c r="K15" s="28" t="str">
        <f t="shared" si="1"/>
        <v>Go to Sheet</v>
      </c>
    </row>
    <row r="16" spans="1:19" ht="21" customHeight="1" x14ac:dyDescent="0.25">
      <c r="A16" s="25">
        <v>73</v>
      </c>
      <c r="B16" s="27" t="str" cm="1">
        <f t="array" ref="B16">INDEX(LISTSHEETS,A16)</f>
        <v>Socketable</v>
      </c>
      <c r="C16" s="28" t="str">
        <f t="shared" si="6"/>
        <v>Go to Sheet</v>
      </c>
      <c r="E16" s="25">
        <v>68</v>
      </c>
      <c r="F16" s="27" t="str" cm="1">
        <f t="array" ref="F16">INDEX(LISTSHEETS,E16)</f>
        <v>Cold Damage Property</v>
      </c>
      <c r="G16" s="28" t="str">
        <f t="shared" si="7"/>
        <v>Go to Sheet</v>
      </c>
      <c r="I16" s="25">
        <v>51</v>
      </c>
      <c r="J16" s="27" t="str" cm="1">
        <f t="array" ref="J16">INDEX(LISTSHEETS,I16)</f>
        <v>1H Thrusting Sword</v>
      </c>
      <c r="K16" s="28" t="str">
        <f t="shared" si="1"/>
        <v>Go to Sheet</v>
      </c>
    </row>
    <row r="17" spans="1:11" ht="21" customHeight="1" x14ac:dyDescent="0.25">
      <c r="A17" s="25">
        <v>83</v>
      </c>
      <c r="B17" s="27" t="str" cm="1">
        <f t="array" ref="B17">INDEX(LISTSHEETS,A17)</f>
        <v>Omen</v>
      </c>
      <c r="C17" s="28" t="str">
        <f t="shared" si="6"/>
        <v>Go to Sheet</v>
      </c>
      <c r="E17" s="25">
        <v>69</v>
      </c>
      <c r="F17" s="27" t="str" cm="1">
        <f t="array" ref="F17">INDEX(LISTSHEETS,E17)</f>
        <v>Lightning Damage Property</v>
      </c>
      <c r="G17" s="28" t="str">
        <f t="shared" si="7"/>
        <v>Go to Sheet</v>
      </c>
      <c r="I17" s="25">
        <v>52</v>
      </c>
      <c r="J17" s="27" t="str" cm="1">
        <f t="array" ref="J17">INDEX(LISTSHEETS,I17)</f>
        <v>2H Sword</v>
      </c>
      <c r="K17" s="28" t="str">
        <f t="shared" si="1"/>
        <v>Go to Sheet</v>
      </c>
    </row>
    <row r="18" spans="1:11" ht="21" customHeight="1" x14ac:dyDescent="0.25">
      <c r="E18" s="25">
        <v>70</v>
      </c>
      <c r="F18" s="27" t="str" cm="1">
        <f t="array" ref="F18">INDEX(LISTSHEETS,E18)</f>
        <v>Chaos Damage Property</v>
      </c>
      <c r="G18" s="28" t="str">
        <f t="shared" si="7"/>
        <v>Go to Sheet</v>
      </c>
      <c r="I18" s="25">
        <v>53</v>
      </c>
      <c r="J18" s="27" t="str" cm="1">
        <f t="array" ref="J18">INDEX(LISTSHEETS,I18)</f>
        <v>1H Axe</v>
      </c>
      <c r="K18" s="28" t="str">
        <f t="shared" si="1"/>
        <v>Go to Sheet</v>
      </c>
    </row>
    <row r="19" spans="1:11" ht="21" customHeight="1" x14ac:dyDescent="0.25">
      <c r="A19" s="32" t="s">
        <v>751</v>
      </c>
      <c r="B19" s="33"/>
      <c r="C19" s="34"/>
      <c r="E19" s="25">
        <v>80</v>
      </c>
      <c r="F19" s="27" t="str" cm="1">
        <f t="array" ref="F19">INDEX(LISTSHEETS,E19)</f>
        <v>Block Chance</v>
      </c>
      <c r="G19" s="28" t="str">
        <f>HYPERLINK(_xlfn.CONCAT("#'", F19, "'!A1"), "Go to Sheet")</f>
        <v>Go to Sheet</v>
      </c>
      <c r="I19" s="25">
        <v>54</v>
      </c>
      <c r="J19" s="27" t="str" cm="1">
        <f t="array" ref="J19">INDEX(LISTSHEETS,I19)</f>
        <v>2H Axe</v>
      </c>
      <c r="K19" s="28" t="str">
        <f t="shared" si="1"/>
        <v>Go to Sheet</v>
      </c>
    </row>
    <row r="20" spans="1:11" ht="21" customHeight="1" x14ac:dyDescent="0.25">
      <c r="A20" s="25">
        <v>11</v>
      </c>
      <c r="B20" s="27" t="str" cm="1">
        <f t="array" ref="B20">INDEX(LISTSHEETS,A20)</f>
        <v>Blighted Map</v>
      </c>
      <c r="C20" s="28" t="str">
        <f t="shared" ref="C20:C29" si="8">HYPERLINK(_xlfn.CONCAT("#'", B20, "'!A1"), "Go to Sheet")</f>
        <v>Go to Sheet</v>
      </c>
      <c r="E20" s="25">
        <v>84</v>
      </c>
      <c r="F20" s="27" t="str" cm="1">
        <f t="array" ref="F20">INDEX(LISTSHEETS,E20)</f>
        <v>Alternate Energy Shield</v>
      </c>
      <c r="G20" s="28" t="str">
        <f>HYPERLINK(_xlfn.CONCAT("#'", F20, "'!A1"), "Go to Sheet")</f>
        <v>Go to Sheet</v>
      </c>
      <c r="I20" s="25">
        <v>55</v>
      </c>
      <c r="J20" s="27" t="str" cm="1">
        <f t="array" ref="J20">INDEX(LISTSHEETS,I20)</f>
        <v>1H Mace</v>
      </c>
      <c r="K20" s="28" t="str">
        <f t="shared" si="1"/>
        <v>Go to Sheet</v>
      </c>
    </row>
    <row r="21" spans="1:11" ht="21" customHeight="1" x14ac:dyDescent="0.25">
      <c r="A21" s="25">
        <v>12</v>
      </c>
      <c r="B21" s="27" t="str" cm="1">
        <f t="array" ref="B21">INDEX(LISTSHEETS,A21)</f>
        <v>Blight-ravaged Map</v>
      </c>
      <c r="C21" s="28" t="str">
        <f t="shared" si="8"/>
        <v>Go to Sheet</v>
      </c>
      <c r="E21" s="25">
        <v>85</v>
      </c>
      <c r="F21" s="27" t="str" cm="1">
        <f t="array" ref="F21">INDEX(LISTSHEETS,E21)</f>
        <v>Spirit</v>
      </c>
      <c r="G21" s="28" t="str">
        <f>HYPERLINK(_xlfn.CONCAT("#'", F21, "'!A1"), "Go to Sheet")</f>
        <v>Go to Sheet</v>
      </c>
      <c r="I21" s="25">
        <v>56</v>
      </c>
      <c r="J21" s="27" t="str" cm="1">
        <f t="array" ref="J21">INDEX(LISTSHEETS,I21)</f>
        <v>2H Mace</v>
      </c>
      <c r="K21" s="28" t="str">
        <f t="shared" si="1"/>
        <v>Go to Sheet</v>
      </c>
    </row>
    <row r="22" spans="1:11" ht="21" customHeight="1" x14ac:dyDescent="0.25">
      <c r="A22" s="25">
        <v>13</v>
      </c>
      <c r="B22" s="27" t="str" cm="1">
        <f t="array" ref="B22">INDEX(LISTSHEETS,A22)</f>
        <v>Blueprint</v>
      </c>
      <c r="C22" s="28" t="str">
        <f t="shared" si="8"/>
        <v>Go to Sheet</v>
      </c>
      <c r="I22" s="25">
        <v>63</v>
      </c>
      <c r="J22" s="27" t="str" cm="1">
        <f t="array" ref="J22">INDEX(LISTSHEETS,I22)</f>
        <v>Fishing Rod</v>
      </c>
      <c r="K22" s="28" t="str">
        <f>HYPERLINK(_xlfn.CONCAT("#'", J22, "'!A1"), "Go to Sheet")</f>
        <v>Go to Sheet</v>
      </c>
    </row>
    <row r="23" spans="1:11" ht="21" customHeight="1" x14ac:dyDescent="0.25">
      <c r="A23" s="25">
        <v>14</v>
      </c>
      <c r="B23" s="27" t="str" cm="1">
        <f t="array" ref="B23">INDEX(LISTSHEETS,A23)</f>
        <v>Contract</v>
      </c>
      <c r="C23" s="28" t="str">
        <f t="shared" si="8"/>
        <v>Go to Sheet</v>
      </c>
      <c r="E23" s="32" t="s">
        <v>1568</v>
      </c>
      <c r="F23" s="33"/>
      <c r="G23" s="34"/>
      <c r="I23" s="25">
        <v>71</v>
      </c>
      <c r="J23" s="27" t="str" cm="1">
        <f t="array" ref="J23">INDEX(LISTSHEETS,I23)</f>
        <v>Rapier</v>
      </c>
      <c r="K23" s="28" t="str">
        <f t="shared" ref="K23" si="9">HYPERLINK(_xlfn.CONCAT("#'", J23, "'!A1"), "Go to Sheet")</f>
        <v>Go to Sheet</v>
      </c>
    </row>
    <row r="24" spans="1:11" ht="21" customHeight="1" x14ac:dyDescent="0.25">
      <c r="A24" s="25">
        <v>15</v>
      </c>
      <c r="B24" s="27" t="str" cm="1">
        <f t="array" ref="B24">INDEX(LISTSHEETS,A24)</f>
        <v>Logbook</v>
      </c>
      <c r="C24" s="28" t="str">
        <f t="shared" si="8"/>
        <v>Go to Sheet</v>
      </c>
      <c r="E24" s="25">
        <v>31</v>
      </c>
      <c r="F24" s="27" t="str" cm="1">
        <f t="array" ref="F24">INDEX(LISTSHEETS,E24)</f>
        <v>Crusader</v>
      </c>
      <c r="G24" s="28" t="str">
        <f t="shared" ref="G24:G29" si="10">HYPERLINK(_xlfn.CONCAT("#'", F24, "'!A1"), "Go to Sheet")</f>
        <v>Go to Sheet</v>
      </c>
      <c r="I24" s="25">
        <v>72</v>
      </c>
      <c r="J24" s="27" t="str" cm="1">
        <f t="array" ref="J24">INDEX(LISTSHEETS,I24)</f>
        <v>Focus</v>
      </c>
      <c r="K24" s="28" t="str">
        <f>HYPERLINK(_xlfn.CONCAT("#'", J24, "'!A1"), "Go to Sheet")</f>
        <v>Go to Sheet</v>
      </c>
    </row>
    <row r="25" spans="1:11" ht="21" customHeight="1" x14ac:dyDescent="0.25">
      <c r="A25" s="25">
        <v>16</v>
      </c>
      <c r="B25" s="27" t="str" cm="1">
        <f t="array" ref="B25">INDEX(LISTSHEETS,A25)</f>
        <v>Map</v>
      </c>
      <c r="C25" s="28" t="str">
        <f t="shared" si="8"/>
        <v>Go to Sheet</v>
      </c>
      <c r="E25" s="25">
        <v>32</v>
      </c>
      <c r="F25" s="27" t="str" cm="1">
        <f t="array" ref="F25">INDEX(LISTSHEETS,E25)</f>
        <v>Elder</v>
      </c>
      <c r="G25" s="28" t="str">
        <f t="shared" si="10"/>
        <v>Go to Sheet</v>
      </c>
      <c r="I25" s="25">
        <v>78</v>
      </c>
      <c r="J25" s="27" t="str" cm="1">
        <f t="array" ref="J25">INDEX(LISTSHEETS,I25)</f>
        <v>Crossbow</v>
      </c>
      <c r="K25" s="28" t="str">
        <f>HYPERLINK(_xlfn.CONCAT("#'", J25, "'!A1"), "Go to Sheet")</f>
        <v>Go to Sheet</v>
      </c>
    </row>
    <row r="26" spans="1:11" ht="21" customHeight="1" x14ac:dyDescent="0.25">
      <c r="A26" s="25">
        <v>17</v>
      </c>
      <c r="B26" s="27" t="str" cm="1">
        <f t="array" ref="B26">INDEX(LISTSHEETS,A26)</f>
        <v>Map Fragment</v>
      </c>
      <c r="C26" s="28" t="str">
        <f t="shared" si="8"/>
        <v>Go to Sheet</v>
      </c>
      <c r="E26" s="25">
        <v>33</v>
      </c>
      <c r="F26" s="27" t="str" cm="1">
        <f t="array" ref="F26">INDEX(LISTSHEETS,E26)</f>
        <v>Hunter</v>
      </c>
      <c r="G26" s="28" t="str">
        <f t="shared" si="10"/>
        <v>Go to Sheet</v>
      </c>
      <c r="I26" s="25">
        <v>79</v>
      </c>
      <c r="J26" s="27" t="str" cm="1">
        <f t="array" ref="J26">INDEX(LISTSHEETS,I26)</f>
        <v>Quarterstaff</v>
      </c>
      <c r="K26" s="28" t="str">
        <f>HYPERLINK(_xlfn.CONCAT("#'", J26, "'!A1"), "Go to Sheet")</f>
        <v>Go to Sheet</v>
      </c>
    </row>
    <row r="27" spans="1:11" ht="21" customHeight="1" x14ac:dyDescent="0.25">
      <c r="A27" s="25">
        <v>18</v>
      </c>
      <c r="B27" s="27" t="str" cm="1">
        <f t="array" ref="B27">INDEX(LISTSHEETS,A27)</f>
        <v>Memory</v>
      </c>
      <c r="C27" s="28" t="str">
        <f t="shared" si="8"/>
        <v>Go to Sheet</v>
      </c>
      <c r="E27" s="25">
        <v>34</v>
      </c>
      <c r="F27" s="27" t="str" cm="1">
        <f t="array" ref="F27">INDEX(LISTSHEETS,E27)</f>
        <v>Redeemer</v>
      </c>
      <c r="G27" s="28" t="str">
        <f t="shared" si="10"/>
        <v>Go to Sheet</v>
      </c>
    </row>
    <row r="28" spans="1:11" ht="21" customHeight="1" x14ac:dyDescent="0.25">
      <c r="A28" s="25">
        <v>19</v>
      </c>
      <c r="B28" s="27" t="str" cm="1">
        <f t="array" ref="B28">INDEX(LISTSHEETS,A28)</f>
        <v>Misc Map Item</v>
      </c>
      <c r="C28" s="28" t="str">
        <f t="shared" si="8"/>
        <v>Go to Sheet</v>
      </c>
      <c r="E28" s="25">
        <v>35</v>
      </c>
      <c r="F28" s="27" t="str" cm="1">
        <f t="array" ref="F28">INDEX(LISTSHEETS,E28)</f>
        <v>Shaper</v>
      </c>
      <c r="G28" s="28" t="str">
        <f t="shared" si="10"/>
        <v>Go to Sheet</v>
      </c>
    </row>
    <row r="29" spans="1:11" ht="21" customHeight="1" x14ac:dyDescent="0.25">
      <c r="A29" s="25">
        <v>20</v>
      </c>
      <c r="B29" s="27" t="str" cm="1">
        <f t="array" ref="B29">INDEX(LISTSHEETS,A29)</f>
        <v>Tome</v>
      </c>
      <c r="C29" s="28" t="str">
        <f t="shared" si="8"/>
        <v>Go to Sheet</v>
      </c>
      <c r="E29" s="25">
        <v>36</v>
      </c>
      <c r="F29" s="27" t="str" cm="1">
        <f t="array" ref="F29">INDEX(LISTSHEETS,E29)</f>
        <v>Warlord</v>
      </c>
      <c r="G29" s="28" t="str">
        <f t="shared" si="10"/>
        <v>Go to Sheet</v>
      </c>
    </row>
    <row r="30" spans="1:11" ht="21" customHeight="1" x14ac:dyDescent="0.25">
      <c r="A30" s="25">
        <v>74</v>
      </c>
      <c r="B30" s="27" t="str" cm="1">
        <f t="array" ref="B30">INDEX(LISTSHEETS,A30)</f>
        <v>Waystone</v>
      </c>
      <c r="C30" s="28" t="str">
        <f t="shared" ref="C30:C35" si="11">HYPERLINK(_xlfn.CONCAT("#'", B30, "'!A1"), "Go to Sheet")</f>
        <v>Go to Sheet</v>
      </c>
    </row>
    <row r="31" spans="1:11" ht="21" customHeight="1" x14ac:dyDescent="0.25">
      <c r="A31" s="25">
        <v>75</v>
      </c>
      <c r="B31" s="27" t="str" cm="1">
        <f t="array" ref="B31">INDEX(LISTSHEETS,A31)</f>
        <v>Barya</v>
      </c>
      <c r="C31" s="28" t="str">
        <f t="shared" si="11"/>
        <v>Go to Sheet</v>
      </c>
    </row>
    <row r="32" spans="1:11" ht="21" customHeight="1" x14ac:dyDescent="0.25">
      <c r="A32" s="25">
        <v>76</v>
      </c>
      <c r="B32" s="27" t="str" cm="1">
        <f t="array" ref="B32">INDEX(LISTSHEETS,A32)</f>
        <v>Ultimatum</v>
      </c>
      <c r="C32" s="28" t="str">
        <f t="shared" si="11"/>
        <v>Go to Sheet</v>
      </c>
    </row>
    <row r="33" spans="1:15" ht="21" customHeight="1" x14ac:dyDescent="0.25">
      <c r="A33" s="25">
        <v>77</v>
      </c>
      <c r="B33" s="27" t="str" cm="1">
        <f t="array" ref="B33">INDEX(LISTSHEETS,A33)</f>
        <v>Tablet</v>
      </c>
      <c r="C33" s="28" t="str">
        <f t="shared" si="11"/>
        <v>Go to Sheet</v>
      </c>
      <c r="L33"/>
    </row>
    <row r="34" spans="1:15" ht="21" customHeight="1" x14ac:dyDescent="0.25">
      <c r="A34" s="25">
        <v>82</v>
      </c>
      <c r="B34" s="27" t="str" cm="1">
        <f t="array" ref="B34">INDEX(LISTSHEETS,A34)</f>
        <v>Boss Key</v>
      </c>
      <c r="C34" s="28" t="str">
        <f t="shared" si="11"/>
        <v>Go to Sheet</v>
      </c>
      <c r="L34"/>
      <c r="M34"/>
      <c r="N34"/>
      <c r="O34"/>
    </row>
    <row r="35" spans="1:15" ht="21" customHeight="1" x14ac:dyDescent="0.25">
      <c r="A35" s="25">
        <v>81</v>
      </c>
      <c r="B35" s="27" t="str" cm="1">
        <f t="array" ref="B35">INDEX(LISTSHEETS,A35)</f>
        <v>Breachstone</v>
      </c>
      <c r="C35" s="28" t="str">
        <f t="shared" si="11"/>
        <v>Go to Sheet</v>
      </c>
      <c r="L35"/>
      <c r="M35"/>
      <c r="N35"/>
      <c r="O35"/>
    </row>
    <row r="36" spans="1:15" ht="21" customHeight="1" x14ac:dyDescent="0.25">
      <c r="L36"/>
      <c r="M36"/>
      <c r="N36"/>
      <c r="O36"/>
    </row>
    <row r="37" spans="1:15" ht="21" customHeight="1" x14ac:dyDescent="0.25">
      <c r="L37"/>
      <c r="M37"/>
      <c r="N37"/>
      <c r="O37"/>
    </row>
    <row r="38" spans="1:15" ht="21" customHeight="1" x14ac:dyDescent="0.25">
      <c r="L38"/>
      <c r="M38"/>
      <c r="N38"/>
      <c r="O38"/>
    </row>
    <row r="39" spans="1:15" ht="21" customHeight="1" x14ac:dyDescent="0.25"/>
  </sheetData>
  <mergeCells count="11">
    <mergeCell ref="Q1:S1"/>
    <mergeCell ref="E23:G23"/>
    <mergeCell ref="I1:K1"/>
    <mergeCell ref="M1:O1"/>
    <mergeCell ref="M9:O9"/>
    <mergeCell ref="A19:C19"/>
    <mergeCell ref="A11:C11"/>
    <mergeCell ref="A6:C6"/>
    <mergeCell ref="A1:C1"/>
    <mergeCell ref="E1:G1"/>
    <mergeCell ref="E8:G8"/>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D3219B-B96D-4DF0-A490-6D41D429C924}">
  <sheetPr codeName="Sheet2">
    <tabColor theme="9" tint="0.79998168889431442"/>
  </sheetPr>
  <dimension ref="A1:V132"/>
  <sheetViews>
    <sheetView topLeftCell="A37" workbookViewId="0">
      <selection activeCell="T63" sqref="T63"/>
    </sheetView>
  </sheetViews>
  <sheetFormatPr defaultRowHeight="15.95" customHeight="1" x14ac:dyDescent="0.25"/>
  <cols>
    <col min="1" max="1" width="20.7109375" style="15" customWidth="1"/>
    <col min="2" max="2" width="91.140625" style="15" customWidth="1"/>
    <col min="3" max="3" width="15.28515625" style="15" customWidth="1"/>
    <col min="4" max="4" width="6" style="15" customWidth="1"/>
    <col min="5" max="5" width="15.28515625" style="15" customWidth="1"/>
    <col min="6" max="6" width="6" style="15" customWidth="1"/>
    <col min="7" max="7" width="15.28515625" style="15" customWidth="1"/>
    <col min="8" max="8" width="6" style="15" customWidth="1"/>
    <col min="9" max="9" width="15.28515625" style="15" customWidth="1"/>
    <col min="10" max="10" width="6" style="15" customWidth="1"/>
    <col min="11" max="11" width="15.28515625" style="15" customWidth="1"/>
    <col min="12" max="12" width="6" style="15" customWidth="1"/>
    <col min="13" max="13" width="15.28515625" style="15" customWidth="1"/>
    <col min="14" max="14" width="6" style="15" customWidth="1"/>
    <col min="15" max="15" width="15.28515625" style="15" customWidth="1"/>
    <col min="16" max="16" width="6" style="15" customWidth="1"/>
    <col min="17" max="17" width="15.28515625" style="15" customWidth="1"/>
    <col min="18" max="18" width="6" style="15" customWidth="1"/>
    <col min="19" max="19" width="15.28515625" style="15" customWidth="1"/>
    <col min="20" max="20" width="6" style="15" customWidth="1"/>
    <col min="21" max="21" width="3" customWidth="1"/>
    <col min="22" max="22" width="4.7109375" style="23" customWidth="1"/>
  </cols>
  <sheetData>
    <row r="1" spans="1:22" ht="15.95" customHeight="1" x14ac:dyDescent="0.25">
      <c r="A1" s="8" t="s">
        <v>16</v>
      </c>
      <c r="B1" s="9" t="s">
        <v>23</v>
      </c>
      <c r="C1" s="8" t="s">
        <v>24</v>
      </c>
      <c r="D1" s="9" t="s">
        <v>23</v>
      </c>
      <c r="E1" s="8" t="s">
        <v>26</v>
      </c>
      <c r="F1" s="9" t="s">
        <v>23</v>
      </c>
      <c r="G1" s="8" t="s">
        <v>27</v>
      </c>
      <c r="H1" s="9" t="s">
        <v>23</v>
      </c>
      <c r="I1" s="8" t="s">
        <v>28</v>
      </c>
      <c r="J1" s="9" t="s">
        <v>23</v>
      </c>
      <c r="K1" s="8" t="s">
        <v>29</v>
      </c>
      <c r="L1" s="9" t="s">
        <v>23</v>
      </c>
      <c r="M1" s="8" t="s">
        <v>30</v>
      </c>
      <c r="N1" s="9" t="s">
        <v>23</v>
      </c>
      <c r="O1" s="8" t="s">
        <v>31</v>
      </c>
      <c r="P1" s="9" t="s">
        <v>23</v>
      </c>
      <c r="Q1" s="8" t="s">
        <v>32</v>
      </c>
      <c r="R1" s="9" t="s">
        <v>23</v>
      </c>
      <c r="S1" s="8" t="s">
        <v>33</v>
      </c>
      <c r="T1" s="9" t="s">
        <v>23</v>
      </c>
      <c r="V1" s="8" t="s">
        <v>516</v>
      </c>
    </row>
    <row r="2" spans="1:22" ht="15.95" customHeight="1" x14ac:dyDescent="0.25">
      <c r="A2" s="6" t="s">
        <v>21</v>
      </c>
      <c r="B2" s="10" t="s">
        <v>6587</v>
      </c>
      <c r="C2" s="16" t="s">
        <v>25</v>
      </c>
      <c r="D2" s="10" t="s">
        <v>6587</v>
      </c>
      <c r="E2" s="16" t="s">
        <v>34</v>
      </c>
      <c r="F2" s="10" t="s">
        <v>6587</v>
      </c>
      <c r="G2" s="16" t="s">
        <v>35</v>
      </c>
      <c r="H2" s="10" t="s">
        <v>6587</v>
      </c>
      <c r="I2" s="16" t="s">
        <v>36</v>
      </c>
      <c r="J2" s="10" t="s">
        <v>6587</v>
      </c>
      <c r="K2" s="16" t="s">
        <v>37</v>
      </c>
      <c r="L2" s="10" t="s">
        <v>6587</v>
      </c>
      <c r="M2" s="16" t="s">
        <v>38</v>
      </c>
      <c r="N2" s="10" t="s">
        <v>6587</v>
      </c>
      <c r="O2" s="16" t="s">
        <v>39</v>
      </c>
      <c r="P2" s="10" t="s">
        <v>6587</v>
      </c>
      <c r="Q2" s="16" t="s">
        <v>40</v>
      </c>
      <c r="R2" s="10" t="s">
        <v>6587</v>
      </c>
      <c r="S2" s="16" t="s">
        <v>41</v>
      </c>
      <c r="T2" s="10" t="s">
        <v>6587</v>
      </c>
      <c r="V2" s="1" t="s">
        <v>21</v>
      </c>
    </row>
    <row r="3" spans="1:22" ht="15.95" customHeight="1" x14ac:dyDescent="0.25">
      <c r="A3" s="6" t="s">
        <v>22</v>
      </c>
      <c r="B3" s="11"/>
      <c r="C3" s="16" t="s">
        <v>22</v>
      </c>
      <c r="D3" s="11"/>
      <c r="E3" s="12" t="s">
        <v>22</v>
      </c>
      <c r="F3" s="11"/>
      <c r="G3" s="12" t="s">
        <v>22</v>
      </c>
      <c r="H3" s="11"/>
      <c r="I3" s="12" t="s">
        <v>22</v>
      </c>
      <c r="J3" s="11"/>
      <c r="K3" s="12" t="s">
        <v>22</v>
      </c>
      <c r="L3" s="11"/>
      <c r="M3" s="12" t="s">
        <v>22</v>
      </c>
      <c r="N3" s="11"/>
      <c r="O3" s="12" t="s">
        <v>22</v>
      </c>
      <c r="P3" s="11"/>
      <c r="Q3" s="12" t="s">
        <v>22</v>
      </c>
      <c r="R3" s="11"/>
      <c r="S3" s="12" t="s">
        <v>22</v>
      </c>
      <c r="T3" s="11"/>
      <c r="V3" s="1" t="s">
        <v>22</v>
      </c>
    </row>
    <row r="4" spans="1:22" ht="15.95" customHeight="1" x14ac:dyDescent="0.25">
      <c r="A4" s="12" t="s">
        <v>22</v>
      </c>
      <c r="B4" s="11" t="str">
        <f>_xlfn.CONCAT("[GameLanguage(""", A1,""", """, A2,""")]")</f>
        <v>[GameLanguage("English", "en")]</v>
      </c>
      <c r="C4" s="12" t="s">
        <v>22</v>
      </c>
      <c r="D4" s="11" t="str">
        <f>_xlfn.CONCAT("[GameLanguage(""", C1,""", """, C2,""")]")</f>
        <v>[GameLanguage("German", "de")]</v>
      </c>
      <c r="E4" s="12" t="s">
        <v>22</v>
      </c>
      <c r="F4" s="11" t="str">
        <f>_xlfn.CONCAT("[GameLanguage(""", E1,""", """, E2,""")]")</f>
        <v>[GameLanguage("Spanish", "es")]</v>
      </c>
      <c r="G4" s="12" t="s">
        <v>22</v>
      </c>
      <c r="H4" s="11" t="str">
        <f>_xlfn.CONCAT("[GameLanguage(""", G1,""", """, G2,""")]")</f>
        <v>[GameLanguage("French", "fr")]</v>
      </c>
      <c r="I4" s="12" t="s">
        <v>22</v>
      </c>
      <c r="J4" s="11" t="str">
        <f>_xlfn.CONCAT("[GameLanguage(""", I1,""", """, I2,""")]")</f>
        <v>[GameLanguage("Japanese", "jp")]</v>
      </c>
      <c r="K4" s="12" t="s">
        <v>22</v>
      </c>
      <c r="L4" s="11" t="str">
        <f>_xlfn.CONCAT("[GameLanguage(""", K1,""", """, K2,""")]")</f>
        <v>[GameLanguage("Korean", "kr")]</v>
      </c>
      <c r="M4" s="12" t="s">
        <v>22</v>
      </c>
      <c r="N4" s="11" t="str">
        <f>_xlfn.CONCAT("[GameLanguage(""", M1,""", """, M2,""")]")</f>
        <v>[GameLanguage("Portuguese", "pt")]</v>
      </c>
      <c r="O4" s="12" t="s">
        <v>22</v>
      </c>
      <c r="P4" s="11" t="str">
        <f>_xlfn.CONCAT("[GameLanguage(""", O1,""", """, O2,""")]")</f>
        <v>[GameLanguage("Russian", "ru")]</v>
      </c>
      <c r="Q4" s="12" t="s">
        <v>22</v>
      </c>
      <c r="R4" s="11" t="str">
        <f>_xlfn.CONCAT("[GameLanguage(""", Q1,""", """, Q2,""")]")</f>
        <v>[GameLanguage("Thai", "th")]</v>
      </c>
      <c r="S4" s="12" t="s">
        <v>22</v>
      </c>
      <c r="T4" s="11" t="str">
        <f>_xlfn.CONCAT("[GameLanguage(""", S1,""", """, S2,""")]")</f>
        <v>[GameLanguage("Traditional Chinese", "zh")]</v>
      </c>
      <c r="V4" s="1" t="s">
        <v>22</v>
      </c>
    </row>
    <row r="5" spans="1:22" ht="15.95" customHeight="1" x14ac:dyDescent="0.25">
      <c r="A5" s="12" t="s">
        <v>22</v>
      </c>
      <c r="B5" s="11" t="str">
        <f>_xlfn.CONCAT("public class GameLanguage", PROPER(A2), " : IGameLanguage")</f>
        <v>public class GameLanguageEn : IGameLanguage</v>
      </c>
      <c r="C5" s="12" t="s">
        <v>22</v>
      </c>
      <c r="D5" s="11" t="str">
        <f>_xlfn.CONCAT("public class GameLanguage", PROPER(C2), " : IGameLanguage")</f>
        <v>public class GameLanguageDe : IGameLanguage</v>
      </c>
      <c r="E5" s="12" t="s">
        <v>22</v>
      </c>
      <c r="F5" s="11" t="str">
        <f>_xlfn.CONCAT("public class GameLanguage", PROPER(E2), " : IGameLanguage")</f>
        <v>public class GameLanguageEs : IGameLanguage</v>
      </c>
      <c r="G5" s="12" t="s">
        <v>22</v>
      </c>
      <c r="H5" s="11" t="str">
        <f>_xlfn.CONCAT("public class GameLanguage", PROPER(G2), " : IGameLanguage")</f>
        <v>public class GameLanguageFr : IGameLanguage</v>
      </c>
      <c r="I5" s="12" t="s">
        <v>22</v>
      </c>
      <c r="J5" s="11" t="str">
        <f>_xlfn.CONCAT("public class GameLanguage", PROPER(I2), " : IGameLanguage")</f>
        <v>public class GameLanguageJp : IGameLanguage</v>
      </c>
      <c r="K5" s="12" t="s">
        <v>22</v>
      </c>
      <c r="L5" s="11" t="str">
        <f>_xlfn.CONCAT("public class GameLanguage", PROPER(K2), " : IGameLanguage")</f>
        <v>public class GameLanguageKr : IGameLanguage</v>
      </c>
      <c r="M5" s="12" t="s">
        <v>22</v>
      </c>
      <c r="N5" s="11" t="str">
        <f>_xlfn.CONCAT("public class GameLanguage", PROPER(M2), " : IGameLanguage")</f>
        <v>public class GameLanguagePt : IGameLanguage</v>
      </c>
      <c r="O5" s="12" t="s">
        <v>22</v>
      </c>
      <c r="P5" s="11" t="str">
        <f>_xlfn.CONCAT("public class GameLanguage", PROPER(O2), " : IGameLanguage")</f>
        <v>public class GameLanguageRu : IGameLanguage</v>
      </c>
      <c r="Q5" s="12" t="s">
        <v>22</v>
      </c>
      <c r="R5" s="11" t="str">
        <f>_xlfn.CONCAT("public class GameLanguage", PROPER(Q2), " : IGameLanguage")</f>
        <v>public class GameLanguageTh : IGameLanguage</v>
      </c>
      <c r="S5" s="12" t="s">
        <v>22</v>
      </c>
      <c r="T5" s="11" t="str">
        <f>_xlfn.CONCAT("public class GameLanguage", PROPER(S2), " : IGameLanguage")</f>
        <v>public class GameLanguageZh : IGameLanguage</v>
      </c>
      <c r="V5" s="1" t="s">
        <v>22</v>
      </c>
    </row>
    <row r="6" spans="1:22" ht="15.95" customHeight="1" x14ac:dyDescent="0.25">
      <c r="A6" s="12" t="s">
        <v>22</v>
      </c>
      <c r="B6" s="11" t="s">
        <v>13</v>
      </c>
      <c r="C6" s="12" t="s">
        <v>22</v>
      </c>
      <c r="D6" s="11" t="s">
        <v>13</v>
      </c>
      <c r="E6" s="12" t="s">
        <v>22</v>
      </c>
      <c r="F6" s="11" t="s">
        <v>13</v>
      </c>
      <c r="G6" s="12" t="s">
        <v>22</v>
      </c>
      <c r="H6" s="11" t="s">
        <v>13</v>
      </c>
      <c r="I6" s="12" t="s">
        <v>22</v>
      </c>
      <c r="J6" s="11" t="s">
        <v>13</v>
      </c>
      <c r="K6" s="12" t="s">
        <v>22</v>
      </c>
      <c r="L6" s="11" t="s">
        <v>13</v>
      </c>
      <c r="M6" s="12" t="s">
        <v>22</v>
      </c>
      <c r="N6" s="11" t="s">
        <v>13</v>
      </c>
      <c r="O6" s="12" t="s">
        <v>22</v>
      </c>
      <c r="P6" s="11" t="s">
        <v>13</v>
      </c>
      <c r="Q6" s="12" t="s">
        <v>22</v>
      </c>
      <c r="R6" s="11" t="s">
        <v>13</v>
      </c>
      <c r="S6" s="12" t="s">
        <v>22</v>
      </c>
      <c r="T6" s="11" t="s">
        <v>13</v>
      </c>
      <c r="V6" s="1" t="s">
        <v>22</v>
      </c>
    </row>
    <row r="7" spans="1:22" ht="15.95" customHeight="1" x14ac:dyDescent="0.25">
      <c r="A7" s="7" t="s">
        <v>6588</v>
      </c>
      <c r="B7" s="11" t="str">
        <f>_xlfn.CONCAT("    public string PoeTradeBaseUrl =&gt; """, A7, """;")</f>
        <v xml:space="preserve">    public string PoeTradeBaseUrl =&gt; "https://www.pathofexile.com/trade/";</v>
      </c>
      <c r="C7" s="30" t="s">
        <v>6589</v>
      </c>
      <c r="D7" s="11" t="str">
        <f>_xlfn.CONCAT("    public string PoeTradeBaseUrl =&gt; """, C7, """;")</f>
        <v xml:space="preserve">    public string PoeTradeBaseUrl =&gt; "https://de.pathofexile.com/trade/";</v>
      </c>
      <c r="E7" s="30" t="s">
        <v>6590</v>
      </c>
      <c r="F7" s="11" t="str">
        <f>_xlfn.CONCAT("    public string PoeTradeBaseUrl =&gt; """, E7, """;")</f>
        <v xml:space="preserve">    public string PoeTradeBaseUrl =&gt; "https://es.pathofexile.com/trade/";</v>
      </c>
      <c r="G7" s="30" t="s">
        <v>6591</v>
      </c>
      <c r="H7" s="11" t="str">
        <f>_xlfn.CONCAT("    public string PoeTradeBaseUrl =&gt; """, G7, """;")</f>
        <v xml:space="preserve">    public string PoeTradeBaseUrl =&gt; "https://fr.pathofexile.com/trade/";</v>
      </c>
      <c r="I7" s="30" t="s">
        <v>6592</v>
      </c>
      <c r="J7" s="11" t="str">
        <f>_xlfn.CONCAT("    public string PoeTradeBaseUrl =&gt; """, I7, """;")</f>
        <v xml:space="preserve">    public string PoeTradeBaseUrl =&gt; "https://jp.pathofexile.com/trade/";</v>
      </c>
      <c r="K7" s="30" t="s">
        <v>6593</v>
      </c>
      <c r="L7" s="11" t="str">
        <f>_xlfn.CONCAT("    public string PoeTradeBaseUrl =&gt; """, K7, """;")</f>
        <v xml:space="preserve">    public string PoeTradeBaseUrl =&gt; "https://poe.game.daum.net/trade/";</v>
      </c>
      <c r="M7" s="30" t="s">
        <v>6594</v>
      </c>
      <c r="N7" s="11" t="str">
        <f>_xlfn.CONCAT("    public string PoeTradeBaseUrl =&gt; """, M7, """;")</f>
        <v xml:space="preserve">    public string PoeTradeBaseUrl =&gt; "https://br.pathofexile.com/trade/";</v>
      </c>
      <c r="O7" s="30" t="s">
        <v>6595</v>
      </c>
      <c r="P7" s="11" t="str">
        <f>_xlfn.CONCAT("    public string PoeTradeBaseUrl =&gt; """, O7, """;")</f>
        <v xml:space="preserve">    public string PoeTradeBaseUrl =&gt; "https://ru.pathofexile.com/trade/";</v>
      </c>
      <c r="Q7" s="30" t="s">
        <v>6596</v>
      </c>
      <c r="R7" s="11" t="str">
        <f>_xlfn.CONCAT("    public string PoeTradeBaseUrl =&gt; """, Q7, """;")</f>
        <v xml:space="preserve">    public string PoeTradeBaseUrl =&gt; "https://th.pathofexile.com/trade/";</v>
      </c>
      <c r="S7" s="30" t="s">
        <v>8004</v>
      </c>
      <c r="T7" s="11" t="str">
        <f>_xlfn.CONCAT("    public string PoeTradeBaseUrl =&gt; """, S7, """;")</f>
        <v xml:space="preserve">    public string PoeTradeBaseUrl =&gt; "http://www.pathofexile.tw/trade/";</v>
      </c>
      <c r="V7" s="31" t="s">
        <v>6588</v>
      </c>
    </row>
    <row r="8" spans="1:22" ht="15.95" customHeight="1" x14ac:dyDescent="0.25">
      <c r="A8" s="6" t="s">
        <v>19</v>
      </c>
      <c r="B8" s="11" t="str">
        <f>_xlfn.CONCAT("    public string PoeTradeApiBaseUrl =&gt; """, A8, """;")</f>
        <v xml:space="preserve">    public string PoeTradeApiBaseUrl =&gt; "https://www.pathofexile.com/api/trade/";</v>
      </c>
      <c r="C8" s="16" t="s">
        <v>42</v>
      </c>
      <c r="D8" s="11" t="str">
        <f>_xlfn.CONCAT("    public string PoeTradeApiBaseUrl =&gt; """, C8, """;")</f>
        <v xml:space="preserve">    public string PoeTradeApiBaseUrl =&gt; "https://de.pathofexile.com/api/trade/";</v>
      </c>
      <c r="E8" s="16" t="s">
        <v>43</v>
      </c>
      <c r="F8" s="11" t="str">
        <f>_xlfn.CONCAT("    public string PoeTradeApiBaseUrl =&gt; """, E8, """;")</f>
        <v xml:space="preserve">    public string PoeTradeApiBaseUrl =&gt; "https://es.pathofexile.com/api/trade/";</v>
      </c>
      <c r="G8" s="16" t="s">
        <v>44</v>
      </c>
      <c r="H8" s="11" t="str">
        <f>_xlfn.CONCAT("    public string PoeTradeApiBaseUrl =&gt; """, G8, """;")</f>
        <v xml:space="preserve">    public string PoeTradeApiBaseUrl =&gt; "https://fr.pathofexile.com/api/trade/";</v>
      </c>
      <c r="I8" s="16" t="s">
        <v>45</v>
      </c>
      <c r="J8" s="11" t="str">
        <f>_xlfn.CONCAT("    public string PoeTradeApiBaseUrl =&gt; """, I8, """;")</f>
        <v xml:space="preserve">    public string PoeTradeApiBaseUrl =&gt; "https://jp.pathofexile.com/api/trade/";</v>
      </c>
      <c r="K8" s="16" t="s">
        <v>46</v>
      </c>
      <c r="L8" s="11" t="str">
        <f>_xlfn.CONCAT("    public string PoeTradeApiBaseUrl =&gt; """, K8, """;")</f>
        <v xml:space="preserve">    public string PoeTradeApiBaseUrl =&gt; "https://poe.game.daum.net/api/trade/";</v>
      </c>
      <c r="M8" s="16" t="s">
        <v>47</v>
      </c>
      <c r="N8" s="11" t="str">
        <f>_xlfn.CONCAT("    public string PoeTradeApiBaseUrl =&gt; """, M8, """;")</f>
        <v xml:space="preserve">    public string PoeTradeApiBaseUrl =&gt; "https://br.pathofexile.com/api/trade/";</v>
      </c>
      <c r="O8" s="16" t="s">
        <v>48</v>
      </c>
      <c r="P8" s="11" t="str">
        <f>_xlfn.CONCAT("    public string PoeTradeApiBaseUrl =&gt; """, O8, """;")</f>
        <v xml:space="preserve">    public string PoeTradeApiBaseUrl =&gt; "https://ru.pathofexile.com/api/trade/";</v>
      </c>
      <c r="Q8" s="16" t="s">
        <v>49</v>
      </c>
      <c r="R8" s="11" t="str">
        <f>_xlfn.CONCAT("    public string PoeTradeApiBaseUrl =&gt; """, Q8, """;")</f>
        <v xml:space="preserve">    public string PoeTradeApiBaseUrl =&gt; "https://th.pathofexile.com/api/trade/";</v>
      </c>
      <c r="S8" s="30" t="s">
        <v>8005</v>
      </c>
      <c r="T8" s="11" t="str">
        <f>_xlfn.CONCAT("    public string PoeTradeApiBaseUrl =&gt; """, S8, """;")</f>
        <v xml:space="preserve">    public string PoeTradeApiBaseUrl =&gt; "http://www.pathofexile.tw/api/trade/";</v>
      </c>
      <c r="V8" s="31" t="s">
        <v>19</v>
      </c>
    </row>
    <row r="9" spans="1:22" ht="15.95" customHeight="1" x14ac:dyDescent="0.25">
      <c r="A9" s="12" t="s">
        <v>22</v>
      </c>
      <c r="B9" s="11" t="str">
        <f>_xlfn.CONCAT("    public string Poe2TradeBaseUrl =&gt; """, SUBSTITUTE(A7, "/trade/", "/trade2/"), """;")</f>
        <v xml:space="preserve">    public string Poe2TradeBaseUrl =&gt; "https://www.pathofexile.com/trade2/";</v>
      </c>
      <c r="C9" s="12" t="s">
        <v>22</v>
      </c>
      <c r="D9" s="11" t="str">
        <f>_xlfn.CONCAT("    public string Poe2TradeBaseUrl =&gt; """, SUBSTITUTE(C7, "/trade/", "/trade2/"), """;")</f>
        <v xml:space="preserve">    public string Poe2TradeBaseUrl =&gt; "https://de.pathofexile.com/trade2/";</v>
      </c>
      <c r="E9" s="12" t="s">
        <v>22</v>
      </c>
      <c r="F9" s="11" t="str">
        <f>_xlfn.CONCAT("    public string Poe2TradeBaseUrl =&gt; """, SUBSTITUTE(E7, "/trade/", "/trade2/"), """;")</f>
        <v xml:space="preserve">    public string Poe2TradeBaseUrl =&gt; "https://es.pathofexile.com/trade2/";</v>
      </c>
      <c r="G9" s="12" t="s">
        <v>22</v>
      </c>
      <c r="H9" s="11" t="str">
        <f>_xlfn.CONCAT("    public string Poe2TradeBaseUrl =&gt; """, SUBSTITUTE(G7, "/trade/", "/trade2/"), """;")</f>
        <v xml:space="preserve">    public string Poe2TradeBaseUrl =&gt; "https://fr.pathofexile.com/trade2/";</v>
      </c>
      <c r="I9" s="12" t="s">
        <v>22</v>
      </c>
      <c r="J9" s="11" t="str">
        <f>_xlfn.CONCAT("    public string Poe2TradeBaseUrl =&gt; """, SUBSTITUTE(I7, "/trade/", "/trade2/"), """;")</f>
        <v xml:space="preserve">    public string Poe2TradeBaseUrl =&gt; "https://jp.pathofexile.com/trade2/";</v>
      </c>
      <c r="K9" s="12" t="s">
        <v>22</v>
      </c>
      <c r="L9" s="11" t="str">
        <f>_xlfn.CONCAT("    public string Poe2TradeBaseUrl =&gt; """, SUBSTITUTE(K7, "/trade/", "/trade2/"), """;")</f>
        <v xml:space="preserve">    public string Poe2TradeBaseUrl =&gt; "https://poe.game.daum.net/trade2/";</v>
      </c>
      <c r="M9" s="12" t="s">
        <v>22</v>
      </c>
      <c r="N9" s="11" t="str">
        <f>_xlfn.CONCAT("    public string Poe2TradeBaseUrl =&gt; """, SUBSTITUTE(M7, "/trade/", "/trade2/"), """;")</f>
        <v xml:space="preserve">    public string Poe2TradeBaseUrl =&gt; "https://br.pathofexile.com/trade2/";</v>
      </c>
      <c r="O9" s="12" t="s">
        <v>22</v>
      </c>
      <c r="P9" s="11" t="str">
        <f>_xlfn.CONCAT("    public string Poe2TradeBaseUrl =&gt; """, SUBSTITUTE(O7, "/trade/", "/trade2/"), """;")</f>
        <v xml:space="preserve">    public string Poe2TradeBaseUrl =&gt; "https://ru.pathofexile.com/trade2/";</v>
      </c>
      <c r="Q9" s="12" t="s">
        <v>22</v>
      </c>
      <c r="R9" s="11" t="str">
        <f>_xlfn.CONCAT("    public string Poe2TradeBaseUrl =&gt; """, SUBSTITUTE(Q7, "/trade/", "/trade2/"), """;")</f>
        <v xml:space="preserve">    public string Poe2TradeBaseUrl =&gt; "https://th.pathofexile.com/trade2/";</v>
      </c>
      <c r="S9" s="12" t="s">
        <v>22</v>
      </c>
      <c r="T9" s="11" t="str">
        <f>_xlfn.CONCAT("    public string Poe2TradeBaseUrl =&gt; """, SUBSTITUTE(S7, "/trade/", "/trade2/"), """;")</f>
        <v xml:space="preserve">    public string Poe2TradeBaseUrl =&gt; "http://www.pathofexile.tw/trade2/";</v>
      </c>
      <c r="V9" s="1" t="s">
        <v>22</v>
      </c>
    </row>
    <row r="10" spans="1:22" ht="15.95" customHeight="1" x14ac:dyDescent="0.25">
      <c r="A10" s="12" t="s">
        <v>22</v>
      </c>
      <c r="B10" s="11" t="str">
        <f>_xlfn.CONCAT("    public string Poe2TradeApiBaseUrl =&gt; """, SUBSTITUTE(A8, "/trade/", "/trade2/"), """;")</f>
        <v xml:space="preserve">    public string Poe2TradeApiBaseUrl =&gt; "https://www.pathofexile.com/api/trade2/";</v>
      </c>
      <c r="C10" s="12" t="s">
        <v>22</v>
      </c>
      <c r="D10" s="11" t="str">
        <f>_xlfn.CONCAT("    public string Poe2TradeApiBaseUrl =&gt; """, SUBSTITUTE(C8, "/trade/", "/trade2/"), """;")</f>
        <v xml:space="preserve">    public string Poe2TradeApiBaseUrl =&gt; "https://de.pathofexile.com/api/trade2/";</v>
      </c>
      <c r="E10" s="12" t="s">
        <v>22</v>
      </c>
      <c r="F10" s="11" t="str">
        <f>_xlfn.CONCAT("    public string Poe2TradeApiBaseUrl =&gt; """, SUBSTITUTE(E8, "/trade/", "/trade2/"), """;")</f>
        <v xml:space="preserve">    public string Poe2TradeApiBaseUrl =&gt; "https://es.pathofexile.com/api/trade2/";</v>
      </c>
      <c r="G10" s="12" t="s">
        <v>22</v>
      </c>
      <c r="H10" s="11" t="str">
        <f>_xlfn.CONCAT("    public string Poe2TradeApiBaseUrl =&gt; """, SUBSTITUTE(G8, "/trade/", "/trade2/"), """;")</f>
        <v xml:space="preserve">    public string Poe2TradeApiBaseUrl =&gt; "https://fr.pathofexile.com/api/trade2/";</v>
      </c>
      <c r="I10" s="12" t="s">
        <v>22</v>
      </c>
      <c r="J10" s="11" t="str">
        <f>_xlfn.CONCAT("    public string Poe2TradeApiBaseUrl =&gt; """, SUBSTITUTE(I8, "/trade/", "/trade2/"), """;")</f>
        <v xml:space="preserve">    public string Poe2TradeApiBaseUrl =&gt; "https://jp.pathofexile.com/api/trade2/";</v>
      </c>
      <c r="K10" s="12" t="s">
        <v>22</v>
      </c>
      <c r="L10" s="11" t="str">
        <f>_xlfn.CONCAT("    public string Poe2TradeApiBaseUrl =&gt; """, SUBSTITUTE(K8, "/trade/", "/trade2/"), """;")</f>
        <v xml:space="preserve">    public string Poe2TradeApiBaseUrl =&gt; "https://poe.game.daum.net/api/trade2/";</v>
      </c>
      <c r="M10" s="12" t="s">
        <v>22</v>
      </c>
      <c r="N10" s="11" t="str">
        <f>_xlfn.CONCAT("    public string Poe2TradeApiBaseUrl =&gt; """, SUBSTITUTE(M8, "/trade/", "/trade2/"), """;")</f>
        <v xml:space="preserve">    public string Poe2TradeApiBaseUrl =&gt; "https://br.pathofexile.com/api/trade2/";</v>
      </c>
      <c r="O10" s="12" t="s">
        <v>22</v>
      </c>
      <c r="P10" s="11" t="str">
        <f>_xlfn.CONCAT("    public string Poe2TradeApiBaseUrl =&gt; """, SUBSTITUTE(O8, "/trade/", "/trade2/"), """;")</f>
        <v xml:space="preserve">    public string Poe2TradeApiBaseUrl =&gt; "https://ru.pathofexile.com/api/trade2/";</v>
      </c>
      <c r="Q10" s="12" t="s">
        <v>22</v>
      </c>
      <c r="R10" s="11" t="str">
        <f>_xlfn.CONCAT("    public string Poe2TradeApiBaseUrl =&gt; """, SUBSTITUTE(Q8, "/trade/", "/trade2/"), """;")</f>
        <v xml:space="preserve">    public string Poe2TradeApiBaseUrl =&gt; "https://th.pathofexile.com/api/trade2/";</v>
      </c>
      <c r="S10" s="12" t="s">
        <v>22</v>
      </c>
      <c r="T10" s="11" t="str">
        <f>_xlfn.CONCAT("    public string Poe2TradeApiBaseUrl =&gt; """, SUBSTITUTE(S8, "/trade/", "/trade2/"), """;")</f>
        <v xml:space="preserve">    public string Poe2TradeApiBaseUrl =&gt; "http://www.pathofexile.tw/api/trade2/";</v>
      </c>
      <c r="V10" s="1" t="s">
        <v>22</v>
      </c>
    </row>
    <row r="11" spans="1:22" ht="15.95" customHeight="1" x14ac:dyDescent="0.25">
      <c r="A11" s="7" t="s">
        <v>20</v>
      </c>
      <c r="B11" s="11" t="str">
        <f>_xlfn.CONCAT("    public Uri PoeCdnBaseUrl =&gt; new(""", A11, """);")</f>
        <v xml:space="preserve">    public Uri PoeCdnBaseUrl =&gt; new("https://web.poecdn.com/");</v>
      </c>
      <c r="C11" s="16" t="s">
        <v>20</v>
      </c>
      <c r="D11" s="11" t="str">
        <f>_xlfn.CONCAT("    public Uri PoeCdnBaseUrl =&gt; new(""", C11, """);")</f>
        <v xml:space="preserve">    public Uri PoeCdnBaseUrl =&gt; new("https://web.poecdn.com/");</v>
      </c>
      <c r="E11" s="16" t="s">
        <v>20</v>
      </c>
      <c r="F11" s="11" t="str">
        <f>_xlfn.CONCAT("    public Uri PoeCdnBaseUrl =&gt; new(""", E11, """);")</f>
        <v xml:space="preserve">    public Uri PoeCdnBaseUrl =&gt; new("https://web.poecdn.com/");</v>
      </c>
      <c r="G11" s="16" t="s">
        <v>20</v>
      </c>
      <c r="H11" s="11" t="str">
        <f>_xlfn.CONCAT("    public Uri PoeCdnBaseUrl =&gt; new(""", G11, """);")</f>
        <v xml:space="preserve">    public Uri PoeCdnBaseUrl =&gt; new("https://web.poecdn.com/");</v>
      </c>
      <c r="I11" s="16" t="s">
        <v>20</v>
      </c>
      <c r="J11" s="11" t="str">
        <f>_xlfn.CONCAT("    public Uri PoeCdnBaseUrl =&gt; new(""", I11, """);")</f>
        <v xml:space="preserve">    public Uri PoeCdnBaseUrl =&gt; new("https://web.poecdn.com/");</v>
      </c>
      <c r="K11" s="16" t="s">
        <v>20</v>
      </c>
      <c r="L11" s="11" t="str">
        <f>_xlfn.CONCAT("    public Uri PoeCdnBaseUrl =&gt; new(""", K11, """);")</f>
        <v xml:space="preserve">    public Uri PoeCdnBaseUrl =&gt; new("https://web.poecdn.com/");</v>
      </c>
      <c r="M11" s="16" t="s">
        <v>20</v>
      </c>
      <c r="N11" s="11" t="str">
        <f>_xlfn.CONCAT("    public Uri PoeCdnBaseUrl =&gt; new(""", M11, """);")</f>
        <v xml:space="preserve">    public Uri PoeCdnBaseUrl =&gt; new("https://web.poecdn.com/");</v>
      </c>
      <c r="O11" s="16" t="s">
        <v>20</v>
      </c>
      <c r="P11" s="11" t="str">
        <f>_xlfn.CONCAT("    public Uri PoeCdnBaseUrl =&gt; new(""", O11, """);")</f>
        <v xml:space="preserve">    public Uri PoeCdnBaseUrl =&gt; new("https://web.poecdn.com/");</v>
      </c>
      <c r="Q11" s="16" t="s">
        <v>20</v>
      </c>
      <c r="R11" s="11" t="str">
        <f>_xlfn.CONCAT("    public Uri PoeCdnBaseUrl =&gt; new(""", Q11, """);")</f>
        <v xml:space="preserve">    public Uri PoeCdnBaseUrl =&gt; new("https://web.poecdn.com/");</v>
      </c>
      <c r="S11" s="16" t="s">
        <v>20</v>
      </c>
      <c r="T11" s="11" t="str">
        <f>_xlfn.CONCAT("    public Uri PoeCdnBaseUrl =&gt; new(""", S11, """);")</f>
        <v xml:space="preserve">    public Uri PoeCdnBaseUrl =&gt; new("https://web.poecdn.com/");</v>
      </c>
      <c r="V11" s="1" t="s">
        <v>20</v>
      </c>
    </row>
    <row r="12" spans="1:22" ht="15.95" customHeight="1" x14ac:dyDescent="0.25">
      <c r="A12" s="12" t="s">
        <v>22</v>
      </c>
      <c r="B12" s="11"/>
      <c r="C12" s="12" t="s">
        <v>22</v>
      </c>
      <c r="D12" s="11"/>
      <c r="E12" s="12" t="s">
        <v>22</v>
      </c>
      <c r="F12" s="11"/>
      <c r="G12" s="12" t="s">
        <v>22</v>
      </c>
      <c r="H12" s="11"/>
      <c r="I12" s="12" t="s">
        <v>22</v>
      </c>
      <c r="J12" s="11"/>
      <c r="K12" s="12" t="s">
        <v>22</v>
      </c>
      <c r="L12" s="11"/>
      <c r="M12" s="12" t="s">
        <v>22</v>
      </c>
      <c r="N12" s="11"/>
      <c r="O12" s="12" t="s">
        <v>22</v>
      </c>
      <c r="P12" s="11"/>
      <c r="Q12" s="12" t="s">
        <v>22</v>
      </c>
      <c r="R12" s="11"/>
      <c r="S12" s="12" t="s">
        <v>22</v>
      </c>
      <c r="T12" s="11"/>
      <c r="V12" s="1" t="s">
        <v>22</v>
      </c>
    </row>
    <row r="13" spans="1:22" ht="15.95" customHeight="1" x14ac:dyDescent="0.25">
      <c r="A13" s="13" t="str">
        <f>Belt!B6</f>
        <v>Unique</v>
      </c>
      <c r="B13" s="11" t="str">
        <f>_xlfn.CONCAT("    public string RarityUnique =&gt; """, A13, """;")</f>
        <v xml:space="preserve">    public string RarityUnique =&gt; "Unique";</v>
      </c>
      <c r="C13" s="13" t="str">
        <f>Belt!D6</f>
        <v>Einzigartig</v>
      </c>
      <c r="D13" s="11" t="str">
        <f>_xlfn.CONCAT("    public string RarityUnique =&gt; """, C13, """;")</f>
        <v xml:space="preserve">    public string RarityUnique =&gt; "Einzigartig";</v>
      </c>
      <c r="E13" s="13" t="str">
        <f>Belt!F6</f>
        <v>Único</v>
      </c>
      <c r="F13" s="11" t="str">
        <f>_xlfn.CONCAT("    public string RarityUnique =&gt; """, E13, """;")</f>
        <v xml:space="preserve">    public string RarityUnique =&gt; "Único";</v>
      </c>
      <c r="G13" s="13" t="str">
        <f>Belt!H6</f>
        <v>Unique</v>
      </c>
      <c r="H13" s="11" t="str">
        <f>_xlfn.CONCAT("    public string RarityUnique =&gt; """, G13, """;")</f>
        <v xml:space="preserve">    public string RarityUnique =&gt; "Unique";</v>
      </c>
      <c r="I13" s="13" t="str">
        <f>Belt!J6</f>
        <v>ユニーク</v>
      </c>
      <c r="J13" s="11" t="str">
        <f>_xlfn.CONCAT("    public string RarityUnique =&gt; """, I13, """;")</f>
        <v xml:space="preserve">    public string RarityUnique =&gt; "ユニーク";</v>
      </c>
      <c r="K13" s="13" t="str">
        <f>Belt!L6</f>
        <v>고유</v>
      </c>
      <c r="L13" s="11" t="str">
        <f>_xlfn.CONCAT("    public string RarityUnique =&gt; """, K13, """;")</f>
        <v xml:space="preserve">    public string RarityUnique =&gt; "고유";</v>
      </c>
      <c r="M13" s="13" t="str">
        <f>Belt!N6</f>
        <v>Único</v>
      </c>
      <c r="N13" s="11" t="str">
        <f>_xlfn.CONCAT("    public string RarityUnique =&gt; """, M13, """;")</f>
        <v xml:space="preserve">    public string RarityUnique =&gt; "Único";</v>
      </c>
      <c r="O13" s="13" t="str">
        <f>Belt!P6</f>
        <v>Уникальный</v>
      </c>
      <c r="P13" s="11" t="str">
        <f>_xlfn.CONCAT("    public string RarityUnique =&gt; """, O13, """;")</f>
        <v xml:space="preserve">    public string RarityUnique =&gt; "Уникальный";</v>
      </c>
      <c r="Q13" s="13" t="str">
        <f>Belt!R6</f>
        <v>ยูนิค</v>
      </c>
      <c r="R13" s="11" t="str">
        <f>_xlfn.CONCAT("    public string RarityUnique =&gt; """, Q13, """;")</f>
        <v xml:space="preserve">    public string RarityUnique =&gt; "ยูนิค";</v>
      </c>
      <c r="S13" s="13" t="s">
        <v>7914</v>
      </c>
      <c r="T13" s="11" t="str">
        <f>_xlfn.CONCAT("    public string RarityUnique =&gt; """, S13, """;")</f>
        <v xml:space="preserve">    public string RarityUnique =&gt; "傳奇";</v>
      </c>
      <c r="V13" s="1" t="s">
        <v>17</v>
      </c>
    </row>
    <row r="14" spans="1:22" ht="15.95" customHeight="1" x14ac:dyDescent="0.25">
      <c r="A14" s="13" t="str">
        <f>'Heist Brooch'!B6</f>
        <v>Rare</v>
      </c>
      <c r="B14" s="11" t="str">
        <f>_xlfn.CONCAT("    public string RarityRare =&gt; """, A14, """;")</f>
        <v xml:space="preserve">    public string RarityRare =&gt; "Rare";</v>
      </c>
      <c r="C14" s="13" t="str">
        <f>'Heist Brooch'!D6</f>
        <v>Selten</v>
      </c>
      <c r="D14" s="11" t="str">
        <f>_xlfn.CONCAT("    public string RarityRare =&gt; """, C14, """;")</f>
        <v xml:space="preserve">    public string RarityRare =&gt; "Selten";</v>
      </c>
      <c r="E14" s="13" t="str">
        <f>'Heist Brooch'!F6</f>
        <v>Raro</v>
      </c>
      <c r="F14" s="11" t="str">
        <f>_xlfn.CONCAT("    public string RarityRare =&gt; """, E14, """;")</f>
        <v xml:space="preserve">    public string RarityRare =&gt; "Raro";</v>
      </c>
      <c r="G14" s="13" t="str">
        <f>'Heist Brooch'!H6</f>
        <v>Rare</v>
      </c>
      <c r="H14" s="11" t="str">
        <f>_xlfn.CONCAT("    public string RarityRare =&gt; """, G14, """;")</f>
        <v xml:space="preserve">    public string RarityRare =&gt; "Rare";</v>
      </c>
      <c r="I14" s="13" t="str">
        <f>'Heist Brooch'!J6</f>
        <v>レア</v>
      </c>
      <c r="J14" s="11" t="str">
        <f>_xlfn.CONCAT("    public string RarityRare =&gt; """, I14, """;")</f>
        <v xml:space="preserve">    public string RarityRare =&gt; "レア";</v>
      </c>
      <c r="K14" s="13" t="str">
        <f>'Heist Brooch'!L6</f>
        <v>희귀</v>
      </c>
      <c r="L14" s="11" t="str">
        <f>_xlfn.CONCAT("    public string RarityRare =&gt; """, K14, """;")</f>
        <v xml:space="preserve">    public string RarityRare =&gt; "희귀";</v>
      </c>
      <c r="M14" s="13" t="str">
        <f>'Heist Brooch'!N6</f>
        <v>Raro</v>
      </c>
      <c r="N14" s="11" t="str">
        <f>_xlfn.CONCAT("    public string RarityRare =&gt; """, M14, """;")</f>
        <v xml:space="preserve">    public string RarityRare =&gt; "Raro";</v>
      </c>
      <c r="O14" s="13" t="str">
        <f>'Heist Brooch'!P6</f>
        <v>Редкий</v>
      </c>
      <c r="P14" s="11" t="str">
        <f>_xlfn.CONCAT("    public string RarityRare =&gt; """, O14, """;")</f>
        <v xml:space="preserve">    public string RarityRare =&gt; "Редкий";</v>
      </c>
      <c r="Q14" s="13" t="str">
        <f>'Heist Brooch'!R6</f>
        <v>แรร์</v>
      </c>
      <c r="R14" s="11" t="str">
        <f>_xlfn.CONCAT("    public string RarityRare =&gt; """, Q14, """;")</f>
        <v xml:space="preserve">    public string RarityRare =&gt; "แรร์";</v>
      </c>
      <c r="S14" s="13" t="s">
        <v>7917</v>
      </c>
      <c r="T14" s="11" t="str">
        <f>_xlfn.CONCAT("    public string RarityRare =&gt; """, S14, """;")</f>
        <v xml:space="preserve">    public string RarityRare =&gt; "稀有";</v>
      </c>
      <c r="V14" s="1" t="s">
        <v>18</v>
      </c>
    </row>
    <row r="15" spans="1:22" ht="15.95" customHeight="1" x14ac:dyDescent="0.25">
      <c r="A15" s="13" t="str">
        <f>'Magic Utility Flask'!B6</f>
        <v>Magic</v>
      </c>
      <c r="B15" s="11" t="str">
        <f>_xlfn.CONCAT("    public string RarityMagic =&gt; """, A15, """;")</f>
        <v xml:space="preserve">    public string RarityMagic =&gt; "Magic";</v>
      </c>
      <c r="C15" s="13" t="str">
        <f>'Magic Utility Flask'!D6</f>
        <v>Magisch</v>
      </c>
      <c r="D15" s="11" t="str">
        <f>_xlfn.CONCAT("    public string RarityMagic =&gt; """, C15, """;")</f>
        <v xml:space="preserve">    public string RarityMagic =&gt; "Magisch";</v>
      </c>
      <c r="E15" s="13" t="str">
        <f>'Magic Utility Flask'!F6</f>
        <v>Mágico</v>
      </c>
      <c r="F15" s="11" t="str">
        <f>_xlfn.CONCAT("    public string RarityMagic =&gt; """, E15, """;")</f>
        <v xml:space="preserve">    public string RarityMagic =&gt; "Mágico";</v>
      </c>
      <c r="G15" s="13" t="str">
        <f>'Magic Utility Flask'!H6</f>
        <v>Magique</v>
      </c>
      <c r="H15" s="11" t="str">
        <f>_xlfn.CONCAT("    public string RarityMagic =&gt; """, G15, """;")</f>
        <v xml:space="preserve">    public string RarityMagic =&gt; "Magique";</v>
      </c>
      <c r="I15" s="13" t="str">
        <f>'Magic Utility Flask'!J6</f>
        <v>マジック</v>
      </c>
      <c r="J15" s="11" t="str">
        <f>_xlfn.CONCAT("    public string RarityMagic =&gt; """, I15, """;")</f>
        <v xml:space="preserve">    public string RarityMagic =&gt; "マジック";</v>
      </c>
      <c r="K15" s="13" t="str">
        <f>'Magic Utility Flask'!L6</f>
        <v>마법</v>
      </c>
      <c r="L15" s="11" t="str">
        <f>_xlfn.CONCAT("    public string RarityMagic =&gt; """, K15, """;")</f>
        <v xml:space="preserve">    public string RarityMagic =&gt; "마법";</v>
      </c>
      <c r="M15" s="13" t="str">
        <f>'Magic Utility Flask'!N6</f>
        <v>Mágico</v>
      </c>
      <c r="N15" s="11" t="str">
        <f>_xlfn.CONCAT("    public string RarityMagic =&gt; """, M15, """;")</f>
        <v xml:space="preserve">    public string RarityMagic =&gt; "Mágico";</v>
      </c>
      <c r="O15" s="13" t="str">
        <f>'Magic Utility Flask'!P6</f>
        <v>Волшебный</v>
      </c>
      <c r="P15" s="11" t="str">
        <f>_xlfn.CONCAT("    public string RarityMagic =&gt; """, O15, """;")</f>
        <v xml:space="preserve">    public string RarityMagic =&gt; "Волшебный";</v>
      </c>
      <c r="Q15" s="13" t="str">
        <f>'Magic Utility Flask'!R6</f>
        <v>เมจิก</v>
      </c>
      <c r="R15" s="11" t="str">
        <f>_xlfn.CONCAT("    public string RarityMagic =&gt; """, Q15, """;")</f>
        <v xml:space="preserve">    public string RarityMagic =&gt; "เมจิก";</v>
      </c>
      <c r="S15" s="13" t="s">
        <v>7916</v>
      </c>
      <c r="T15" s="11" t="str">
        <f>_xlfn.CONCAT("    public string RarityMagic =&gt; """, S15, """;")</f>
        <v xml:space="preserve">    public string RarityMagic =&gt; "魔法";</v>
      </c>
      <c r="V15" s="1" t="s">
        <v>517</v>
      </c>
    </row>
    <row r="16" spans="1:22" ht="15.95" customHeight="1" x14ac:dyDescent="0.25">
      <c r="A16" s="13" t="str">
        <f>Logbook!B6</f>
        <v>Normal</v>
      </c>
      <c r="B16" s="11" t="str">
        <f>_xlfn.CONCAT("    public string RarityNormal =&gt; """, A16, """;")</f>
        <v xml:space="preserve">    public string RarityNormal =&gt; "Normal";</v>
      </c>
      <c r="C16" s="13" t="str">
        <f>Logbook!D6</f>
        <v>Normal</v>
      </c>
      <c r="D16" s="11" t="str">
        <f>_xlfn.CONCAT("    public string RarityNormal =&gt; """, C16, """;")</f>
        <v xml:space="preserve">    public string RarityNormal =&gt; "Normal";</v>
      </c>
      <c r="E16" s="13" t="str">
        <f>Logbook!F6</f>
        <v>Normal</v>
      </c>
      <c r="F16" s="11" t="str">
        <f>_xlfn.CONCAT("    public string RarityNormal =&gt; """, E16, """;")</f>
        <v xml:space="preserve">    public string RarityNormal =&gt; "Normal";</v>
      </c>
      <c r="G16" s="13" t="str">
        <f>Logbook!H6</f>
        <v>Normal</v>
      </c>
      <c r="H16" s="11" t="str">
        <f>_xlfn.CONCAT("    public string RarityNormal =&gt; """, G16, """;")</f>
        <v xml:space="preserve">    public string RarityNormal =&gt; "Normal";</v>
      </c>
      <c r="I16" s="13" t="str">
        <f>Logbook!J6</f>
        <v>ノーマル</v>
      </c>
      <c r="J16" s="11" t="str">
        <f>_xlfn.CONCAT("    public string RarityNormal =&gt; """, I16, """;")</f>
        <v xml:space="preserve">    public string RarityNormal =&gt; "ノーマル";</v>
      </c>
      <c r="K16" s="13" t="str">
        <f>Logbook!L6</f>
        <v>일반</v>
      </c>
      <c r="L16" s="11" t="str">
        <f>_xlfn.CONCAT("    public string RarityNormal =&gt; """, K16, """;")</f>
        <v xml:space="preserve">    public string RarityNormal =&gt; "일반";</v>
      </c>
      <c r="M16" s="13" t="str">
        <f>Logbook!N6</f>
        <v>Normal</v>
      </c>
      <c r="N16" s="11" t="str">
        <f>_xlfn.CONCAT("    public string RarityNormal =&gt; """, M16, """;")</f>
        <v xml:space="preserve">    public string RarityNormal =&gt; "Normal";</v>
      </c>
      <c r="O16" s="13" t="str">
        <f>Logbook!P6</f>
        <v>Обычный</v>
      </c>
      <c r="P16" s="11" t="str">
        <f>_xlfn.CONCAT("    public string RarityNormal =&gt; """, O16, """;")</f>
        <v xml:space="preserve">    public string RarityNormal =&gt; "Обычный";</v>
      </c>
      <c r="Q16" s="13" t="str">
        <f>Logbook!R6</f>
        <v>ปกติ</v>
      </c>
      <c r="R16" s="11" t="str">
        <f>_xlfn.CONCAT("    public string RarityNormal =&gt; """, Q16, """;")</f>
        <v xml:space="preserve">    public string RarityNormal =&gt; "ปกติ";</v>
      </c>
      <c r="S16" s="13" t="s">
        <v>7915</v>
      </c>
      <c r="T16" s="11" t="str">
        <f>_xlfn.CONCAT("    public string RarityNormal =&gt; """, S16, """;")</f>
        <v xml:space="preserve">    public string RarityNormal =&gt; "普通";</v>
      </c>
      <c r="V16" s="1" t="s">
        <v>739</v>
      </c>
    </row>
    <row r="17" spans="1:22" ht="15.95" customHeight="1" x14ac:dyDescent="0.25">
      <c r="A17" s="13" t="str">
        <f>'Chaos Orb'!B6</f>
        <v>Currency</v>
      </c>
      <c r="B17" s="11" t="str">
        <f>_xlfn.CONCAT("    public string RarityCurrency =&gt; """, A17, """;")</f>
        <v xml:space="preserve">    public string RarityCurrency =&gt; "Currency";</v>
      </c>
      <c r="C17" s="13" t="str">
        <f>'Chaos Orb'!D6</f>
        <v>Währung</v>
      </c>
      <c r="D17" s="11" t="str">
        <f>_xlfn.CONCAT("    public string RarityCurrency =&gt; """, C17, """;")</f>
        <v xml:space="preserve">    public string RarityCurrency =&gt; "Währung";</v>
      </c>
      <c r="E17" s="13" t="str">
        <f>'Chaos Orb'!F6</f>
        <v>Objetos monetarios</v>
      </c>
      <c r="F17" s="11" t="str">
        <f>_xlfn.CONCAT("    public string RarityCurrency =&gt; """, E17, """;")</f>
        <v xml:space="preserve">    public string RarityCurrency =&gt; "Objetos monetarios";</v>
      </c>
      <c r="G17" s="13" t="str">
        <f>'Chaos Orb'!H6</f>
        <v>Objet monétaire</v>
      </c>
      <c r="H17" s="11" t="str">
        <f>_xlfn.CONCAT("    public string RarityCurrency =&gt; """, G17, """;")</f>
        <v xml:space="preserve">    public string RarityCurrency =&gt; "Objet monétaire";</v>
      </c>
      <c r="I17" s="13" t="str">
        <f>'Chaos Orb'!J6</f>
        <v>カレンシー</v>
      </c>
      <c r="J17" s="11" t="str">
        <f>_xlfn.CONCAT("    public string RarityCurrency =&gt; """, I17, """;")</f>
        <v xml:space="preserve">    public string RarityCurrency =&gt; "カレンシー";</v>
      </c>
      <c r="K17" s="13" t="str">
        <f>'Chaos Orb'!L6</f>
        <v>화폐</v>
      </c>
      <c r="L17" s="11" t="str">
        <f>_xlfn.CONCAT("    public string RarityCurrency =&gt; """, K17, """;")</f>
        <v xml:space="preserve">    public string RarityCurrency =&gt; "화폐";</v>
      </c>
      <c r="M17" s="13" t="str">
        <f>'Chaos Orb'!N6</f>
        <v>Moeda</v>
      </c>
      <c r="N17" s="11" t="str">
        <f>_xlfn.CONCAT("    public string RarityCurrency =&gt; """, M17, """;")</f>
        <v xml:space="preserve">    public string RarityCurrency =&gt; "Moeda";</v>
      </c>
      <c r="O17" s="13" t="str">
        <f>'Chaos Orb'!P6</f>
        <v>Валюта</v>
      </c>
      <c r="P17" s="11" t="str">
        <f>_xlfn.CONCAT("    public string RarityCurrency =&gt; """, O17, """;")</f>
        <v xml:space="preserve">    public string RarityCurrency =&gt; "Валюта";</v>
      </c>
      <c r="Q17" s="13" t="str">
        <f>'Chaos Orb'!R6</f>
        <v>เงินตรา</v>
      </c>
      <c r="R17" s="11" t="str">
        <f>_xlfn.CONCAT("    public string RarityCurrency =&gt; """, Q17, """;")</f>
        <v xml:space="preserve">    public string RarityCurrency =&gt; "เงินตรา";</v>
      </c>
      <c r="S17" s="13" t="s">
        <v>7918</v>
      </c>
      <c r="T17" s="11" t="str">
        <f>_xlfn.CONCAT("    public string RarityCurrency =&gt; """, S17, """;")</f>
        <v xml:space="preserve">    public string RarityCurrency =&gt; "通貨";</v>
      </c>
      <c r="V17" s="1" t="s">
        <v>740</v>
      </c>
    </row>
    <row r="18" spans="1:22" ht="15.95" customHeight="1" x14ac:dyDescent="0.25">
      <c r="A18" s="13" t="str">
        <f>'Phantasmal Gem'!B6</f>
        <v>Gem</v>
      </c>
      <c r="B18" s="11" t="str">
        <f>_xlfn.CONCAT("    public string RarityGem =&gt; """, A18, """;")</f>
        <v xml:space="preserve">    public string RarityGem =&gt; "Gem";</v>
      </c>
      <c r="C18" s="13" t="str">
        <f>'Phantasmal Gem'!D6</f>
        <v>Gemme</v>
      </c>
      <c r="D18" s="11" t="str">
        <f>_xlfn.CONCAT("    public string RarityGem =&gt; """, C18, """;")</f>
        <v xml:space="preserve">    public string RarityGem =&gt; "Gemme";</v>
      </c>
      <c r="E18" s="13" t="str">
        <f>'Phantasmal Gem'!F6</f>
        <v>Gema</v>
      </c>
      <c r="F18" s="11" t="str">
        <f>_xlfn.CONCAT("    public string RarityGem =&gt; """, E18, """;")</f>
        <v xml:space="preserve">    public string RarityGem =&gt; "Gema";</v>
      </c>
      <c r="G18" s="13" t="str">
        <f>'Phantasmal Gem'!H6</f>
        <v>Gemme</v>
      </c>
      <c r="H18" s="11" t="str">
        <f>_xlfn.CONCAT("    public string RarityGem =&gt; """, G18, """;")</f>
        <v xml:space="preserve">    public string RarityGem =&gt; "Gemme";</v>
      </c>
      <c r="I18" s="13" t="str">
        <f>'Phantasmal Gem'!J6</f>
        <v>ジェム</v>
      </c>
      <c r="J18" s="11" t="str">
        <f>_xlfn.CONCAT("    public string RarityGem =&gt; """, I18, """;")</f>
        <v xml:space="preserve">    public string RarityGem =&gt; "ジェム";</v>
      </c>
      <c r="K18" s="13" t="str">
        <f>'Phantasmal Gem'!L6</f>
        <v>젬</v>
      </c>
      <c r="L18" s="11" t="str">
        <f>_xlfn.CONCAT("    public string RarityGem =&gt; """, K18, """;")</f>
        <v xml:space="preserve">    public string RarityGem =&gt; "젬";</v>
      </c>
      <c r="M18" s="13" t="str">
        <f>'Phantasmal Gem'!N6</f>
        <v>Gema</v>
      </c>
      <c r="N18" s="11" t="str">
        <f>_xlfn.CONCAT("    public string RarityGem =&gt; """, M18, """;")</f>
        <v xml:space="preserve">    public string RarityGem =&gt; "Gema";</v>
      </c>
      <c r="O18" s="13" t="str">
        <f>'Phantasmal Gem'!P6</f>
        <v>Камень</v>
      </c>
      <c r="P18" s="11" t="str">
        <f>_xlfn.CONCAT("    public string RarityGem =&gt; """, O18, """;")</f>
        <v xml:space="preserve">    public string RarityGem =&gt; "Камень";</v>
      </c>
      <c r="Q18" s="13" t="str">
        <f>'Phantasmal Gem'!R6</f>
        <v>หิน</v>
      </c>
      <c r="R18" s="11" t="str">
        <f>_xlfn.CONCAT("    public string RarityGem =&gt; """, Q18, """;")</f>
        <v xml:space="preserve">    public string RarityGem =&gt; "หิน";</v>
      </c>
      <c r="S18" s="13" t="s">
        <v>7919</v>
      </c>
      <c r="T18" s="11" t="str">
        <f>_xlfn.CONCAT("    public string RarityGem =&gt; """, S18, """;")</f>
        <v xml:space="preserve">    public string RarityGem =&gt; "寶石";</v>
      </c>
      <c r="V18" s="1" t="s">
        <v>518</v>
      </c>
    </row>
    <row r="19" spans="1:22" ht="15.95" customHeight="1" x14ac:dyDescent="0.25">
      <c r="A19" s="13" t="str">
        <f>Card!B6</f>
        <v>Divination Card</v>
      </c>
      <c r="B19" s="11" t="str">
        <f>_xlfn.CONCAT("    public string RarityDivinationCard =&gt; """, A19, """;")</f>
        <v xml:space="preserve">    public string RarityDivinationCard =&gt; "Divination Card";</v>
      </c>
      <c r="C19" s="13" t="str">
        <f>Card!D6</f>
        <v>Weissagungskarte</v>
      </c>
      <c r="D19" s="11" t="str">
        <f>_xlfn.CONCAT("    public string RarityDivinationCard =&gt; """, C19, """;")</f>
        <v xml:space="preserve">    public string RarityDivinationCard =&gt; "Weissagungskarte";</v>
      </c>
      <c r="E19" s="13" t="str">
        <f>Card!F6</f>
        <v>Carta de adivinación</v>
      </c>
      <c r="F19" s="11" t="str">
        <f>_xlfn.CONCAT("    public string RarityDivinationCard =&gt; """, E19, """;")</f>
        <v xml:space="preserve">    public string RarityDivinationCard =&gt; "Carta de adivinación";</v>
      </c>
      <c r="G19" s="13" t="str">
        <f>Card!H6</f>
        <v>Carte divinatoire</v>
      </c>
      <c r="H19" s="11" t="str">
        <f>_xlfn.CONCAT("    public string RarityDivinationCard =&gt; """, G19, """;")</f>
        <v xml:space="preserve">    public string RarityDivinationCard =&gt; "Carte divinatoire";</v>
      </c>
      <c r="I19" s="13" t="str">
        <f>Card!J6</f>
        <v>占いカード</v>
      </c>
      <c r="J19" s="11" t="str">
        <f>_xlfn.CONCAT("    public string RarityDivinationCard =&gt; """, I19, """;")</f>
        <v xml:space="preserve">    public string RarityDivinationCard =&gt; "占いカード";</v>
      </c>
      <c r="K19" s="13" t="str">
        <f>Card!L6</f>
        <v>점술 카드</v>
      </c>
      <c r="L19" s="11" t="str">
        <f>_xlfn.CONCAT("    public string RarityDivinationCard =&gt; """, K19, """;")</f>
        <v xml:space="preserve">    public string RarityDivinationCard =&gt; "점술 카드";</v>
      </c>
      <c r="M19" s="13" t="str">
        <f>Card!N6</f>
        <v>Carta de Adivinhação</v>
      </c>
      <c r="N19" s="11" t="str">
        <f>_xlfn.CONCAT("    public string RarityDivinationCard =&gt; """, M19, """;")</f>
        <v xml:space="preserve">    public string RarityDivinationCard =&gt; "Carta de Adivinhação";</v>
      </c>
      <c r="O19" s="13" t="str">
        <f>Card!P6</f>
        <v>Гадальная карта</v>
      </c>
      <c r="P19" s="11" t="str">
        <f>_xlfn.CONCAT("    public string RarityDivinationCard =&gt; """, O19, """;")</f>
        <v xml:space="preserve">    public string RarityDivinationCard =&gt; "Гадальная карта";</v>
      </c>
      <c r="Q19" s="13" t="str">
        <f>Card!R6</f>
        <v>ไพ่พยากรณ์</v>
      </c>
      <c r="R19" s="11" t="str">
        <f>_xlfn.CONCAT("    public string RarityDivinationCard =&gt; """, Q19, """;")</f>
        <v xml:space="preserve">    public string RarityDivinationCard =&gt; "ไพ่พยากรณ์";</v>
      </c>
      <c r="S19" s="13" t="s">
        <v>7920</v>
      </c>
      <c r="T19" s="11" t="str">
        <f>_xlfn.CONCAT("    public string RarityDivinationCard =&gt; """, S19, """;")</f>
        <v xml:space="preserve">    public string RarityDivinationCard =&gt; "命運卡";</v>
      </c>
      <c r="V19" s="1" t="s">
        <v>519</v>
      </c>
    </row>
    <row r="20" spans="1:22" ht="15.95" customHeight="1" x14ac:dyDescent="0.25">
      <c r="A20" s="12" t="s">
        <v>22</v>
      </c>
      <c r="B20" s="11"/>
      <c r="C20" s="12" t="s">
        <v>22</v>
      </c>
      <c r="D20" s="11"/>
      <c r="E20" s="12" t="s">
        <v>22</v>
      </c>
      <c r="F20" s="11"/>
      <c r="G20" s="12" t="s">
        <v>22</v>
      </c>
      <c r="H20" s="11"/>
      <c r="I20" s="12" t="s">
        <v>22</v>
      </c>
      <c r="J20" s="11"/>
      <c r="K20" s="12" t="s">
        <v>22</v>
      </c>
      <c r="L20" s="11"/>
      <c r="M20" s="12" t="s">
        <v>22</v>
      </c>
      <c r="N20" s="11"/>
      <c r="O20" s="12" t="s">
        <v>22</v>
      </c>
      <c r="P20" s="11"/>
      <c r="Q20" s="12" t="s">
        <v>22</v>
      </c>
      <c r="R20" s="11"/>
      <c r="S20" s="12" t="s">
        <v>22</v>
      </c>
      <c r="T20" s="11"/>
      <c r="V20" s="1" t="s">
        <v>22</v>
      </c>
    </row>
    <row r="21" spans="1:22" ht="15.95" customHeight="1" x14ac:dyDescent="0.25">
      <c r="A21" s="13" t="str">
        <f>'Unidentified ring'!B11</f>
        <v>Unidentified</v>
      </c>
      <c r="B21" s="11" t="str">
        <f>_xlfn.CONCAT("    public string DescriptionUnidentified =&gt; """, A21, """;")</f>
        <v xml:space="preserve">    public string DescriptionUnidentified =&gt; "Unidentified";</v>
      </c>
      <c r="C21" s="13" t="str">
        <f>'Unidentified ring'!D11</f>
        <v>Nicht identifiziert</v>
      </c>
      <c r="D21" s="11" t="str">
        <f>_xlfn.CONCAT("    public string DescriptionUnidentified =&gt; """, C21, """;")</f>
        <v xml:space="preserve">    public string DescriptionUnidentified =&gt; "Nicht identifiziert";</v>
      </c>
      <c r="E21" s="13" t="str">
        <f>'Unidentified ring'!F11</f>
        <v>Sin identificar</v>
      </c>
      <c r="F21" s="11" t="str">
        <f>_xlfn.CONCAT("    public string DescriptionUnidentified =&gt; """, E21, """;")</f>
        <v xml:space="preserve">    public string DescriptionUnidentified =&gt; "Sin identificar";</v>
      </c>
      <c r="G21" s="13" t="str">
        <f>'Unidentified ring'!H11</f>
        <v>Non identifié</v>
      </c>
      <c r="H21" s="11" t="str">
        <f>_xlfn.CONCAT("    public string DescriptionUnidentified =&gt; """, G21, """;")</f>
        <v xml:space="preserve">    public string DescriptionUnidentified =&gt; "Non identifié";</v>
      </c>
      <c r="I21" s="13" t="str">
        <f>'Unidentified ring'!J11</f>
        <v>未鑑定</v>
      </c>
      <c r="J21" s="11" t="str">
        <f>_xlfn.CONCAT("    public string DescriptionUnidentified =&gt; """, I21, """;")</f>
        <v xml:space="preserve">    public string DescriptionUnidentified =&gt; "未鑑定";</v>
      </c>
      <c r="K21" s="13" t="str">
        <f>'Unidentified ring'!L11</f>
        <v>미확인</v>
      </c>
      <c r="L21" s="11" t="str">
        <f>_xlfn.CONCAT("    public string DescriptionUnidentified =&gt; """, K21, """;")</f>
        <v xml:space="preserve">    public string DescriptionUnidentified =&gt; "미확인";</v>
      </c>
      <c r="M21" s="13" t="str">
        <f>'Unidentified ring'!N11</f>
        <v>Não Identificado</v>
      </c>
      <c r="N21" s="11" t="str">
        <f>_xlfn.CONCAT("    public string DescriptionUnidentified =&gt; """, M21, """;")</f>
        <v xml:space="preserve">    public string DescriptionUnidentified =&gt; "Não Identificado";</v>
      </c>
      <c r="O21" s="13" t="str">
        <f>'Unidentified ring'!P11</f>
        <v>Неопознано</v>
      </c>
      <c r="P21" s="11" t="str">
        <f>_xlfn.CONCAT("    public string DescriptionUnidentified =&gt; """, O21, """;")</f>
        <v xml:space="preserve">    public string DescriptionUnidentified =&gt; "Неопознано";</v>
      </c>
      <c r="Q21" s="13" t="str">
        <f>'Unidentified ring'!R11</f>
        <v>ยังไม่ได้ตรวจสอบ</v>
      </c>
      <c r="R21" s="11" t="str">
        <f>_xlfn.CONCAT("    public string DescriptionUnidentified =&gt; """, Q21, """;")</f>
        <v xml:space="preserve">    public string DescriptionUnidentified =&gt; "ยังไม่ได้ตรวจสอบ";</v>
      </c>
      <c r="S21" s="13" t="s">
        <v>3222</v>
      </c>
      <c r="T21" s="11" t="str">
        <f>_xlfn.CONCAT("    public string DescriptionUnidentified =&gt; """, S21, """;")</f>
        <v xml:space="preserve">    public string DescriptionUnidentified =&gt; "未鑑定";</v>
      </c>
      <c r="V21" s="1" t="s">
        <v>50</v>
      </c>
    </row>
    <row r="22" spans="1:22" ht="15.95" customHeight="1" x14ac:dyDescent="0.25">
      <c r="A22" s="13" t="str">
        <f>'Life Flask'!B8</f>
        <v>Quality</v>
      </c>
      <c r="B22" s="11" t="str">
        <f>_xlfn.CONCAT("    public string DescriptionQuality =&gt; """, A22, """;")</f>
        <v xml:space="preserve">    public string DescriptionQuality =&gt; "Quality";</v>
      </c>
      <c r="C22" s="13" t="str">
        <f>'Life Flask'!D8</f>
        <v>Qualität</v>
      </c>
      <c r="D22" s="11" t="str">
        <f>_xlfn.CONCAT("    public string DescriptionQuality =&gt; """, C22, """;")</f>
        <v xml:space="preserve">    public string DescriptionQuality =&gt; "Qualität";</v>
      </c>
      <c r="E22" s="13" t="str">
        <f>'Life Flask'!F8</f>
        <v>Calidad</v>
      </c>
      <c r="F22" s="11" t="str">
        <f>_xlfn.CONCAT("    public string DescriptionQuality =&gt; """, E22, """;")</f>
        <v xml:space="preserve">    public string DescriptionQuality =&gt; "Calidad";</v>
      </c>
      <c r="G22" s="13" t="str">
        <f>'Life Flask'!H8</f>
        <v>Qualité</v>
      </c>
      <c r="H22" s="11" t="str">
        <f>_xlfn.CONCAT("    public string DescriptionQuality =&gt; """, G22, """;")</f>
        <v xml:space="preserve">    public string DescriptionQuality =&gt; "Qualité";</v>
      </c>
      <c r="I22" s="13" t="str">
        <f>'Life Flask'!J8</f>
        <v>品質</v>
      </c>
      <c r="J22" s="11" t="str">
        <f>_xlfn.CONCAT("    public string DescriptionQuality =&gt; """, I22, """;")</f>
        <v xml:space="preserve">    public string DescriptionQuality =&gt; "品質";</v>
      </c>
      <c r="K22" s="13" t="str">
        <f>'Life Flask'!L8</f>
        <v>퀄리티</v>
      </c>
      <c r="L22" s="11" t="str">
        <f>_xlfn.CONCAT("    public string DescriptionQuality =&gt; """, K22, """;")</f>
        <v xml:space="preserve">    public string DescriptionQuality =&gt; "퀄리티";</v>
      </c>
      <c r="M22" s="13" t="str">
        <f>'Life Flask'!N8</f>
        <v>Qualidade</v>
      </c>
      <c r="N22" s="11" t="str">
        <f>_xlfn.CONCAT("    public string DescriptionQuality =&gt; """, M22, """;")</f>
        <v xml:space="preserve">    public string DescriptionQuality =&gt; "Qualidade";</v>
      </c>
      <c r="O22" s="13" t="str">
        <f>'Life Flask'!P8</f>
        <v>Качество</v>
      </c>
      <c r="P22" s="11" t="str">
        <f>_xlfn.CONCAT("    public string DescriptionQuality =&gt; """, O22, """;")</f>
        <v xml:space="preserve">    public string DescriptionQuality =&gt; "Качество";</v>
      </c>
      <c r="Q22" s="13" t="str">
        <f>'Life Flask'!R8</f>
        <v>ค่าคุณภาพ</v>
      </c>
      <c r="R22" s="11" t="str">
        <f>_xlfn.CONCAT("    public string DescriptionQuality =&gt; """, Q22, """;")</f>
        <v xml:space="preserve">    public string DescriptionQuality =&gt; "ค่าคุณภาพ";</v>
      </c>
      <c r="S22" s="13" t="s">
        <v>7921</v>
      </c>
      <c r="T22" s="11" t="str">
        <f>_xlfn.CONCAT("    public string DescriptionQuality =&gt; """, S22, """;")</f>
        <v xml:space="preserve">    public string DescriptionQuality =&gt; "品質";</v>
      </c>
      <c r="V22" s="1" t="s">
        <v>51</v>
      </c>
    </row>
    <row r="23" spans="1:22" ht="15.95" customHeight="1" x14ac:dyDescent="0.25">
      <c r="A23" s="13" t="str">
        <f>'Divergent Support Gem'!B10</f>
        <v>Alternate Quality</v>
      </c>
      <c r="B23" s="11" t="str">
        <f>_xlfn.CONCAT("    public string DescriptionAlternateQuality =&gt; """, A23, """;")</f>
        <v xml:space="preserve">    public string DescriptionAlternateQuality =&gt; "Alternate Quality";</v>
      </c>
      <c r="C23" s="13" t="str">
        <f>'Divergent Support Gem'!D10</f>
        <v>Alternative Qualität</v>
      </c>
      <c r="D23" s="11" t="str">
        <f>_xlfn.CONCAT("    public string DescriptionAlternateQuality =&gt; """, C23, """;")</f>
        <v xml:space="preserve">    public string DescriptionAlternateQuality =&gt; "Alternative Qualität";</v>
      </c>
      <c r="E23" s="13" t="str">
        <f>'Divergent Support Gem'!F10</f>
        <v>Calidad alternativa</v>
      </c>
      <c r="F23" s="11" t="str">
        <f>_xlfn.CONCAT("    public string DescriptionAlternateQuality =&gt; """, E23, """;")</f>
        <v xml:space="preserve">    public string DescriptionAlternateQuality =&gt; "Calidad alternativa";</v>
      </c>
      <c r="G23" s="13" t="str">
        <f>'Divergent Support Gem'!H10</f>
        <v>Qualité alternative</v>
      </c>
      <c r="H23" s="11" t="str">
        <f>_xlfn.CONCAT("    public string DescriptionAlternateQuality =&gt; """, G23, """;")</f>
        <v xml:space="preserve">    public string DescriptionAlternateQuality =&gt; "Qualité alternative";</v>
      </c>
      <c r="I23" s="13" t="str">
        <f>'Divergent Support Gem'!J10</f>
        <v>代替品質</v>
      </c>
      <c r="J23" s="11" t="str">
        <f>_xlfn.CONCAT("    public string DescriptionAlternateQuality =&gt; """, I23, """;")</f>
        <v xml:space="preserve">    public string DescriptionAlternateQuality =&gt; "代替品質";</v>
      </c>
      <c r="K23" s="13" t="str">
        <f>'Divergent Support Gem'!L10</f>
        <v>대체 퀄리티</v>
      </c>
      <c r="L23" s="11" t="str">
        <f>_xlfn.CONCAT("    public string DescriptionAlternateQuality =&gt; """, K23, """;")</f>
        <v xml:space="preserve">    public string DescriptionAlternateQuality =&gt; "대체 퀄리티";</v>
      </c>
      <c r="M23" s="13" t="str">
        <f>'Divergent Support Gem'!N10</f>
        <v>Qualidade Alternativa</v>
      </c>
      <c r="N23" s="11" t="str">
        <f>_xlfn.CONCAT("    public string DescriptionAlternateQuality =&gt; """, M23, """;")</f>
        <v xml:space="preserve">    public string DescriptionAlternateQuality =&gt; "Qualidade Alternativa";</v>
      </c>
      <c r="O23" s="13" t="str">
        <f>'Divergent Support Gem'!P10</f>
        <v>Изменённый эффект качества</v>
      </c>
      <c r="P23" s="11" t="str">
        <f>_xlfn.CONCAT("    public string DescriptionAlternateQuality =&gt; """, O23, """;")</f>
        <v xml:space="preserve">    public string DescriptionAlternateQuality =&gt; "Изменённый эффект качества";</v>
      </c>
      <c r="Q23" s="13" t="str">
        <f>'Divergent Support Gem'!R10</f>
        <v>ค่าคุณภาพแบบพิเศษ</v>
      </c>
      <c r="R23" s="11" t="str">
        <f>_xlfn.CONCAT("    public string DescriptionAlternateQuality =&gt; """, Q23, """;")</f>
        <v xml:space="preserve">    public string DescriptionAlternateQuality =&gt; "ค่าคุณภาพแบบพิเศษ";</v>
      </c>
      <c r="S23" s="13" t="s">
        <v>7922</v>
      </c>
      <c r="T23" s="11" t="str">
        <f>_xlfn.CONCAT("    public string DescriptionAlternateQuality =&gt; """, S23, """;")</f>
        <v xml:space="preserve">    public string DescriptionAlternateQuality =&gt; "替代品質";</v>
      </c>
      <c r="V23" s="1" t="s">
        <v>572</v>
      </c>
    </row>
    <row r="24" spans="1:22" ht="15.95" customHeight="1" x14ac:dyDescent="0.25">
      <c r="A24" s="13" t="str">
        <f>'Phantasmal Gem'!B8</f>
        <v>Level</v>
      </c>
      <c r="B24" s="11" t="str">
        <f>_xlfn.CONCAT("    public string DescriptionLevel =&gt; """, A24, """;")</f>
        <v xml:space="preserve">    public string DescriptionLevel =&gt; "Level";</v>
      </c>
      <c r="C24" s="13" t="str">
        <f>'Phantasmal Gem'!D8</f>
        <v>Stufe</v>
      </c>
      <c r="D24" s="11" t="str">
        <f>_xlfn.CONCAT("    public string DescriptionLevel =&gt; """, C24, """;")</f>
        <v xml:space="preserve">    public string DescriptionLevel =&gt; "Stufe";</v>
      </c>
      <c r="E24" s="13" t="str">
        <f>'Phantasmal Gem'!F8</f>
        <v>16</v>
      </c>
      <c r="F24" s="11" t="str">
        <f>_xlfn.CONCAT("    public string DescriptionLevel =&gt; """, E24, """;")</f>
        <v xml:space="preserve">    public string DescriptionLevel =&gt; "16";</v>
      </c>
      <c r="G24" s="13" t="str">
        <f>'Phantasmal Gem'!H8</f>
        <v>Niveau</v>
      </c>
      <c r="H24" s="11" t="str">
        <f>_xlfn.CONCAT("    public string DescriptionLevel =&gt; """, G24, """;")</f>
        <v xml:space="preserve">    public string DescriptionLevel =&gt; "Niveau";</v>
      </c>
      <c r="I24" s="13" t="str">
        <f>'Phantasmal Gem'!J8</f>
        <v>レベル</v>
      </c>
      <c r="J24" s="11" t="str">
        <f>_xlfn.CONCAT("    public string DescriptionLevel =&gt; """, I24, """;")</f>
        <v xml:space="preserve">    public string DescriptionLevel =&gt; "レベル";</v>
      </c>
      <c r="K24" s="13" t="str">
        <f>'Phantasmal Gem'!L8</f>
        <v>레벨</v>
      </c>
      <c r="L24" s="11" t="str">
        <f>_xlfn.CONCAT("    public string DescriptionLevel =&gt; """, K24, """;")</f>
        <v xml:space="preserve">    public string DescriptionLevel =&gt; "레벨";</v>
      </c>
      <c r="M24" s="13" t="str">
        <f>'Phantasmal Gem'!N8</f>
        <v>Nível</v>
      </c>
      <c r="N24" s="11" t="str">
        <f>_xlfn.CONCAT("    public string DescriptionLevel =&gt; """, M24, """;")</f>
        <v xml:space="preserve">    public string DescriptionLevel =&gt; "Nível";</v>
      </c>
      <c r="O24" s="13" t="str">
        <f>'Phantasmal Gem'!P8</f>
        <v>Уровень</v>
      </c>
      <c r="P24" s="11" t="str">
        <f>_xlfn.CONCAT("    public string DescriptionLevel =&gt; """, O24, """;")</f>
        <v xml:space="preserve">    public string DescriptionLevel =&gt; "Уровень";</v>
      </c>
      <c r="Q24" s="13" t="str">
        <f>'Phantasmal Gem'!R8</f>
        <v>เลเวล</v>
      </c>
      <c r="R24" s="11" t="str">
        <f>_xlfn.CONCAT("    public string DescriptionLevel =&gt; """, Q24, """;")</f>
        <v xml:space="preserve">    public string DescriptionLevel =&gt; "เลเวล";</v>
      </c>
      <c r="S24" s="13" t="s">
        <v>7925</v>
      </c>
      <c r="T24" s="11" t="str">
        <f>_xlfn.CONCAT("    public string DescriptionLevel =&gt; """, S24, """;")</f>
        <v xml:space="preserve">    public string DescriptionLevel =&gt; "物品等級";</v>
      </c>
      <c r="V24" s="1" t="s">
        <v>52</v>
      </c>
    </row>
    <row r="25" spans="1:22" ht="15.95" customHeight="1" x14ac:dyDescent="0.25">
      <c r="A25" s="13" t="str">
        <f>'Anomalous Gem'!B27</f>
        <v>Corrupted</v>
      </c>
      <c r="B25" s="11" t="str">
        <f>_xlfn.CONCAT("    public string DescriptionCorrupted =&gt; """, A25, """;")</f>
        <v xml:space="preserve">    public string DescriptionCorrupted =&gt; "Corrupted";</v>
      </c>
      <c r="C25" s="13" t="str">
        <f>'Anomalous Gem'!D27</f>
        <v>Verderbt</v>
      </c>
      <c r="D25" s="11" t="str">
        <f>_xlfn.CONCAT("    public string DescriptionCorrupted =&gt; """, C25, """;")</f>
        <v xml:space="preserve">    public string DescriptionCorrupted =&gt; "Verderbt";</v>
      </c>
      <c r="E25" s="13" t="str">
        <f>'Anomalous Gem'!F27</f>
        <v>Corrupto</v>
      </c>
      <c r="F25" s="11" t="str">
        <f>_xlfn.CONCAT("    public string DescriptionCorrupted =&gt; """, E25, """;")</f>
        <v xml:space="preserve">    public string DescriptionCorrupted =&gt; "Corrupto";</v>
      </c>
      <c r="G25" s="13" t="str">
        <f>'Anomalous Gem'!H27</f>
        <v>Corrompu</v>
      </c>
      <c r="H25" s="11" t="str">
        <f>_xlfn.CONCAT("    public string DescriptionCorrupted =&gt; """, G25, """;")</f>
        <v xml:space="preserve">    public string DescriptionCorrupted =&gt; "Corrompu";</v>
      </c>
      <c r="I25" s="13" t="str">
        <f>'Anomalous Gem'!J27</f>
        <v>コラプト状態</v>
      </c>
      <c r="J25" s="11" t="str">
        <f>_xlfn.CONCAT("    public string DescriptionCorrupted =&gt; """, I25, """;")</f>
        <v xml:space="preserve">    public string DescriptionCorrupted =&gt; "コラプト状態";</v>
      </c>
      <c r="K25" s="13" t="str">
        <f>'Anomalous Gem'!L27</f>
        <v>타락</v>
      </c>
      <c r="L25" s="11" t="str">
        <f>_xlfn.CONCAT("    public string DescriptionCorrupted =&gt; """, K25, """;")</f>
        <v xml:space="preserve">    public string DescriptionCorrupted =&gt; "타락";</v>
      </c>
      <c r="M25" s="13" t="str">
        <f>'Anomalous Gem'!N27</f>
        <v>Corrompido</v>
      </c>
      <c r="N25" s="11" t="str">
        <f>_xlfn.CONCAT("    public string DescriptionCorrupted =&gt; """, M25, """;")</f>
        <v xml:space="preserve">    public string DescriptionCorrupted =&gt; "Corrompido";</v>
      </c>
      <c r="O25" s="13" t="str">
        <f>'Anomalous Gem'!P27</f>
        <v>Осквернено</v>
      </c>
      <c r="P25" s="11" t="str">
        <f>_xlfn.CONCAT("    public string DescriptionCorrupted =&gt; """, O25, """;")</f>
        <v xml:space="preserve">    public string DescriptionCorrupted =&gt; "Осквернено";</v>
      </c>
      <c r="Q25" s="13" t="str">
        <f>'Anomalous Gem'!R27</f>
        <v>มีมลทิน</v>
      </c>
      <c r="R25" s="11" t="str">
        <f>_xlfn.CONCAT("    public string DescriptionCorrupted =&gt; """, Q25, """;")</f>
        <v xml:space="preserve">    public string DescriptionCorrupted =&gt; "มีมลทิน";</v>
      </c>
      <c r="S25" s="13" t="s">
        <v>7923</v>
      </c>
      <c r="T25" s="11" t="str">
        <f>_xlfn.CONCAT("    public string DescriptionCorrupted =&gt; """, S25, """;")</f>
        <v xml:space="preserve">    public string DescriptionCorrupted =&gt; "已汙染";</v>
      </c>
      <c r="V25" s="1" t="s">
        <v>53</v>
      </c>
    </row>
    <row r="26" spans="1:22" ht="15.95" customHeight="1" x14ac:dyDescent="0.25">
      <c r="A26" s="13" t="str">
        <f>'White Wind'!B20</f>
        <v>Sockets</v>
      </c>
      <c r="B26" s="11" t="str">
        <f>_xlfn.CONCAT("    public string DescriptionSockets =&gt; """, A26, """;")</f>
        <v xml:space="preserve">    public string DescriptionSockets =&gt; "Sockets";</v>
      </c>
      <c r="C26" s="13" t="str">
        <f>'White Wind'!D20</f>
        <v>Fassungen</v>
      </c>
      <c r="D26" s="11" t="str">
        <f>_xlfn.CONCAT("    public string DescriptionSockets =&gt; """, C26, """;")</f>
        <v xml:space="preserve">    public string DescriptionSockets =&gt; "Fassungen";</v>
      </c>
      <c r="E26" s="13" t="str">
        <f>'White Wind'!F20</f>
        <v>Engarces</v>
      </c>
      <c r="F26" s="11" t="str">
        <f>_xlfn.CONCAT("    public string DescriptionSockets =&gt; """, E26, """;")</f>
        <v xml:space="preserve">    public string DescriptionSockets =&gt; "Engarces";</v>
      </c>
      <c r="G26" s="13" t="str">
        <f>'White Wind'!H20</f>
        <v>Châsses</v>
      </c>
      <c r="H26" s="11" t="str">
        <f>_xlfn.CONCAT("    public string DescriptionSockets =&gt; """, G26, """;")</f>
        <v xml:space="preserve">    public string DescriptionSockets =&gt; "Châsses";</v>
      </c>
      <c r="I26" s="13" t="str">
        <f>'White Wind'!J20</f>
        <v>ソケット</v>
      </c>
      <c r="J26" s="11" t="str">
        <f>_xlfn.CONCAT("    public string DescriptionSockets =&gt; """, I26, """;")</f>
        <v xml:space="preserve">    public string DescriptionSockets =&gt; "ソケット";</v>
      </c>
      <c r="K26" s="13" t="str">
        <f>'White Wind'!L20</f>
        <v>홈</v>
      </c>
      <c r="L26" s="11" t="str">
        <f>_xlfn.CONCAT("    public string DescriptionSockets =&gt; """, K26, """;")</f>
        <v xml:space="preserve">    public string DescriptionSockets =&gt; "홈";</v>
      </c>
      <c r="M26" s="13" t="str">
        <f>'White Wind'!N20</f>
        <v>Encaixes</v>
      </c>
      <c r="N26" s="11" t="str">
        <f>_xlfn.CONCAT("    public string DescriptionSockets =&gt; """, M26, """;")</f>
        <v xml:space="preserve">    public string DescriptionSockets =&gt; "Encaixes";</v>
      </c>
      <c r="O26" s="13" t="str">
        <f>'White Wind'!P20</f>
        <v>Гнезда</v>
      </c>
      <c r="P26" s="11" t="str">
        <f>_xlfn.CONCAT("    public string DescriptionSockets =&gt; """, O26, """;")</f>
        <v xml:space="preserve">    public string DescriptionSockets =&gt; "Гнезда";</v>
      </c>
      <c r="Q26" s="13" t="str">
        <f>'White Wind'!R20</f>
        <v>รู</v>
      </c>
      <c r="R26" s="11" t="str">
        <f>_xlfn.CONCAT("    public string DescriptionSockets =&gt; """, Q26, """;")</f>
        <v xml:space="preserve">    public string DescriptionSockets =&gt; "รู";</v>
      </c>
      <c r="S26" s="13" t="s">
        <v>7924</v>
      </c>
      <c r="T26" s="11" t="str">
        <f>_xlfn.CONCAT("    public string DescriptionSockets =&gt; """, S26, """;")</f>
        <v xml:space="preserve">    public string DescriptionSockets =&gt; "插槽";</v>
      </c>
      <c r="V26" s="1" t="s">
        <v>54</v>
      </c>
    </row>
    <row r="27" spans="1:22" ht="15.95" customHeight="1" x14ac:dyDescent="0.25">
      <c r="A27" s="13" t="str">
        <f>'White Wind'!B22</f>
        <v>Item Level</v>
      </c>
      <c r="B27" s="11" t="str">
        <f>_xlfn.CONCAT("    public string DescriptionItemLevel =&gt; """, A27, """;")</f>
        <v xml:space="preserve">    public string DescriptionItemLevel =&gt; "Item Level";</v>
      </c>
      <c r="C27" s="13" t="str">
        <f>'White Wind'!D22</f>
        <v>Gegenstandsstufe</v>
      </c>
      <c r="D27" s="11" t="str">
        <f>_xlfn.CONCAT("    public string DescriptionItemLevel =&gt; """, C27, """;")</f>
        <v xml:space="preserve">    public string DescriptionItemLevel =&gt; "Gegenstandsstufe";</v>
      </c>
      <c r="E27" s="13" t="str">
        <f>'White Wind'!F22</f>
        <v>Nivel de objeto</v>
      </c>
      <c r="F27" s="11" t="str">
        <f>_xlfn.CONCAT("    public string DescriptionItemLevel =&gt; """, E27, """;")</f>
        <v xml:space="preserve">    public string DescriptionItemLevel =&gt; "Nivel de objeto";</v>
      </c>
      <c r="G27" s="13" t="str">
        <f>'White Wind'!H22</f>
        <v>Niveau de l'objet</v>
      </c>
      <c r="H27" s="11" t="str">
        <f>_xlfn.CONCAT("    public string DescriptionItemLevel =&gt; """, G27, """;")</f>
        <v xml:space="preserve">    public string DescriptionItemLevel =&gt; "Niveau de l'objet";</v>
      </c>
      <c r="I27" s="13" t="str">
        <f>'White Wind'!J22</f>
        <v>アイテムレベル</v>
      </c>
      <c r="J27" s="11" t="str">
        <f>_xlfn.CONCAT("    public string DescriptionItemLevel =&gt; """, I27, """;")</f>
        <v xml:space="preserve">    public string DescriptionItemLevel =&gt; "アイテムレベル";</v>
      </c>
      <c r="K27" s="13" t="str">
        <f>'White Wind'!L22</f>
        <v>아이템 레벨</v>
      </c>
      <c r="L27" s="11" t="str">
        <f>_xlfn.CONCAT("    public string DescriptionItemLevel =&gt; """, K27, """;")</f>
        <v xml:space="preserve">    public string DescriptionItemLevel =&gt; "아이템 레벨";</v>
      </c>
      <c r="M27" s="13" t="str">
        <f>'White Wind'!N22</f>
        <v>Nível do Item</v>
      </c>
      <c r="N27" s="11" t="str">
        <f>_xlfn.CONCAT("    public string DescriptionItemLevel =&gt; """, M27, """;")</f>
        <v xml:space="preserve">    public string DescriptionItemLevel =&gt; "Nível do Item";</v>
      </c>
      <c r="O27" s="13" t="str">
        <f>'White Wind'!P22</f>
        <v>Уровень предмета</v>
      </c>
      <c r="P27" s="11" t="str">
        <f>_xlfn.CONCAT("    public string DescriptionItemLevel =&gt; """, O27, """;")</f>
        <v xml:space="preserve">    public string DescriptionItemLevel =&gt; "Уровень предмета";</v>
      </c>
      <c r="Q27" s="13" t="str">
        <f>'White Wind'!R22</f>
        <v>เลเวลไอเทม</v>
      </c>
      <c r="R27" s="11" t="str">
        <f>_xlfn.CONCAT("    public string DescriptionItemLevel =&gt; """, Q27, """;")</f>
        <v xml:space="preserve">    public string DescriptionItemLevel =&gt; "เลเวลไอเทม";</v>
      </c>
      <c r="S27" s="13" t="s">
        <v>7925</v>
      </c>
      <c r="T27" s="11" t="str">
        <f>_xlfn.CONCAT("    public string DescriptionItemLevel =&gt; """, S27, """;")</f>
        <v xml:space="preserve">    public string DescriptionItemLevel =&gt; "物品等級";</v>
      </c>
      <c r="V27" s="1" t="s">
        <v>60</v>
      </c>
    </row>
    <row r="28" spans="1:22" ht="15.95" customHeight="1" x14ac:dyDescent="0.25">
      <c r="A28" s="13" t="str">
        <f>'Phantasmal Gem'!B28</f>
        <v>Experience</v>
      </c>
      <c r="B28" s="11" t="str">
        <f>_xlfn.CONCAT("    public string DescriptionExperience =&gt; """, A28, """;")</f>
        <v xml:space="preserve">    public string DescriptionExperience =&gt; "Experience";</v>
      </c>
      <c r="C28" s="13" t="str">
        <f>'Phantasmal Gem'!D28</f>
        <v>Erfahrung</v>
      </c>
      <c r="D28" s="11" t="str">
        <f>_xlfn.CONCAT("    public string DescriptionExperience =&gt; """, C28, """;")</f>
        <v xml:space="preserve">    public string DescriptionExperience =&gt; "Erfahrung";</v>
      </c>
      <c r="E28" s="13" t="str">
        <f>'Phantasmal Gem'!F28</f>
        <v>Experiencia</v>
      </c>
      <c r="F28" s="11" t="str">
        <f>_xlfn.CONCAT("    public string DescriptionExperience =&gt; """, E28, """;")</f>
        <v xml:space="preserve">    public string DescriptionExperience =&gt; "Experiencia";</v>
      </c>
      <c r="G28" s="13" t="str">
        <f>'Phantasmal Gem'!H28</f>
        <v>Expérience</v>
      </c>
      <c r="H28" s="11" t="str">
        <f>_xlfn.CONCAT("    public string DescriptionExperience =&gt; """, G28, """;")</f>
        <v xml:space="preserve">    public string DescriptionExperience =&gt; "Expérience";</v>
      </c>
      <c r="I28" s="13" t="str">
        <f>'Phantasmal Gem'!J28</f>
        <v>経験値</v>
      </c>
      <c r="J28" s="11" t="str">
        <f>_xlfn.CONCAT("    public string DescriptionExperience =&gt; """, I28, """;")</f>
        <v xml:space="preserve">    public string DescriptionExperience =&gt; "経験値";</v>
      </c>
      <c r="K28" s="13" t="str">
        <f>'Phantasmal Gem'!L28</f>
        <v>경험치</v>
      </c>
      <c r="L28" s="11" t="str">
        <f>_xlfn.CONCAT("    public string DescriptionExperience =&gt; """, K28, """;")</f>
        <v xml:space="preserve">    public string DescriptionExperience =&gt; "경험치";</v>
      </c>
      <c r="M28" s="13" t="str">
        <f>'Phantasmal Gem'!N28</f>
        <v>Experiência</v>
      </c>
      <c r="N28" s="11" t="str">
        <f>_xlfn.CONCAT("    public string DescriptionExperience =&gt; """, M28, """;")</f>
        <v xml:space="preserve">    public string DescriptionExperience =&gt; "Experiência";</v>
      </c>
      <c r="O28" s="13" t="str">
        <f>'Phantasmal Gem'!P28</f>
        <v>Опыт</v>
      </c>
      <c r="P28" s="11" t="str">
        <f>_xlfn.CONCAT("    public string DescriptionExperience =&gt; """, O28, """;")</f>
        <v xml:space="preserve">    public string DescriptionExperience =&gt; "Опыт";</v>
      </c>
      <c r="Q28" s="13" t="str">
        <f>'Phantasmal Gem'!R28</f>
        <v>ค่าประสบการณ์</v>
      </c>
      <c r="R28" s="11" t="str">
        <f>_xlfn.CONCAT("    public string DescriptionExperience =&gt; """, Q28, """;")</f>
        <v xml:space="preserve">    public string DescriptionExperience =&gt; "ค่าประสบการณ์";</v>
      </c>
      <c r="S28" s="13" t="s">
        <v>7926</v>
      </c>
      <c r="T28" s="11" t="str">
        <f>_xlfn.CONCAT("    public string DescriptionExperience =&gt; """, S28, """;")</f>
        <v xml:space="preserve">    public string DescriptionExperience =&gt; "經驗值";</v>
      </c>
      <c r="V28" s="1" t="s">
        <v>55</v>
      </c>
    </row>
    <row r="29" spans="1:22" ht="15.95" customHeight="1" x14ac:dyDescent="0.25">
      <c r="A29" s="13" t="str">
        <f>'White Wind'!B9</f>
        <v>Physical Damage</v>
      </c>
      <c r="B29" s="11" t="str">
        <f>_xlfn.CONCAT("    public string DescriptionPhysicalDamage =&gt; """, A29, """;")</f>
        <v xml:space="preserve">    public string DescriptionPhysicalDamage =&gt; "Physical Damage";</v>
      </c>
      <c r="C29" s="13" t="str">
        <f>'White Wind'!D9</f>
        <v>Physischer Schaden</v>
      </c>
      <c r="D29" s="11" t="str">
        <f>_xlfn.CONCAT("    public string DescriptionPhysicalDamage =&gt; """, C29, """;")</f>
        <v xml:space="preserve">    public string DescriptionPhysicalDamage =&gt; "Physischer Schaden";</v>
      </c>
      <c r="E29" s="13" t="str">
        <f>'White Wind'!F9</f>
        <v>Daño físico</v>
      </c>
      <c r="F29" s="11" t="str">
        <f>_xlfn.CONCAT("    public string DescriptionPhysicalDamage =&gt; """, E29, """;")</f>
        <v xml:space="preserve">    public string DescriptionPhysicalDamage =&gt; "Daño físico";</v>
      </c>
      <c r="G29" s="13" t="str">
        <f>'White Wind'!H9</f>
        <v>Dégâts physiques</v>
      </c>
      <c r="H29" s="11" t="str">
        <f>_xlfn.CONCAT("    public string DescriptionPhysicalDamage =&gt; """, G29, """;")</f>
        <v xml:space="preserve">    public string DescriptionPhysicalDamage =&gt; "Dégâts physiques";</v>
      </c>
      <c r="I29" s="13" t="str">
        <f>'White Wind'!J9</f>
        <v>物理ダメージ</v>
      </c>
      <c r="J29" s="11" t="str">
        <f>_xlfn.CONCAT("    public string DescriptionPhysicalDamage =&gt; """, I29, """;")</f>
        <v xml:space="preserve">    public string DescriptionPhysicalDamage =&gt; "物理ダメージ";</v>
      </c>
      <c r="K29" s="13" t="str">
        <f>'White Wind'!L9</f>
        <v>물리 피해</v>
      </c>
      <c r="L29" s="11" t="str">
        <f>_xlfn.CONCAT("    public string DescriptionPhysicalDamage =&gt; """, K29, """;")</f>
        <v xml:space="preserve">    public string DescriptionPhysicalDamage =&gt; "물리 피해";</v>
      </c>
      <c r="M29" s="13" t="str">
        <f>'White Wind'!N9</f>
        <v>Dano Físico</v>
      </c>
      <c r="N29" s="11" t="str">
        <f>_xlfn.CONCAT("    public string DescriptionPhysicalDamage =&gt; """, M29, """;")</f>
        <v xml:space="preserve">    public string DescriptionPhysicalDamage =&gt; "Dano Físico";</v>
      </c>
      <c r="O29" s="13" t="str">
        <f>'White Wind'!P9</f>
        <v>Физический урон</v>
      </c>
      <c r="P29" s="11" t="str">
        <f>_xlfn.CONCAT("    public string DescriptionPhysicalDamage =&gt; """, O29, """;")</f>
        <v xml:space="preserve">    public string DescriptionPhysicalDamage =&gt; "Физический урон";</v>
      </c>
      <c r="Q29" s="13" t="str">
        <f>'White Wind'!R9</f>
        <v>ความเสียหายกายภาพ</v>
      </c>
      <c r="R29" s="11" t="str">
        <f>_xlfn.CONCAT("    public string DescriptionPhysicalDamage =&gt; """, Q29, """;")</f>
        <v xml:space="preserve">    public string DescriptionPhysicalDamage =&gt; "ความเสียหายกายภาพ";</v>
      </c>
      <c r="S29" s="13" t="s">
        <v>7927</v>
      </c>
      <c r="T29" s="11" t="str">
        <f>_xlfn.CONCAT("    public string DescriptionPhysicalDamage =&gt; """, S29, """;")</f>
        <v xml:space="preserve">    public string DescriptionPhysicalDamage =&gt; "物理傷害";</v>
      </c>
      <c r="V29" s="1" t="s">
        <v>61</v>
      </c>
    </row>
    <row r="30" spans="1:22" ht="15.95" customHeight="1" x14ac:dyDescent="0.25">
      <c r="A30" s="13" t="str">
        <f>'White Wind'!B10</f>
        <v>Elemental Damage</v>
      </c>
      <c r="B30" s="11" t="str">
        <f>_xlfn.CONCAT("    public string DescriptionElementalDamage =&gt; """, A30, """;")</f>
        <v xml:space="preserve">    public string DescriptionElementalDamage =&gt; "Elemental Damage";</v>
      </c>
      <c r="C30" s="13" t="str">
        <f>'White Wind'!D10</f>
        <v>Elementarschaden</v>
      </c>
      <c r="D30" s="11" t="str">
        <f>_xlfn.CONCAT("    public string DescriptionElementalDamage =&gt; """, C30, """;")</f>
        <v xml:space="preserve">    public string DescriptionElementalDamage =&gt; "Elementarschaden";</v>
      </c>
      <c r="E30" s="13" t="str">
        <f>'White Wind'!F10</f>
        <v>Daño elemental</v>
      </c>
      <c r="F30" s="11" t="str">
        <f>_xlfn.CONCAT("    public string DescriptionElementalDamage =&gt; """, E30, """;")</f>
        <v xml:space="preserve">    public string DescriptionElementalDamage =&gt; "Daño elemental";</v>
      </c>
      <c r="G30" s="13" t="str">
        <f>'White Wind'!H10</f>
        <v>Dégâts élémentaires</v>
      </c>
      <c r="H30" s="11" t="str">
        <f>_xlfn.CONCAT("    public string DescriptionElementalDamage =&gt; """, G30, """;")</f>
        <v xml:space="preserve">    public string DescriptionElementalDamage =&gt; "Dégâts élémentaires";</v>
      </c>
      <c r="I30" s="13" t="str">
        <f>'White Wind'!J10</f>
        <v>元素ダメージ</v>
      </c>
      <c r="J30" s="11" t="str">
        <f>_xlfn.CONCAT("    public string DescriptionElementalDamage =&gt; """, I30, """;")</f>
        <v xml:space="preserve">    public string DescriptionElementalDamage =&gt; "元素ダメージ";</v>
      </c>
      <c r="K30" s="13" t="str">
        <f>'White Wind'!L10</f>
        <v>원소 피해</v>
      </c>
      <c r="L30" s="11" t="str">
        <f>_xlfn.CONCAT("    public string DescriptionElementalDamage =&gt; """, K30, """;")</f>
        <v xml:space="preserve">    public string DescriptionElementalDamage =&gt; "원소 피해";</v>
      </c>
      <c r="M30" s="13" t="str">
        <f>'White Wind'!N10</f>
        <v>Dano Elemental</v>
      </c>
      <c r="N30" s="11" t="str">
        <f>_xlfn.CONCAT("    public string DescriptionElementalDamage =&gt; """, M30, """;")</f>
        <v xml:space="preserve">    public string DescriptionElementalDamage =&gt; "Dano Elemental";</v>
      </c>
      <c r="O30" s="13" t="str">
        <f>'White Wind'!P10</f>
        <v>Урон от стихий</v>
      </c>
      <c r="P30" s="11" t="str">
        <f>_xlfn.CONCAT("    public string DescriptionElementalDamage =&gt; """, O30, """;")</f>
        <v xml:space="preserve">    public string DescriptionElementalDamage =&gt; "Урон от стихий";</v>
      </c>
      <c r="Q30" s="13" t="str">
        <f>'White Wind'!R10</f>
        <v>ความเสียหายธาตุ</v>
      </c>
      <c r="R30" s="11" t="str">
        <f>_xlfn.CONCAT("    public string DescriptionElementalDamage =&gt; """, Q30, """;")</f>
        <v xml:space="preserve">    public string DescriptionElementalDamage =&gt; "ความเสียหายธาตุ";</v>
      </c>
      <c r="S30" s="13" t="s">
        <v>7928</v>
      </c>
      <c r="T30" s="11" t="str">
        <f>_xlfn.CONCAT("    public string DescriptionElementalDamage =&gt; """, S30, """;")</f>
        <v xml:space="preserve">    public string DescriptionElementalDamage =&gt; "元素傷害";</v>
      </c>
      <c r="V30" s="1" t="s">
        <v>62</v>
      </c>
    </row>
    <row r="31" spans="1:22" ht="15.95" customHeight="1" x14ac:dyDescent="0.25">
      <c r="A31" s="13" t="str">
        <f>'Fire Damage Property'!B8</f>
        <v>Fire Damage</v>
      </c>
      <c r="B31" s="11" t="str">
        <f>_xlfn.CONCAT("    public string DescriptionFireDamage =&gt; """, A31, """;")</f>
        <v xml:space="preserve">    public string DescriptionFireDamage =&gt; "Fire Damage";</v>
      </c>
      <c r="C31" s="13" t="str">
        <f>'Fire Damage Property'!D8</f>
        <v>Feuerschaden</v>
      </c>
      <c r="D31" s="11" t="str">
        <f>_xlfn.CONCAT("    public string DescriptionFireDamage =&gt; """, C31, """;")</f>
        <v xml:space="preserve">    public string DescriptionFireDamage =&gt; "Feuerschaden";</v>
      </c>
      <c r="E31" s="13" t="str">
        <f>'Fire Damage Property'!F8</f>
        <v>Daño de fuego</v>
      </c>
      <c r="F31" s="11" t="str">
        <f>_xlfn.CONCAT("    public string DescriptionFireDamage =&gt; """, E31, """;")</f>
        <v xml:space="preserve">    public string DescriptionFireDamage =&gt; "Daño de fuego";</v>
      </c>
      <c r="G31" s="13" t="str">
        <f>'Fire Damage Property'!H8</f>
        <v>Dégâts de feu</v>
      </c>
      <c r="H31" s="11" t="str">
        <f>_xlfn.CONCAT("    public string DescriptionFireDamage =&gt; """, G31, """;")</f>
        <v xml:space="preserve">    public string DescriptionFireDamage =&gt; "Dégâts de feu";</v>
      </c>
      <c r="I31" s="13" t="str">
        <f>'Fire Damage Property'!J8</f>
        <v>火ダメージ</v>
      </c>
      <c r="J31" s="11" t="str">
        <f>_xlfn.CONCAT("    public string DescriptionFireDamage =&gt; """, I31, """;")</f>
        <v xml:space="preserve">    public string DescriptionFireDamage =&gt; "火ダメージ";</v>
      </c>
      <c r="K31" s="13" t="str">
        <f>'Fire Damage Property'!L8</f>
        <v>화염 피해</v>
      </c>
      <c r="L31" s="11" t="str">
        <f>_xlfn.CONCAT("    public string DescriptionFireDamage =&gt; """, K31, """;")</f>
        <v xml:space="preserve">    public string DescriptionFireDamage =&gt; "화염 피해";</v>
      </c>
      <c r="M31" s="13" t="str">
        <f>'Fire Damage Property'!N8</f>
        <v>Dano de Fogo</v>
      </c>
      <c r="N31" s="11" t="str">
        <f>_xlfn.CONCAT("    public string DescriptionFireDamage =&gt; """, M31, """;")</f>
        <v xml:space="preserve">    public string DescriptionFireDamage =&gt; "Dano de Fogo";</v>
      </c>
      <c r="O31" s="13" t="str">
        <f>'Fire Damage Property'!P8</f>
        <v>Урон от огня</v>
      </c>
      <c r="P31" s="11" t="str">
        <f>_xlfn.CONCAT("    public string DescriptionFireDamage =&gt; """, O31, """;")</f>
        <v xml:space="preserve">    public string DescriptionFireDamage =&gt; "Урон от огня";</v>
      </c>
      <c r="Q31" s="13" t="str">
        <f>'Fire Damage Property'!R8</f>
        <v>ความเสียหายไฟ</v>
      </c>
      <c r="R31" s="11" t="str">
        <f>_xlfn.CONCAT("    public string DescriptionFireDamage =&gt; """, Q31, """;")</f>
        <v xml:space="preserve">    public string DescriptionFireDamage =&gt; "ความเสียหายไฟ";</v>
      </c>
      <c r="S31" s="13" t="str">
        <f>'Fire Damage Property'!T8</f>
        <v>火焰傷害</v>
      </c>
      <c r="T31" s="11" t="str">
        <f>_xlfn.CONCAT("    public string DescriptionFireDamage =&gt; """, S31, """;")</f>
        <v xml:space="preserve">    public string DescriptionFireDamage =&gt; "火焰傷害";</v>
      </c>
      <c r="V31" s="1" t="s">
        <v>7043</v>
      </c>
    </row>
    <row r="32" spans="1:22" ht="15.95" customHeight="1" x14ac:dyDescent="0.25">
      <c r="A32" s="13" t="str">
        <f>'Cold Damage Property'!B8</f>
        <v>Cold Damage</v>
      </c>
      <c r="B32" s="11" t="str">
        <f>_xlfn.CONCAT("    public string DescriptionColdDamage =&gt; """, A32, """;")</f>
        <v xml:space="preserve">    public string DescriptionColdDamage =&gt; "Cold Damage";</v>
      </c>
      <c r="C32" s="13" t="str">
        <f>'Cold Damage Property'!D8</f>
        <v>Kälteschaden</v>
      </c>
      <c r="D32" s="11" t="str">
        <f>_xlfn.CONCAT("    public string DescriptionColdDamage =&gt; """, C32, """;")</f>
        <v xml:space="preserve">    public string DescriptionColdDamage =&gt; "Kälteschaden";</v>
      </c>
      <c r="E32" s="13" t="str">
        <f>'Cold Damage Property'!F8</f>
        <v>Daño de hielo</v>
      </c>
      <c r="F32" s="11" t="str">
        <f>_xlfn.CONCAT("    public string DescriptionColdDamage =&gt; """, E32, """;")</f>
        <v xml:space="preserve">    public string DescriptionColdDamage =&gt; "Daño de hielo";</v>
      </c>
      <c r="G32" s="13" t="str">
        <f>'Cold Damage Property'!H8</f>
        <v>Dégâts de froid</v>
      </c>
      <c r="H32" s="11" t="str">
        <f>_xlfn.CONCAT("    public string DescriptionColdDamage =&gt; """, G32, """;")</f>
        <v xml:space="preserve">    public string DescriptionColdDamage =&gt; "Dégâts de froid";</v>
      </c>
      <c r="I32" s="13" t="str">
        <f>'Cold Damage Property'!J8</f>
        <v>冷気ダメージ</v>
      </c>
      <c r="J32" s="11" t="str">
        <f>_xlfn.CONCAT("    public string DescriptionColdDamage =&gt; """, I32, """;")</f>
        <v xml:space="preserve">    public string DescriptionColdDamage =&gt; "冷気ダメージ";</v>
      </c>
      <c r="K32" s="13" t="str">
        <f>'Cold Damage Property'!L8</f>
        <v>냉기 피해</v>
      </c>
      <c r="L32" s="11" t="str">
        <f>_xlfn.CONCAT("    public string DescriptionColdDamage =&gt; """, K32, """;")</f>
        <v xml:space="preserve">    public string DescriptionColdDamage =&gt; "냉기 피해";</v>
      </c>
      <c r="M32" s="13" t="str">
        <f>'Cold Damage Property'!N8</f>
        <v>Dano de Gelo</v>
      </c>
      <c r="N32" s="11" t="str">
        <f>_xlfn.CONCAT("    public string DescriptionColdDamage =&gt; """, M32, """;")</f>
        <v xml:space="preserve">    public string DescriptionColdDamage =&gt; "Dano de Gelo";</v>
      </c>
      <c r="O32" s="13" t="str">
        <f>'Cold Damage Property'!P8</f>
        <v>Урон от холода</v>
      </c>
      <c r="P32" s="11" t="str">
        <f>_xlfn.CONCAT("    public string DescriptionColdDamage =&gt; """, O32, """;")</f>
        <v xml:space="preserve">    public string DescriptionColdDamage =&gt; "Урон от холода";</v>
      </c>
      <c r="Q32" s="13" t="str">
        <f>'Cold Damage Property'!R8</f>
        <v>ความเสียหายน้ำแข็ง</v>
      </c>
      <c r="R32" s="11" t="str">
        <f>_xlfn.CONCAT("    public string DescriptionColdDamage =&gt; """, Q32, """;")</f>
        <v xml:space="preserve">    public string DescriptionColdDamage =&gt; "ความเสียหายน้ำแข็ง";</v>
      </c>
      <c r="S32" s="13" t="str">
        <f>'Cold Damage Property'!T8</f>
        <v>冰冷傷害</v>
      </c>
      <c r="T32" s="11" t="str">
        <f>_xlfn.CONCAT("    public string DescriptionColdDamage =&gt; """, S32, """;")</f>
        <v xml:space="preserve">    public string DescriptionColdDamage =&gt; "冰冷傷害";</v>
      </c>
      <c r="V32" s="1" t="s">
        <v>7044</v>
      </c>
    </row>
    <row r="33" spans="1:22" ht="15.95" customHeight="1" x14ac:dyDescent="0.25">
      <c r="A33" s="13" t="str">
        <f>'Lightning Damage Property'!B9</f>
        <v>Lightning Damage</v>
      </c>
      <c r="B33" s="11" t="str">
        <f>_xlfn.CONCAT("    public string DescriptionLightningDamage =&gt; """, A33, """;")</f>
        <v xml:space="preserve">    public string DescriptionLightningDamage =&gt; "Lightning Damage";</v>
      </c>
      <c r="C33" s="13" t="str">
        <f>'Lightning Damage Property'!D9</f>
        <v>Blitzschaden</v>
      </c>
      <c r="D33" s="11" t="str">
        <f>_xlfn.CONCAT("    public string DescriptionLightningDamage =&gt; """, C33, """;")</f>
        <v xml:space="preserve">    public string DescriptionLightningDamage =&gt; "Blitzschaden";</v>
      </c>
      <c r="E33" s="13" t="str">
        <f>'Lightning Damage Property'!F9</f>
        <v>Daño de rayo</v>
      </c>
      <c r="F33" s="11" t="str">
        <f>_xlfn.CONCAT("    public string DescriptionLightningDamage =&gt; """, E33, """;")</f>
        <v xml:space="preserve">    public string DescriptionLightningDamage =&gt; "Daño de rayo";</v>
      </c>
      <c r="G33" s="13" t="str">
        <f>'Lightning Damage Property'!H9</f>
        <v>Dégâts de foudre</v>
      </c>
      <c r="H33" s="11" t="str">
        <f>_xlfn.CONCAT("    public string DescriptionLightningDamage =&gt; """, G33, """;")</f>
        <v xml:space="preserve">    public string DescriptionLightningDamage =&gt; "Dégâts de foudre";</v>
      </c>
      <c r="I33" s="13" t="str">
        <f>'Lightning Damage Property'!J9</f>
        <v>雷ダメージ</v>
      </c>
      <c r="J33" s="11" t="str">
        <f>_xlfn.CONCAT("    public string DescriptionLightningDamage =&gt; """, I33, """;")</f>
        <v xml:space="preserve">    public string DescriptionLightningDamage =&gt; "雷ダメージ";</v>
      </c>
      <c r="K33" s="13" t="str">
        <f>'Lightning Damage Property'!L9</f>
        <v>번개 피해</v>
      </c>
      <c r="L33" s="11" t="str">
        <f>_xlfn.CONCAT("    public string DescriptionLightningDamage =&gt; """, K33, """;")</f>
        <v xml:space="preserve">    public string DescriptionLightningDamage =&gt; "번개 피해";</v>
      </c>
      <c r="M33" s="13" t="str">
        <f>'Lightning Damage Property'!N9</f>
        <v>Dano de Raio</v>
      </c>
      <c r="N33" s="11" t="str">
        <f>_xlfn.CONCAT("    public string DescriptionLightningDamage =&gt; """, M33, """;")</f>
        <v xml:space="preserve">    public string DescriptionLightningDamage =&gt; "Dano de Raio";</v>
      </c>
      <c r="O33" s="13" t="str">
        <f>'Lightning Damage Property'!P9</f>
        <v>Урон от молнии</v>
      </c>
      <c r="P33" s="11" t="str">
        <f>_xlfn.CONCAT("    public string DescriptionLightningDamage =&gt; """, O33, """;")</f>
        <v xml:space="preserve">    public string DescriptionLightningDamage =&gt; "Урон от молнии";</v>
      </c>
      <c r="Q33" s="13" t="str">
        <f>'Lightning Damage Property'!R9</f>
        <v>ความเสียหายน้ำสายฟ้า</v>
      </c>
      <c r="R33" s="11" t="str">
        <f>_xlfn.CONCAT("    public string DescriptionLightningDamage =&gt; """, Q33, """;")</f>
        <v xml:space="preserve">    public string DescriptionLightningDamage =&gt; "ความเสียหายน้ำสายฟ้า";</v>
      </c>
      <c r="S33" s="13" t="str">
        <f>'Lightning Damage Property'!T9</f>
        <v>閃電傷害</v>
      </c>
      <c r="T33" s="11" t="str">
        <f>_xlfn.CONCAT("    public string DescriptionLightningDamage =&gt; """, S33, """;")</f>
        <v xml:space="preserve">    public string DescriptionLightningDamage =&gt; "閃電傷害";</v>
      </c>
      <c r="V33" s="1" t="s">
        <v>7045</v>
      </c>
    </row>
    <row r="34" spans="1:22" ht="15.95" customHeight="1" x14ac:dyDescent="0.25">
      <c r="A34" s="13" t="str">
        <f>'Chaos Damage Property'!B7</f>
        <v>Chaos Damage</v>
      </c>
      <c r="B34" s="11" t="str">
        <f>_xlfn.CONCAT("    public string DescriptionChaosDamage =&gt; """, A34, """;")</f>
        <v xml:space="preserve">    public string DescriptionChaosDamage =&gt; "Chaos Damage";</v>
      </c>
      <c r="C34" s="13" t="str">
        <f>'Chaos Damage Property'!D7</f>
        <v>Chaosschaden</v>
      </c>
      <c r="D34" s="11" t="str">
        <f>_xlfn.CONCAT("    public string DescriptionChaosDamage =&gt; """, C34, """;")</f>
        <v xml:space="preserve">    public string DescriptionChaosDamage =&gt; "Chaosschaden";</v>
      </c>
      <c r="E34" s="13" t="str">
        <f>'Chaos Damage Property'!F7</f>
        <v>Daño de caos</v>
      </c>
      <c r="F34" s="11" t="str">
        <f>_xlfn.CONCAT("    public string DescriptionChaosDamage =&gt; """, E34, """;")</f>
        <v xml:space="preserve">    public string DescriptionChaosDamage =&gt; "Daño de caos";</v>
      </c>
      <c r="G34" s="13" t="str">
        <f>'Chaos Damage Property'!H7</f>
        <v>Dégâts de Chaos</v>
      </c>
      <c r="H34" s="11" t="str">
        <f>_xlfn.CONCAT("    public string DescriptionChaosDamage =&gt; """, G34, """;")</f>
        <v xml:space="preserve">    public string DescriptionChaosDamage =&gt; "Dégâts de Chaos";</v>
      </c>
      <c r="I34" s="13" t="str">
        <f>'Chaos Damage Property'!J7</f>
        <v>混沌ダメージ</v>
      </c>
      <c r="J34" s="11" t="str">
        <f>_xlfn.CONCAT("    public string DescriptionChaosDamage =&gt; """, I34, """;")</f>
        <v xml:space="preserve">    public string DescriptionChaosDamage =&gt; "混沌ダメージ";</v>
      </c>
      <c r="K34" s="13" t="str">
        <f>'Chaos Damage Property'!L7</f>
        <v>카오스 피해</v>
      </c>
      <c r="L34" s="11" t="str">
        <f>_xlfn.CONCAT("    public string DescriptionChaosDamage =&gt; """, K34, """;")</f>
        <v xml:space="preserve">    public string DescriptionChaosDamage =&gt; "카오스 피해";</v>
      </c>
      <c r="M34" s="13" t="str">
        <f>'Chaos Damage Property'!N7</f>
        <v>Dano de Caos</v>
      </c>
      <c r="N34" s="11" t="str">
        <f>_xlfn.CONCAT("    public string DescriptionChaosDamage =&gt; """, M34, """;")</f>
        <v xml:space="preserve">    public string DescriptionChaosDamage =&gt; "Dano de Caos";</v>
      </c>
      <c r="O34" s="13" t="str">
        <f>'Chaos Damage Property'!P7</f>
        <v>Урон хаосом</v>
      </c>
      <c r="P34" s="11" t="str">
        <f>_xlfn.CONCAT("    public string DescriptionChaosDamage =&gt; """, O34, """;")</f>
        <v xml:space="preserve">    public string DescriptionChaosDamage =&gt; "Урон хаосом";</v>
      </c>
      <c r="Q34" s="13" t="str">
        <f>'Chaos Damage Property'!R7</f>
        <v>ความเสียหายเคออส</v>
      </c>
      <c r="R34" s="11" t="str">
        <f>_xlfn.CONCAT("    public string DescriptionChaosDamage =&gt; """, Q34, """;")</f>
        <v xml:space="preserve">    public string DescriptionChaosDamage =&gt; "ความเสียหายเคออส";</v>
      </c>
      <c r="S34" s="13" t="s">
        <v>7929</v>
      </c>
      <c r="T34" s="11" t="str">
        <f>_xlfn.CONCAT("    public string DescriptionChaosDamage =&gt; """, S34, """;")</f>
        <v xml:space="preserve">    public string DescriptionChaosDamage =&gt; "混沌傷害";</v>
      </c>
      <c r="V34" s="1" t="s">
        <v>7046</v>
      </c>
    </row>
    <row r="35" spans="1:22" ht="15.95" customHeight="1" x14ac:dyDescent="0.25">
      <c r="A35" s="13" t="str">
        <f>'Carcass Jack'!B9</f>
        <v>Energy Shield</v>
      </c>
      <c r="B35" s="11" t="str">
        <f>_xlfn.CONCAT("    public string DescriptionEnergyShield =&gt; """, A35, """;")</f>
        <v xml:space="preserve">    public string DescriptionEnergyShield =&gt; "Energy Shield";</v>
      </c>
      <c r="C35" s="13" t="str">
        <f>'Carcass Jack'!D9</f>
        <v>Energieschild</v>
      </c>
      <c r="D35" s="11" t="str">
        <f>_xlfn.CONCAT("    public string DescriptionEnergyShield =&gt; """, C35, """;")</f>
        <v xml:space="preserve">    public string DescriptionEnergyShield =&gt; "Energieschild";</v>
      </c>
      <c r="E35" s="13" t="str">
        <f>'Carcass Jack'!F9</f>
        <v>Escudo de energía</v>
      </c>
      <c r="F35" s="11" t="str">
        <f>_xlfn.CONCAT("    public string DescriptionEnergyShield =&gt; """, E35, """;")</f>
        <v xml:space="preserve">    public string DescriptionEnergyShield =&gt; "Escudo de energía";</v>
      </c>
      <c r="G35" s="13" t="str">
        <f>'Carcass Jack'!H9</f>
        <v>Bouclier d'énergie</v>
      </c>
      <c r="H35" s="11" t="str">
        <f>_xlfn.CONCAT("    public string DescriptionEnergyShield =&gt; """, G35, """;")</f>
        <v xml:space="preserve">    public string DescriptionEnergyShield =&gt; "Bouclier d'énergie";</v>
      </c>
      <c r="I35" s="13" t="str">
        <f>'Carcass Jack'!J9</f>
        <v>エナジーシールド</v>
      </c>
      <c r="J35" s="11" t="str">
        <f>_xlfn.CONCAT("    public string DescriptionEnergyShield =&gt; """, I35, """;")</f>
        <v xml:space="preserve">    public string DescriptionEnergyShield =&gt; "エナジーシールド";</v>
      </c>
      <c r="K35" s="13" t="str">
        <f>'Carcass Jack'!L9</f>
        <v>에너지 보호막</v>
      </c>
      <c r="L35" s="11" t="str">
        <f>_xlfn.CONCAT("    public string DescriptionEnergyShield =&gt; """, K35, """;")</f>
        <v xml:space="preserve">    public string DescriptionEnergyShield =&gt; "에너지 보호막";</v>
      </c>
      <c r="M35" s="13" t="str">
        <f>'Carcass Jack'!N9</f>
        <v>Escudo de Energia</v>
      </c>
      <c r="N35" s="11" t="str">
        <f>_xlfn.CONCAT("    public string DescriptionEnergyShield =&gt; """, M35, """;")</f>
        <v xml:space="preserve">    public string DescriptionEnergyShield =&gt; "Escudo de Energia";</v>
      </c>
      <c r="O35" s="13" t="str">
        <f>'Carcass Jack'!P9</f>
        <v>Энерг. щит</v>
      </c>
      <c r="P35" s="11" t="str">
        <f>_xlfn.CONCAT("    public string DescriptionEnergyShield =&gt; """, O35, """;")</f>
        <v xml:space="preserve">    public string DescriptionEnergyShield =&gt; "Энерг. щит";</v>
      </c>
      <c r="Q35" s="13" t="str">
        <f>'Carcass Jack'!R9</f>
        <v>โล่พลังงาน</v>
      </c>
      <c r="R35" s="11" t="str">
        <f>_xlfn.CONCAT("    public string DescriptionEnergyShield =&gt; """, Q35, """;")</f>
        <v xml:space="preserve">    public string DescriptionEnergyShield =&gt; "โล่พลังงาน";</v>
      </c>
      <c r="S35" s="13" t="s">
        <v>7932</v>
      </c>
      <c r="T35" s="11" t="str">
        <f>_xlfn.CONCAT("    public string DescriptionEnergyShield =&gt; """, S35, """;")</f>
        <v xml:space="preserve">    public string DescriptionEnergyShield =&gt; "能量護盾";</v>
      </c>
      <c r="V35" s="1" t="s">
        <v>63</v>
      </c>
    </row>
    <row r="36" spans="1:22" ht="15.95" customHeight="1" x14ac:dyDescent="0.25">
      <c r="A36" s="13"/>
      <c r="B36" s="11" t="str">
        <f>_xlfn.CONCAT("    public string DescriptionEnergyShieldAlternate =&gt; """, A36, """;")</f>
        <v xml:space="preserve">    public string DescriptionEnergyShieldAlternate =&gt; "";</v>
      </c>
      <c r="C36" s="13" t="str">
        <f>'Alternate Energy Shield'!D9</f>
        <v/>
      </c>
      <c r="D36" s="11" t="str">
        <f>_xlfn.CONCAT("    public string DescriptionEnergyShieldAlternate =&gt; """, C36, """;")</f>
        <v xml:space="preserve">    public string DescriptionEnergyShieldAlternate =&gt; "";</v>
      </c>
      <c r="E36" s="13" t="str">
        <f>'Alternate Energy Shield'!F9</f>
        <v/>
      </c>
      <c r="F36" s="11" t="str">
        <f>_xlfn.CONCAT("    public string DescriptionEnergyShieldAlternate =&gt; """, E36, """;")</f>
        <v xml:space="preserve">    public string DescriptionEnergyShieldAlternate =&gt; "";</v>
      </c>
      <c r="G36" s="13" t="str">
        <f>'Alternate Energy Shield'!H9</f>
        <v/>
      </c>
      <c r="H36" s="11" t="str">
        <f>_xlfn.CONCAT("    public string DescriptionEnergyShieldAlternate =&gt; """, G36, """;")</f>
        <v xml:space="preserve">    public string DescriptionEnergyShieldAlternate =&gt; "";</v>
      </c>
      <c r="I36" s="13" t="str">
        <f>'Alternate Energy Shield'!J9</f>
        <v/>
      </c>
      <c r="J36" s="11" t="str">
        <f>_xlfn.CONCAT("    public string DescriptionEnergyShieldAlternate =&gt; """, I36, """;")</f>
        <v xml:space="preserve">    public string DescriptionEnergyShieldAlternate =&gt; "";</v>
      </c>
      <c r="K36" s="13" t="str">
        <f>'Alternate Energy Shield'!L9</f>
        <v/>
      </c>
      <c r="L36" s="11" t="str">
        <f>_xlfn.CONCAT("    public string DescriptionEnergyShieldAlternate =&gt; """, K36, """;")</f>
        <v xml:space="preserve">    public string DescriptionEnergyShieldAlternate =&gt; "";</v>
      </c>
      <c r="M36" s="13" t="str">
        <f>'Alternate Energy Shield'!N9</f>
        <v/>
      </c>
      <c r="N36" s="11" t="str">
        <f>_xlfn.CONCAT("    public string DescriptionEnergyShieldAlternate =&gt; """, M36, """;")</f>
        <v xml:space="preserve">    public string DescriptionEnergyShieldAlternate =&gt; "";</v>
      </c>
      <c r="O36" s="13" t="str">
        <f>'Alternate Energy Shield'!P9</f>
        <v>Энергетический щит</v>
      </c>
      <c r="P36" s="11" t="str">
        <f>_xlfn.CONCAT("    public string DescriptionEnergyShieldAlternate =&gt; """, O36, """;")</f>
        <v xml:space="preserve">    public string DescriptionEnergyShieldAlternate =&gt; "Энергетический щит";</v>
      </c>
      <c r="Q36" s="13" t="str">
        <f>'Alternate Energy Shield'!R9</f>
        <v/>
      </c>
      <c r="R36" s="11" t="str">
        <f>_xlfn.CONCAT("    public string DescriptionEnergyShieldAlternate =&gt; """, Q36, """;")</f>
        <v xml:space="preserve">    public string DescriptionEnergyShieldAlternate =&gt; "";</v>
      </c>
      <c r="S36" s="13" t="str">
        <f>'Alternate Energy Shield'!T9</f>
        <v/>
      </c>
      <c r="T36" s="11" t="str">
        <f>_xlfn.CONCAT("    public string DescriptionEnergyShieldAlternate =&gt; """, S36, """;")</f>
        <v xml:space="preserve">    public string DescriptionEnergyShieldAlternate =&gt; "";</v>
      </c>
      <c r="V36" s="1"/>
    </row>
    <row r="37" spans="1:22" ht="15.95" customHeight="1" x14ac:dyDescent="0.25">
      <c r="A37" s="13" t="str">
        <f>Abyssus!B8</f>
        <v>Armour</v>
      </c>
      <c r="B37" s="11" t="str">
        <f>_xlfn.CONCAT("    public string DescriptionArmour =&gt; """, A37, """;")</f>
        <v xml:space="preserve">    public string DescriptionArmour =&gt; "Armour";</v>
      </c>
      <c r="C37" s="13" t="str">
        <f>Abyssus!D8</f>
        <v>Rüstung</v>
      </c>
      <c r="D37" s="11" t="str">
        <f>_xlfn.CONCAT("    public string DescriptionArmour =&gt; """, C37, """;")</f>
        <v xml:space="preserve">    public string DescriptionArmour =&gt; "Rüstung";</v>
      </c>
      <c r="E37" s="13" t="str">
        <f>Abyssus!F8</f>
        <v>Armadura</v>
      </c>
      <c r="F37" s="11" t="str">
        <f>_xlfn.CONCAT("    public string DescriptionArmour =&gt; """, E37, """;")</f>
        <v xml:space="preserve">    public string DescriptionArmour =&gt; "Armadura";</v>
      </c>
      <c r="G37" s="13" t="str">
        <f>Abyssus!H8</f>
        <v>Armure</v>
      </c>
      <c r="H37" s="11" t="str">
        <f>_xlfn.CONCAT("    public string DescriptionArmour =&gt; """, G37, """;")</f>
        <v xml:space="preserve">    public string DescriptionArmour =&gt; "Armure";</v>
      </c>
      <c r="I37" s="13" t="str">
        <f>Abyssus!J8</f>
        <v>アーマー</v>
      </c>
      <c r="J37" s="11" t="str">
        <f>_xlfn.CONCAT("    public string DescriptionArmour =&gt; """, I37, """;")</f>
        <v xml:space="preserve">    public string DescriptionArmour =&gt; "アーマー";</v>
      </c>
      <c r="K37" s="13" t="str">
        <f>Abyssus!L8</f>
        <v>방어도</v>
      </c>
      <c r="L37" s="11" t="str">
        <f>_xlfn.CONCAT("    public string DescriptionArmour =&gt; """, K37, """;")</f>
        <v xml:space="preserve">    public string DescriptionArmour =&gt; "방어도";</v>
      </c>
      <c r="M37" s="13" t="str">
        <f>Abyssus!N8</f>
        <v>Armadura</v>
      </c>
      <c r="N37" s="11" t="str">
        <f>_xlfn.CONCAT("    public string DescriptionArmour =&gt; """, M37, """;")</f>
        <v xml:space="preserve">    public string DescriptionArmour =&gt; "Armadura";</v>
      </c>
      <c r="O37" s="13" t="str">
        <f>Abyssus!P8</f>
        <v>Броня</v>
      </c>
      <c r="P37" s="11" t="str">
        <f>_xlfn.CONCAT("    public string DescriptionArmour =&gt; """, O37, """;")</f>
        <v xml:space="preserve">    public string DescriptionArmour =&gt; "Броня";</v>
      </c>
      <c r="Q37" s="13" t="str">
        <f>Abyssus!R8</f>
        <v>ค่าเกราะ</v>
      </c>
      <c r="R37" s="11" t="str">
        <f>_xlfn.CONCAT("    public string DescriptionArmour =&gt; """, Q37, """;")</f>
        <v xml:space="preserve">    public string DescriptionArmour =&gt; "ค่าเกราะ";</v>
      </c>
      <c r="S37" s="13" t="s">
        <v>7933</v>
      </c>
      <c r="T37" s="11" t="str">
        <f>_xlfn.CONCAT("    public string DescriptionArmour =&gt; """, S37, """;")</f>
        <v xml:space="preserve">    public string DescriptionArmour =&gt; "護甲";</v>
      </c>
      <c r="V37" s="1" t="s">
        <v>56</v>
      </c>
    </row>
    <row r="38" spans="1:22" ht="15.95" customHeight="1" x14ac:dyDescent="0.25">
      <c r="A38" s="13" t="str">
        <f>'Carcass Jack'!B8</f>
        <v>Evasion Rating</v>
      </c>
      <c r="B38" s="11" t="str">
        <f>_xlfn.CONCAT("    public string DescriptionEvasion =&gt; """, A38, """;")</f>
        <v xml:space="preserve">    public string DescriptionEvasion =&gt; "Evasion Rating";</v>
      </c>
      <c r="C38" s="13" t="str">
        <f>'Carcass Jack'!D8</f>
        <v>Ausweichwert</v>
      </c>
      <c r="D38" s="11" t="str">
        <f>_xlfn.CONCAT("    public string DescriptionEvasion =&gt; """, C38, """;")</f>
        <v xml:space="preserve">    public string DescriptionEvasion =&gt; "Ausweichwert";</v>
      </c>
      <c r="E38" s="13" t="str">
        <f>'Carcass Jack'!F8</f>
        <v>Evasión</v>
      </c>
      <c r="F38" s="11" t="str">
        <f>_xlfn.CONCAT("    public string DescriptionEvasion =&gt; """, E38, """;")</f>
        <v xml:space="preserve">    public string DescriptionEvasion =&gt; "Evasión";</v>
      </c>
      <c r="G38" s="13" t="str">
        <f>'Carcass Jack'!H8</f>
        <v>Score d'Évasion</v>
      </c>
      <c r="H38" s="11" t="str">
        <f>_xlfn.CONCAT("    public string DescriptionEvasion =&gt; """, G38, """;")</f>
        <v xml:space="preserve">    public string DescriptionEvasion =&gt; "Score d'Évasion";</v>
      </c>
      <c r="I38" s="13" t="str">
        <f>'Carcass Jack'!J8</f>
        <v>回避力</v>
      </c>
      <c r="J38" s="11" t="str">
        <f>_xlfn.CONCAT("    public string DescriptionEvasion =&gt; """, I38, """;")</f>
        <v xml:space="preserve">    public string DescriptionEvasion =&gt; "回避力";</v>
      </c>
      <c r="K38" s="13" t="str">
        <f>'Carcass Jack'!L8</f>
        <v>회피</v>
      </c>
      <c r="L38" s="11" t="str">
        <f>_xlfn.CONCAT("    public string DescriptionEvasion =&gt; """, K38, """;")</f>
        <v xml:space="preserve">    public string DescriptionEvasion =&gt; "회피";</v>
      </c>
      <c r="M38" s="13" t="str">
        <f>'Carcass Jack'!N8</f>
        <v>Evasão</v>
      </c>
      <c r="N38" s="11" t="str">
        <f>_xlfn.CONCAT("    public string DescriptionEvasion =&gt; """, M38, """;")</f>
        <v xml:space="preserve">    public string DescriptionEvasion =&gt; "Evasão";</v>
      </c>
      <c r="O38" s="13" t="str">
        <f>'Carcass Jack'!P8</f>
        <v>Уклонение</v>
      </c>
      <c r="P38" s="11" t="str">
        <f>_xlfn.CONCAT("    public string DescriptionEvasion =&gt; """, O38, """;")</f>
        <v xml:space="preserve">    public string DescriptionEvasion =&gt; "Уклонение";</v>
      </c>
      <c r="Q38" s="13" t="str">
        <f>'Carcass Jack'!R8</f>
        <v>อัตราการหลบหลีก</v>
      </c>
      <c r="R38" s="11" t="str">
        <f>_xlfn.CONCAT("    public string DescriptionEvasion =&gt; """, Q38, """;")</f>
        <v xml:space="preserve">    public string DescriptionEvasion =&gt; "อัตราการหลบหลีก";</v>
      </c>
      <c r="S38" s="13" t="s">
        <v>7934</v>
      </c>
      <c r="T38" s="11" t="str">
        <f>_xlfn.CONCAT("    public string DescriptionEvasion =&gt; """, S38, """;")</f>
        <v xml:space="preserve">    public string DescriptionEvasion =&gt; "閃避值";</v>
      </c>
      <c r="V38" s="1" t="s">
        <v>64</v>
      </c>
    </row>
    <row r="39" spans="1:22" ht="15.95" customHeight="1" x14ac:dyDescent="0.25">
      <c r="A39" s="13" t="str">
        <f>Mistwall!B8</f>
        <v>Chance to Block</v>
      </c>
      <c r="B39" s="11" t="str">
        <f>_xlfn.CONCAT("    public string DescriptionChanceToBlock =&gt; """, A39, """;")</f>
        <v xml:space="preserve">    public string DescriptionChanceToBlock =&gt; "Chance to Block";</v>
      </c>
      <c r="C39" s="13" t="str">
        <f>Mistwall!D8</f>
        <v>Chance auf Blocken</v>
      </c>
      <c r="D39" s="11" t="str">
        <f>_xlfn.CONCAT("    public string DescriptionChanceToBlock =&gt; """, C39, """;")</f>
        <v xml:space="preserve">    public string DescriptionChanceToBlock =&gt; "Chance auf Blocken";</v>
      </c>
      <c r="E39" s="13" t="str">
        <f>Mistwall!F8</f>
        <v>Probabilidad de bloqueo</v>
      </c>
      <c r="F39" s="11" t="str">
        <f>_xlfn.CONCAT("    public string DescriptionChanceToBlock =&gt; """, E39, """;")</f>
        <v xml:space="preserve">    public string DescriptionChanceToBlock =&gt; "Probabilidad de bloqueo";</v>
      </c>
      <c r="G39" s="13" t="str">
        <f>Mistwall!H8</f>
        <v>Chances de blocage</v>
      </c>
      <c r="H39" s="11" t="str">
        <f>_xlfn.CONCAT("    public string DescriptionChanceToBlock =&gt; """, G39, """;")</f>
        <v xml:space="preserve">    public string DescriptionChanceToBlock =&gt; "Chances de blocage";</v>
      </c>
      <c r="I39" s="13" t="str">
        <f>Mistwall!J8</f>
        <v>ブロック率</v>
      </c>
      <c r="J39" s="11" t="str">
        <f>_xlfn.CONCAT("    public string DescriptionChanceToBlock =&gt; """, I39, """;")</f>
        <v xml:space="preserve">    public string DescriptionChanceToBlock =&gt; "ブロック率";</v>
      </c>
      <c r="K39" s="13" t="str">
        <f>Mistwall!L8</f>
        <v>막기 확률</v>
      </c>
      <c r="L39" s="11" t="str">
        <f>_xlfn.CONCAT("    public string DescriptionChanceToBlock =&gt; """, K39, """;")</f>
        <v xml:space="preserve">    public string DescriptionChanceToBlock =&gt; "막기 확률";</v>
      </c>
      <c r="M39" s="13" t="str">
        <f>Mistwall!N8</f>
        <v>Chance de Bloquear</v>
      </c>
      <c r="N39" s="11" t="str">
        <f>_xlfn.CONCAT("    public string DescriptionChanceToBlock =&gt; """, M39, """;")</f>
        <v xml:space="preserve">    public string DescriptionChanceToBlock =&gt; "Chance de Bloquear";</v>
      </c>
      <c r="O39" s="13" t="str">
        <f>Mistwall!P8</f>
        <v>Шанс заблокировать удар</v>
      </c>
      <c r="P39" s="11" t="str">
        <f>_xlfn.CONCAT("    public string DescriptionChanceToBlock =&gt; """, O39, """;")</f>
        <v xml:space="preserve">    public string DescriptionChanceToBlock =&gt; "Шанс заблокировать удар";</v>
      </c>
      <c r="Q39" s="13" t="str">
        <f>Mistwall!R8</f>
        <v>โอกาสบล็อค</v>
      </c>
      <c r="R39" s="11" t="str">
        <f>_xlfn.CONCAT("    public string DescriptionChanceToBlock =&gt; """, Q39, """;")</f>
        <v xml:space="preserve">    public string DescriptionChanceToBlock =&gt; "โอกาสบล็อค";</v>
      </c>
      <c r="S39" s="13" t="s">
        <v>7935</v>
      </c>
      <c r="T39" s="11" t="str">
        <f>_xlfn.CONCAT("    public string DescriptionChanceToBlock =&gt; """, S39, """;")</f>
        <v xml:space="preserve">    public string DescriptionChanceToBlock =&gt; "格擋率";</v>
      </c>
      <c r="V39" s="1" t="s">
        <v>65</v>
      </c>
    </row>
    <row r="40" spans="1:22" ht="15.95" customHeight="1" x14ac:dyDescent="0.25">
      <c r="A40" s="13" t="str">
        <f>'Block Chance'!B8</f>
        <v>Block chance</v>
      </c>
      <c r="B40" s="11" t="str">
        <f>_xlfn.CONCAT("    public string DescriptionBlockChance =&gt; """, A40, """;")</f>
        <v xml:space="preserve">    public string DescriptionBlockChance =&gt; "Block chance";</v>
      </c>
      <c r="C40" s="13" t="str">
        <f>'Block Chance'!D8</f>
        <v>Blockchance</v>
      </c>
      <c r="D40" s="11" t="str">
        <f>_xlfn.CONCAT("    public string DescriptionBlockChance =&gt; """, C40, """;")</f>
        <v xml:space="preserve">    public string DescriptionBlockChance =&gt; "Blockchance";</v>
      </c>
      <c r="E40" s="13" t="str">
        <f>'Block Chance'!F8</f>
        <v>Probabilidad de bloqueo</v>
      </c>
      <c r="F40" s="11" t="str">
        <f>_xlfn.CONCAT("    public string DescriptionBlockChance =&gt; """, E40, """;")</f>
        <v xml:space="preserve">    public string DescriptionBlockChance =&gt; "Probabilidad de bloqueo";</v>
      </c>
      <c r="G40" s="13" t="str">
        <f>'Block Chance'!H8</f>
        <v>Chances de Blocage</v>
      </c>
      <c r="H40" s="11" t="str">
        <f>_xlfn.CONCAT("    public string DescriptionBlockChance =&gt; """, G40, """;")</f>
        <v xml:space="preserve">    public string DescriptionBlockChance =&gt; "Chances de Blocage";</v>
      </c>
      <c r="I40" s="13" t="str">
        <f>'Block Chance'!J8</f>
        <v>ブロック率</v>
      </c>
      <c r="J40" s="11" t="str">
        <f>_xlfn.CONCAT("    public string DescriptionBlockChance =&gt; """, I40, """;")</f>
        <v xml:space="preserve">    public string DescriptionBlockChance =&gt; "ブロック率";</v>
      </c>
      <c r="K40" s="13" t="str">
        <f>'Block Chance'!L8</f>
        <v>막기 확률</v>
      </c>
      <c r="L40" s="11" t="str">
        <f>_xlfn.CONCAT("    public string DescriptionBlockChance =&gt; """, K40, """;")</f>
        <v xml:space="preserve">    public string DescriptionBlockChance =&gt; "막기 확률";</v>
      </c>
      <c r="M40" s="13" t="str">
        <f>'Block Chance'!N8</f>
        <v>Chance de Bloqueio</v>
      </c>
      <c r="N40" s="11" t="str">
        <f>_xlfn.CONCAT("    public string DescriptionBlockChance =&gt; """, M40, """;")</f>
        <v xml:space="preserve">    public string DescriptionBlockChance =&gt; "Chance de Bloqueio";</v>
      </c>
      <c r="O40" s="13" t="str">
        <f>'Block Chance'!P8</f>
        <v>Шанс блока</v>
      </c>
      <c r="P40" s="11" t="str">
        <f>_xlfn.CONCAT("    public string DescriptionBlockChance =&gt; """, O40, """;")</f>
        <v xml:space="preserve">    public string DescriptionBlockChance =&gt; "Шанс блока";</v>
      </c>
      <c r="Q40" s="13" t="str">
        <f>'Block Chance'!R8</f>
        <v>โอกาสบล็อค</v>
      </c>
      <c r="R40" s="11" t="str">
        <f>_xlfn.CONCAT("    public string DescriptionBlockChance =&gt; """, Q40, """;")</f>
        <v xml:space="preserve">    public string DescriptionBlockChance =&gt; "โอกาสบล็อค";</v>
      </c>
      <c r="S40" s="13" t="str">
        <f>'Block Chance'!T8</f>
        <v>格擋機率</v>
      </c>
      <c r="T40" s="11" t="str">
        <f>_xlfn.CONCAT("    public string DescriptionBlockChance =&gt; """, S40, """;")</f>
        <v xml:space="preserve">    public string DescriptionBlockChance =&gt; "格擋機率";</v>
      </c>
      <c r="V40" s="1" t="s">
        <v>7120</v>
      </c>
    </row>
    <row r="41" spans="1:22" ht="15.95" customHeight="1" x14ac:dyDescent="0.25">
      <c r="A41" s="13" t="str">
        <f>Spirit!B7</f>
        <v>Spirit</v>
      </c>
      <c r="B41" s="11" t="str">
        <f>_xlfn.CONCAT("    public string DescriptionSpirit =&gt; """, A41, """;")</f>
        <v xml:space="preserve">    public string DescriptionSpirit =&gt; "Spirit";</v>
      </c>
      <c r="C41" s="13" t="str">
        <f>Spirit!D7</f>
        <v>Wille</v>
      </c>
      <c r="D41" s="11" t="str">
        <f>_xlfn.CONCAT("    public string DescriptionSpirit =&gt; """, C41, """;")</f>
        <v xml:space="preserve">    public string DescriptionSpirit =&gt; "Wille";</v>
      </c>
      <c r="E41" s="13" t="str">
        <f>Spirit!F7</f>
        <v>Espíritu</v>
      </c>
      <c r="F41" s="11" t="str">
        <f>_xlfn.CONCAT("    public string DescriptionSpirit =&gt; """, E41, """;")</f>
        <v xml:space="preserve">    public string DescriptionSpirit =&gt; "Espíritu";</v>
      </c>
      <c r="G41" s="13" t="str">
        <f>Spirit!H7</f>
        <v>Esprit</v>
      </c>
      <c r="H41" s="11" t="str">
        <f>_xlfn.CONCAT("    public string DescriptionSpirit =&gt; """, G41, """;")</f>
        <v xml:space="preserve">    public string DescriptionSpirit =&gt; "Esprit";</v>
      </c>
      <c r="I41" s="13" t="str">
        <f>Spirit!J7</f>
        <v>スピリット</v>
      </c>
      <c r="J41" s="11" t="str">
        <f>_xlfn.CONCAT("    public string DescriptionSpirit =&gt; """, I41, """;")</f>
        <v xml:space="preserve">    public string DescriptionSpirit =&gt; "スピリット";</v>
      </c>
      <c r="K41" s="13" t="str">
        <f>Spirit!L7</f>
        <v>정신력</v>
      </c>
      <c r="L41" s="11" t="str">
        <f>_xlfn.CONCAT("    public string DescriptionSpirit =&gt; """, K41, """;")</f>
        <v xml:space="preserve">    public string DescriptionSpirit =&gt; "정신력";</v>
      </c>
      <c r="M41" s="13" t="str">
        <f>Spirit!N7</f>
        <v>Espírito</v>
      </c>
      <c r="N41" s="11" t="str">
        <f>_xlfn.CONCAT("    public string DescriptionSpirit =&gt; """, M41, """;")</f>
        <v xml:space="preserve">    public string DescriptionSpirit =&gt; "Espírito";</v>
      </c>
      <c r="O41" s="13" t="str">
        <f>Spirit!P7</f>
        <v>Дух</v>
      </c>
      <c r="P41" s="11" t="str">
        <f>_xlfn.CONCAT("    public string DescriptionSpirit =&gt; """, O41, """;")</f>
        <v xml:space="preserve">    public string DescriptionSpirit =&gt; "Дух";</v>
      </c>
      <c r="Q41" s="13" t="str">
        <f>Spirit!R7</f>
        <v>พลังวิญญาณ</v>
      </c>
      <c r="R41" s="11" t="str">
        <f>_xlfn.CONCAT("    public string DescriptionSpirit =&gt; """, Q41, """;")</f>
        <v xml:space="preserve">    public string DescriptionSpirit =&gt; "พลังวิญญาณ";</v>
      </c>
      <c r="S41" s="13" t="str">
        <f>Spirit!T7</f>
        <v>精魂</v>
      </c>
      <c r="T41" s="11" t="str">
        <f>_xlfn.CONCAT("    public string DescriptionSpirit =&gt; """, S41, """;")</f>
        <v xml:space="preserve">    public string DescriptionSpirit =&gt; "精魂";</v>
      </c>
      <c r="V41" s="1" t="s">
        <v>7913</v>
      </c>
    </row>
    <row r="42" spans="1:22" ht="15.95" customHeight="1" x14ac:dyDescent="0.25">
      <c r="A42" s="13" t="str">
        <f>'White Wind'!B12</f>
        <v>Attacks per Second</v>
      </c>
      <c r="B42" s="11" t="str">
        <f>_xlfn.CONCAT("    public string DescriptionAttacksPerSecond =&gt; """, A42, """;")</f>
        <v xml:space="preserve">    public string DescriptionAttacksPerSecond =&gt; "Attacks per Second";</v>
      </c>
      <c r="C42" s="13" t="str">
        <f>'White Wind'!D12</f>
        <v>Angriffe pro Sekunde</v>
      </c>
      <c r="D42" s="11" t="str">
        <f>_xlfn.CONCAT("    public string DescriptionAttacksPerSecond =&gt; """, C42, """;")</f>
        <v xml:space="preserve">    public string DescriptionAttacksPerSecond =&gt; "Angriffe pro Sekunde";</v>
      </c>
      <c r="E42" s="13" t="str">
        <f>'White Wind'!F12</f>
        <v>Ataques por segundo</v>
      </c>
      <c r="F42" s="11" t="str">
        <f>_xlfn.CONCAT("    public string DescriptionAttacksPerSecond =&gt; """, E42, """;")</f>
        <v xml:space="preserve">    public string DescriptionAttacksPerSecond =&gt; "Ataques por segundo";</v>
      </c>
      <c r="G42" s="13" t="str">
        <f>'White Wind'!H12</f>
        <v>Attaques par seconde</v>
      </c>
      <c r="H42" s="11" t="str">
        <f>_xlfn.CONCAT("    public string DescriptionAttacksPerSecond =&gt; """, G42, """;")</f>
        <v xml:space="preserve">    public string DescriptionAttacksPerSecond =&gt; "Attaques par seconde";</v>
      </c>
      <c r="I42" s="13" t="str">
        <f>'White Wind'!J12</f>
        <v>秒間アタック回数</v>
      </c>
      <c r="J42" s="11" t="str">
        <f>_xlfn.CONCAT("    public string DescriptionAttacksPerSecond =&gt; """, I42, """;")</f>
        <v xml:space="preserve">    public string DescriptionAttacksPerSecond =&gt; "秒間アタック回数";</v>
      </c>
      <c r="K42" s="13" t="str">
        <f>'White Wind'!L12</f>
        <v>초당 공격 횟수</v>
      </c>
      <c r="L42" s="11" t="str">
        <f>_xlfn.CONCAT("    public string DescriptionAttacksPerSecond =&gt; """, K42, """;")</f>
        <v xml:space="preserve">    public string DescriptionAttacksPerSecond =&gt; "초당 공격 횟수";</v>
      </c>
      <c r="M42" s="13" t="str">
        <f>'White Wind'!N12</f>
        <v>Ataques por Segundo</v>
      </c>
      <c r="N42" s="11" t="str">
        <f>_xlfn.CONCAT("    public string DescriptionAttacksPerSecond =&gt; """, M42, """;")</f>
        <v xml:space="preserve">    public string DescriptionAttacksPerSecond =&gt; "Ataques por Segundo";</v>
      </c>
      <c r="O42" s="13" t="str">
        <f>'White Wind'!P12</f>
        <v>Атак в секунду</v>
      </c>
      <c r="P42" s="11" t="str">
        <f>_xlfn.CONCAT("    public string DescriptionAttacksPerSecond =&gt; """, O42, """;")</f>
        <v xml:space="preserve">    public string DescriptionAttacksPerSecond =&gt; "Атак в секунду";</v>
      </c>
      <c r="Q42" s="13" t="str">
        <f>'White Wind'!R12</f>
        <v>จำนวนครั้งการโจมตีต่อวินาที</v>
      </c>
      <c r="R42" s="11" t="str">
        <f>_xlfn.CONCAT("    public string DescriptionAttacksPerSecond =&gt; """, Q42, """;")</f>
        <v xml:space="preserve">    public string DescriptionAttacksPerSecond =&gt; "จำนวนครั้งการโจมตีต่อวินาที";</v>
      </c>
      <c r="S42" s="13" t="s">
        <v>7930</v>
      </c>
      <c r="T42" s="11" t="str">
        <f>_xlfn.CONCAT("    public string DescriptionAttacksPerSecond =&gt; """, S42, """;")</f>
        <v xml:space="preserve">    public string DescriptionAttacksPerSecond =&gt; "每秒攻擊次數";</v>
      </c>
      <c r="V42" s="1" t="s">
        <v>66</v>
      </c>
    </row>
    <row r="43" spans="1:22" ht="15.95" customHeight="1" x14ac:dyDescent="0.25">
      <c r="A43" s="13" t="str">
        <f>'White Wind'!B11</f>
        <v>Critical Strike Chance</v>
      </c>
      <c r="B43" s="11" t="str">
        <f>_xlfn.CONCAT("    public string DescriptionCriticalStrikeChance =&gt; """, A43, """;")</f>
        <v xml:space="preserve">    public string DescriptionCriticalStrikeChance =&gt; "Critical Strike Chance";</v>
      </c>
      <c r="C43" s="13" t="str">
        <f>'White Wind'!D11</f>
        <v>Kritische Trefferchance</v>
      </c>
      <c r="D43" s="11" t="str">
        <f>_xlfn.CONCAT("    public string DescriptionCriticalStrikeChance =&gt; """, C43, """;")</f>
        <v xml:space="preserve">    public string DescriptionCriticalStrikeChance =&gt; "Kritische Trefferchance";</v>
      </c>
      <c r="E43" s="13" t="str">
        <f>'White Wind'!F11</f>
        <v>Daño de golpe crítico</v>
      </c>
      <c r="F43" s="11" t="str">
        <f>_xlfn.CONCAT("    public string DescriptionCriticalStrikeChance =&gt; """, E43, """;")</f>
        <v xml:space="preserve">    public string DescriptionCriticalStrikeChance =&gt; "Daño de golpe crítico";</v>
      </c>
      <c r="G43" s="13" t="str">
        <f>'White Wind'!H11</f>
        <v>Chances de coup critique</v>
      </c>
      <c r="H43" s="11" t="str">
        <f>_xlfn.CONCAT("    public string DescriptionCriticalStrikeChance =&gt; """, G43, """;")</f>
        <v xml:space="preserve">    public string DescriptionCriticalStrikeChance =&gt; "Chances de coup critique";</v>
      </c>
      <c r="I43" s="13" t="str">
        <f>'White Wind'!J11</f>
        <v>クリティカル率</v>
      </c>
      <c r="J43" s="11" t="str">
        <f>_xlfn.CONCAT("    public string DescriptionCriticalStrikeChance =&gt; """, I43, """;")</f>
        <v xml:space="preserve">    public string DescriptionCriticalStrikeChance =&gt; "クリティカル率";</v>
      </c>
      <c r="K43" s="13" t="str">
        <f>'White Wind'!L11</f>
        <v>치명타 확률</v>
      </c>
      <c r="L43" s="11" t="str">
        <f>_xlfn.CONCAT("    public string DescriptionCriticalStrikeChance =&gt; """, K43, """;")</f>
        <v xml:space="preserve">    public string DescriptionCriticalStrikeChance =&gt; "치명타 확률";</v>
      </c>
      <c r="M43" s="13" t="str">
        <f>'White Wind'!N11</f>
        <v>Chance de Crítico</v>
      </c>
      <c r="N43" s="11" t="str">
        <f>_xlfn.CONCAT("    public string DescriptionCriticalStrikeChance =&gt; """, M43, """;")</f>
        <v xml:space="preserve">    public string DescriptionCriticalStrikeChance =&gt; "Chance de Crítico";</v>
      </c>
      <c r="O43" s="13" t="str">
        <f>'White Wind'!P11</f>
        <v>Шанс критического удара</v>
      </c>
      <c r="P43" s="11" t="str">
        <f>_xlfn.CONCAT("    public string DescriptionCriticalStrikeChance =&gt; """, O43, """;")</f>
        <v xml:space="preserve">    public string DescriptionCriticalStrikeChance =&gt; "Шанс критического удара";</v>
      </c>
      <c r="Q43" s="13" t="str">
        <f>'White Wind'!R11</f>
        <v>โอกาสคริติคอล</v>
      </c>
      <c r="R43" s="11" t="str">
        <f>_xlfn.CONCAT("    public string DescriptionCriticalStrikeChance =&gt; """, Q43, """;")</f>
        <v xml:space="preserve">    public string DescriptionCriticalStrikeChance =&gt; "โอกาสคริติคอล";</v>
      </c>
      <c r="S43" s="13" t="s">
        <v>7931</v>
      </c>
      <c r="T43" s="11" t="str">
        <f>_xlfn.CONCAT("    public string DescriptionCriticalStrikeChance =&gt; """, S43, """;")</f>
        <v xml:space="preserve">    public string DescriptionCriticalStrikeChance =&gt; "暴擊率";</v>
      </c>
      <c r="V43" s="1" t="s">
        <v>67</v>
      </c>
    </row>
    <row r="44" spans="1:22" ht="15.95" customHeight="1" x14ac:dyDescent="0.25">
      <c r="A44" s="13" t="str">
        <f>'Fire Damage Property'!B9</f>
        <v>Critical Hit Chance</v>
      </c>
      <c r="B44" s="11" t="str">
        <f>_xlfn.CONCAT("    public string DescriptionCriticalHitChance =&gt; """, A44, """;")</f>
        <v xml:space="preserve">    public string DescriptionCriticalHitChance =&gt; "Critical Hit Chance";</v>
      </c>
      <c r="C44" s="13" t="str">
        <f>'Fire Damage Property'!D9</f>
        <v>Kritische Trefferchance</v>
      </c>
      <c r="D44" s="11" t="str">
        <f>_xlfn.CONCAT("    public string DescriptionCriticalHitChance =&gt; """, C44, """;")</f>
        <v xml:space="preserve">    public string DescriptionCriticalHitChance =&gt; "Kritische Trefferchance";</v>
      </c>
      <c r="E44" s="13" t="str">
        <f>'Fire Damage Property'!F9</f>
        <v>Probabilidad de impacto crítico</v>
      </c>
      <c r="F44" s="11" t="str">
        <f>_xlfn.CONCAT("    public string DescriptionCriticalHitChance =&gt; """, E44, """;")</f>
        <v xml:space="preserve">    public string DescriptionCriticalHitChance =&gt; "Probabilidad de impacto crítico";</v>
      </c>
      <c r="G44" s="13" t="str">
        <f>'Fire Damage Property'!H9</f>
        <v>Chances de Touche critique</v>
      </c>
      <c r="H44" s="11" t="str">
        <f>_xlfn.CONCAT("    public string DescriptionCriticalHitChance =&gt; """, G44, """;")</f>
        <v xml:space="preserve">    public string DescriptionCriticalHitChance =&gt; "Chances de Touche critique";</v>
      </c>
      <c r="I44" s="13" t="str">
        <f>'Fire Damage Property'!J9</f>
        <v>クリティカルヒット率</v>
      </c>
      <c r="J44" s="11" t="str">
        <f>_xlfn.CONCAT("    public string DescriptionCriticalHitChance =&gt; """, I44, """;")</f>
        <v xml:space="preserve">    public string DescriptionCriticalHitChance =&gt; "クリティカルヒット率";</v>
      </c>
      <c r="K44" s="13" t="str">
        <f>'Fire Damage Property'!L9</f>
        <v>치명타 명중 확률</v>
      </c>
      <c r="L44" s="11" t="str">
        <f>_xlfn.CONCAT("    public string DescriptionCriticalHitChance =&gt; """, K44, """;")</f>
        <v xml:space="preserve">    public string DescriptionCriticalHitChance =&gt; "치명타 명중 확률";</v>
      </c>
      <c r="M44" s="13" t="str">
        <f>'Fire Damage Property'!N9</f>
        <v>Chance de Acerto Crítico</v>
      </c>
      <c r="N44" s="11" t="str">
        <f>_xlfn.CONCAT("    public string DescriptionCriticalHitChance =&gt; """, M44, """;")</f>
        <v xml:space="preserve">    public string DescriptionCriticalHitChance =&gt; "Chance de Acerto Crítico";</v>
      </c>
      <c r="O44" s="13" t="str">
        <f>'Fire Damage Property'!P9</f>
        <v>Шанс крит. попадания</v>
      </c>
      <c r="P44" s="11" t="str">
        <f>_xlfn.CONCAT("    public string DescriptionCriticalHitChance =&gt; """, O44, """;")</f>
        <v xml:space="preserve">    public string DescriptionCriticalHitChance =&gt; "Шанс крит. попадания";</v>
      </c>
      <c r="Q44" s="13" t="str">
        <f>'Fire Damage Property'!R9</f>
        <v>โอกาสปะทะคริติคอล</v>
      </c>
      <c r="R44" s="11" t="str">
        <f>_xlfn.CONCAT("    public string DescriptionCriticalHitChance =&gt; """, Q44, """;")</f>
        <v xml:space="preserve">    public string DescriptionCriticalHitChance =&gt; "โอกาสปะทะคริติคอล";</v>
      </c>
      <c r="S44" s="13" t="str">
        <f>'Fire Damage Property'!T9</f>
        <v>暴擊率</v>
      </c>
      <c r="T44" s="11" t="str">
        <f>_xlfn.CONCAT("    public string DescriptionCriticalHitChance =&gt; """, S44, """;")</f>
        <v xml:space="preserve">    public string DescriptionCriticalHitChance =&gt; "暴擊率";</v>
      </c>
      <c r="V44" s="1" t="s">
        <v>7047</v>
      </c>
    </row>
    <row r="45" spans="1:22" ht="15.95" customHeight="1" x14ac:dyDescent="0.25">
      <c r="A45" s="13" t="str">
        <f>'Blighted Map'!B7</f>
        <v>Map Tier</v>
      </c>
      <c r="B45" s="11" t="str">
        <f>_xlfn.CONCAT("    public string DescriptionMapTier =&gt; """, A45, """;")</f>
        <v xml:space="preserve">    public string DescriptionMapTier =&gt; "Map Tier";</v>
      </c>
      <c r="C45" s="13" t="str">
        <f>'Blighted Map'!D7</f>
        <v>Kartenlevel</v>
      </c>
      <c r="D45" s="11" t="str">
        <f>_xlfn.CONCAT("    public string DescriptionMapTier =&gt; """, C45, """;")</f>
        <v xml:space="preserve">    public string DescriptionMapTier =&gt; "Kartenlevel";</v>
      </c>
      <c r="E45" s="13" t="str">
        <f>'Blighted Map'!F7</f>
        <v>Grado del mapa</v>
      </c>
      <c r="F45" s="11" t="str">
        <f>_xlfn.CONCAT("    public string DescriptionMapTier =&gt; """, E45, """;")</f>
        <v xml:space="preserve">    public string DescriptionMapTier =&gt; "Grado del mapa";</v>
      </c>
      <c r="G45" s="13" t="str">
        <f>'Blighted Map'!H7</f>
        <v>Palier de Carte</v>
      </c>
      <c r="H45" s="11" t="str">
        <f>_xlfn.CONCAT("    public string DescriptionMapTier =&gt; """, G45, """;")</f>
        <v xml:space="preserve">    public string DescriptionMapTier =&gt; "Palier de Carte";</v>
      </c>
      <c r="I45" s="13" t="str">
        <f>'Blighted Map'!J7</f>
        <v>マップティア</v>
      </c>
      <c r="J45" s="11" t="str">
        <f>_xlfn.CONCAT("    public string DescriptionMapTier =&gt; """, I45, """;")</f>
        <v xml:space="preserve">    public string DescriptionMapTier =&gt; "マップティア";</v>
      </c>
      <c r="K45" s="13" t="str">
        <f>'Blighted Map'!L7</f>
        <v>지도 등급</v>
      </c>
      <c r="L45" s="11" t="str">
        <f>_xlfn.CONCAT("    public string DescriptionMapTier =&gt; """, K45, """;")</f>
        <v xml:space="preserve">    public string DescriptionMapTier =&gt; "지도 등급";</v>
      </c>
      <c r="M45" s="13" t="str">
        <f>'Blighted Map'!N7</f>
        <v>Tier do Mapa</v>
      </c>
      <c r="N45" s="11" t="str">
        <f>_xlfn.CONCAT("    public string DescriptionMapTier =&gt; """, M45, """;")</f>
        <v xml:space="preserve">    public string DescriptionMapTier =&gt; "Tier do Mapa";</v>
      </c>
      <c r="O45" s="13" t="str">
        <f>'Blighted Map'!P7</f>
        <v>Уровень карты</v>
      </c>
      <c r="P45" s="11" t="str">
        <f>_xlfn.CONCAT("    public string DescriptionMapTier =&gt; """, O45, """;")</f>
        <v xml:space="preserve">    public string DescriptionMapTier =&gt; "Уровень карты";</v>
      </c>
      <c r="Q45" s="13" t="str">
        <f>'Blighted Map'!R7</f>
        <v>ระดับแผนที่</v>
      </c>
      <c r="R45" s="11" t="str">
        <f>_xlfn.CONCAT("    public string DescriptionMapTier =&gt; """, Q45, """;")</f>
        <v xml:space="preserve">    public string DescriptionMapTier =&gt; "ระดับแผนที่";</v>
      </c>
      <c r="S45" s="13" t="s">
        <v>7936</v>
      </c>
      <c r="T45" s="11" t="str">
        <f>_xlfn.CONCAT("    public string DescriptionMapTier =&gt; """, S45, """;")</f>
        <v xml:space="preserve">    public string DescriptionMapTier =&gt; "地圖階級";</v>
      </c>
      <c r="V45" s="1" t="s">
        <v>68</v>
      </c>
    </row>
    <row r="46" spans="1:22" ht="15.95" customHeight="1" x14ac:dyDescent="0.25">
      <c r="A46" s="13" t="str">
        <f>Map!B8</f>
        <v>Item Quantity</v>
      </c>
      <c r="B46" s="11" t="str">
        <f>_xlfn.CONCAT("    public string DescriptionItemQuantity =&gt; """, A46, """;")</f>
        <v xml:space="preserve">    public string DescriptionItemQuantity =&gt; "Item Quantity";</v>
      </c>
      <c r="C46" s="13" t="str">
        <f>Map!D8</f>
        <v>Gegenstandsmenge</v>
      </c>
      <c r="D46" s="11" t="str">
        <f>_xlfn.CONCAT("    public string DescriptionItemQuantity =&gt; """, C46, """;")</f>
        <v xml:space="preserve">    public string DescriptionItemQuantity =&gt; "Gegenstandsmenge";</v>
      </c>
      <c r="E46" s="13" t="str">
        <f>Map!F8</f>
        <v>Cantidad de objetos</v>
      </c>
      <c r="F46" s="11" t="str">
        <f>_xlfn.CONCAT("    public string DescriptionItemQuantity =&gt; """, E46, """;")</f>
        <v xml:space="preserve">    public string DescriptionItemQuantity =&gt; "Cantidad de objetos";</v>
      </c>
      <c r="G46" s="13" t="str">
        <f>Map!H8</f>
        <v>Quantité d'objets</v>
      </c>
      <c r="H46" s="11" t="str">
        <f>_xlfn.CONCAT("    public string DescriptionItemQuantity =&gt; """, G46, """;")</f>
        <v xml:space="preserve">    public string DescriptionItemQuantity =&gt; "Quantité d'objets";</v>
      </c>
      <c r="I46" s="13" t="str">
        <f>Map!J8</f>
        <v>アイテム数量</v>
      </c>
      <c r="J46" s="11" t="str">
        <f>_xlfn.CONCAT("    public string DescriptionItemQuantity =&gt; """, I46, """;")</f>
        <v xml:space="preserve">    public string DescriptionItemQuantity =&gt; "アイテム数量";</v>
      </c>
      <c r="K46" s="13" t="str">
        <f>Map!L8</f>
        <v>아이템 수량</v>
      </c>
      <c r="L46" s="11" t="str">
        <f>_xlfn.CONCAT("    public string DescriptionItemQuantity =&gt; """, K46, """;")</f>
        <v xml:space="preserve">    public string DescriptionItemQuantity =&gt; "아이템 수량";</v>
      </c>
      <c r="M46" s="13" t="str">
        <f>Map!N8</f>
        <v>Quantidade de Itens</v>
      </c>
      <c r="N46" s="11" t="str">
        <f>_xlfn.CONCAT("    public string DescriptionItemQuantity =&gt; """, M46, """;")</f>
        <v xml:space="preserve">    public string DescriptionItemQuantity =&gt; "Quantidade de Itens";</v>
      </c>
      <c r="O46" s="13" t="str">
        <f>Map!P8</f>
        <v>Количество предметов</v>
      </c>
      <c r="P46" s="11" t="str">
        <f>_xlfn.CONCAT("    public string DescriptionItemQuantity =&gt; """, O46, """;")</f>
        <v xml:space="preserve">    public string DescriptionItemQuantity =&gt; "Количество предметов";</v>
      </c>
      <c r="Q46" s="13" t="str">
        <f>Map!R8</f>
        <v>จำนวนของไอเทม</v>
      </c>
      <c r="R46" s="11" t="str">
        <f>_xlfn.CONCAT("    public string DescriptionItemQuantity =&gt; """, Q46, """;")</f>
        <v xml:space="preserve">    public string DescriptionItemQuantity =&gt; "จำนวนของไอเทม";</v>
      </c>
      <c r="S46" s="13" t="s">
        <v>7937</v>
      </c>
      <c r="T46" s="11" t="str">
        <f>_xlfn.CONCAT("    public string DescriptionItemQuantity =&gt; """, S46, """;")</f>
        <v xml:space="preserve">    public string DescriptionItemQuantity =&gt; "物品數量";</v>
      </c>
      <c r="V46" s="1" t="s">
        <v>69</v>
      </c>
    </row>
    <row r="47" spans="1:22" ht="15.95" customHeight="1" x14ac:dyDescent="0.25">
      <c r="A47" s="13" t="str">
        <f>Map!B9</f>
        <v>Item Rarity</v>
      </c>
      <c r="B47" s="11" t="str">
        <f>_xlfn.CONCAT("    public string DescriptionItemRarity =&gt; """, A47, """;")</f>
        <v xml:space="preserve">    public string DescriptionItemRarity =&gt; "Item Rarity";</v>
      </c>
      <c r="C47" s="13" t="str">
        <f>Map!D9</f>
        <v>Gegenstandsseltenheit</v>
      </c>
      <c r="D47" s="11" t="str">
        <f>_xlfn.CONCAT("    public string DescriptionItemRarity =&gt; """, C47, """;")</f>
        <v xml:space="preserve">    public string DescriptionItemRarity =&gt; "Gegenstandsseltenheit";</v>
      </c>
      <c r="E47" s="13" t="str">
        <f>Map!F9</f>
        <v>Rareza de objetos</v>
      </c>
      <c r="F47" s="11" t="str">
        <f>_xlfn.CONCAT("    public string DescriptionItemRarity =&gt; """, E47, """;")</f>
        <v xml:space="preserve">    public string DescriptionItemRarity =&gt; "Rareza de objetos";</v>
      </c>
      <c r="G47" s="13" t="str">
        <f>Map!H9</f>
        <v>Rareté des objets</v>
      </c>
      <c r="H47" s="11" t="str">
        <f>_xlfn.CONCAT("    public string DescriptionItemRarity =&gt; """, G47, """;")</f>
        <v xml:space="preserve">    public string DescriptionItemRarity =&gt; "Rareté des objets";</v>
      </c>
      <c r="I47" s="13" t="str">
        <f>Map!J9</f>
        <v>アイテムレアリティ</v>
      </c>
      <c r="J47" s="11" t="str">
        <f>_xlfn.CONCAT("    public string DescriptionItemRarity =&gt; """, I47, """;")</f>
        <v xml:space="preserve">    public string DescriptionItemRarity =&gt; "アイテムレアリティ";</v>
      </c>
      <c r="K47" s="13" t="str">
        <f>Map!L9</f>
        <v>아이템 희귀도</v>
      </c>
      <c r="L47" s="11" t="str">
        <f>_xlfn.CONCAT("    public string DescriptionItemRarity =&gt; """, K47, """;")</f>
        <v xml:space="preserve">    public string DescriptionItemRarity =&gt; "아이템 희귀도";</v>
      </c>
      <c r="M47" s="13" t="str">
        <f>Map!N9</f>
        <v>Raridade de Itens</v>
      </c>
      <c r="N47" s="11" t="str">
        <f>_xlfn.CONCAT("    public string DescriptionItemRarity =&gt; """, M47, """;")</f>
        <v xml:space="preserve">    public string DescriptionItemRarity =&gt; "Raridade de Itens";</v>
      </c>
      <c r="O47" s="13" t="str">
        <f>Map!P9</f>
        <v>Редкость предметов</v>
      </c>
      <c r="P47" s="11" t="str">
        <f>_xlfn.CONCAT("    public string DescriptionItemRarity =&gt; """, O47, """;")</f>
        <v xml:space="preserve">    public string DescriptionItemRarity =&gt; "Редкость предметов";</v>
      </c>
      <c r="Q47" s="13" t="str">
        <f>Map!R9</f>
        <v>ระดับความหายากของไอเทม</v>
      </c>
      <c r="R47" s="11" t="str">
        <f>_xlfn.CONCAT("    public string DescriptionItemRarity =&gt; """, Q47, """;")</f>
        <v xml:space="preserve">    public string DescriptionItemRarity =&gt; "ระดับความหายากของไอเทม";</v>
      </c>
      <c r="S47" s="13" t="s">
        <v>7938</v>
      </c>
      <c r="T47" s="11" t="str">
        <f>_xlfn.CONCAT("    public string DescriptionItemRarity =&gt; """, S47, """;")</f>
        <v xml:space="preserve">    public string DescriptionItemRarity =&gt; "物品稀有度";</v>
      </c>
      <c r="V47" s="1" t="s">
        <v>70</v>
      </c>
    </row>
    <row r="48" spans="1:22" ht="15.95" customHeight="1" x14ac:dyDescent="0.25">
      <c r="A48" s="13" t="str">
        <f>Map!B10</f>
        <v>Monster Pack Size</v>
      </c>
      <c r="B48" s="11" t="str">
        <f>_xlfn.CONCAT("    public string DescriptionMonsterPackSize =&gt; """, A48, """;")</f>
        <v xml:space="preserve">    public string DescriptionMonsterPackSize =&gt; "Monster Pack Size";</v>
      </c>
      <c r="C48" s="13" t="str">
        <f>Map!D10</f>
        <v>Monstergruppengröße</v>
      </c>
      <c r="D48" s="11" t="str">
        <f>_xlfn.CONCAT("    public string DescriptionMonsterPackSize =&gt; """, C48, """;")</f>
        <v xml:space="preserve">    public string DescriptionMonsterPackSize =&gt; "Monstergruppengröße";</v>
      </c>
      <c r="E48" s="13" t="str">
        <f>Map!F10</f>
        <v>Tamaño de los grupos de monstruos</v>
      </c>
      <c r="F48" s="11" t="str">
        <f>_xlfn.CONCAT("    public string DescriptionMonsterPackSize =&gt; """, E48, """;")</f>
        <v xml:space="preserve">    public string DescriptionMonsterPackSize =&gt; "Tamaño de los grupos de monstruos";</v>
      </c>
      <c r="G48" s="13" t="str">
        <f>Map!H10</f>
        <v>Taille des groupes de monstres</v>
      </c>
      <c r="H48" s="11" t="str">
        <f>_xlfn.CONCAT("    public string DescriptionMonsterPackSize =&gt; """, G48, """;")</f>
        <v xml:space="preserve">    public string DescriptionMonsterPackSize =&gt; "Taille des groupes de monstres";</v>
      </c>
      <c r="I48" s="13" t="str">
        <f>Map!J10</f>
        <v>モンスターパックサイズ</v>
      </c>
      <c r="J48" s="11" t="str">
        <f>_xlfn.CONCAT("    public string DescriptionMonsterPackSize =&gt; """, I48, """;")</f>
        <v xml:space="preserve">    public string DescriptionMonsterPackSize =&gt; "モンスターパックサイズ";</v>
      </c>
      <c r="K48" s="13" t="str">
        <f>Map!L10</f>
        <v>몬스터 무리 규모</v>
      </c>
      <c r="L48" s="11" t="str">
        <f>_xlfn.CONCAT("    public string DescriptionMonsterPackSize =&gt; """, K48, """;")</f>
        <v xml:space="preserve">    public string DescriptionMonsterPackSize =&gt; "몬스터 무리 규모";</v>
      </c>
      <c r="M48" s="13" t="str">
        <f>Map!N10</f>
        <v>Tamanho do Grupo de Monstros</v>
      </c>
      <c r="N48" s="11" t="str">
        <f>_xlfn.CONCAT("    public string DescriptionMonsterPackSize =&gt; """, M48, """;")</f>
        <v xml:space="preserve">    public string DescriptionMonsterPackSize =&gt; "Tamanho do Grupo de Monstros";</v>
      </c>
      <c r="O48" s="13" t="str">
        <f>Map!P10</f>
        <v>Размер групп монстров</v>
      </c>
      <c r="P48" s="11" t="str">
        <f>_xlfn.CONCAT("    public string DescriptionMonsterPackSize =&gt; """, O48, """;")</f>
        <v xml:space="preserve">    public string DescriptionMonsterPackSize =&gt; "Размер групп монстров";</v>
      </c>
      <c r="Q48" s="13" t="str">
        <f>Map!R10</f>
        <v>ขนาดกองมอนสเตอร์</v>
      </c>
      <c r="R48" s="11" t="str">
        <f>_xlfn.CONCAT("    public string DescriptionMonsterPackSize =&gt; """, Q48, """;")</f>
        <v xml:space="preserve">    public string DescriptionMonsterPackSize =&gt; "ขนาดกองมอนสเตอร์";</v>
      </c>
      <c r="S48" s="13" t="s">
        <v>7939</v>
      </c>
      <c r="T48" s="11" t="str">
        <f>_xlfn.CONCAT("    public string DescriptionMonsterPackSize =&gt; """, S48, """;")</f>
        <v xml:space="preserve">    public string DescriptionMonsterPackSize =&gt; "怪物群大小";</v>
      </c>
      <c r="V48" s="1" t="s">
        <v>71</v>
      </c>
    </row>
    <row r="49" spans="1:22" ht="15.95" customHeight="1" x14ac:dyDescent="0.25">
      <c r="A49" s="13" t="str">
        <f>'White Wind'!B15</f>
        <v>Requirements</v>
      </c>
      <c r="B49" s="11" t="str">
        <f>_xlfn.CONCAT("    public string DescriptionRequirements =&gt; """, A49, """;")</f>
        <v xml:space="preserve">    public string DescriptionRequirements =&gt; "Requirements";</v>
      </c>
      <c r="C49" s="13" t="str">
        <f>'White Wind'!D15</f>
        <v>Anforderungen</v>
      </c>
      <c r="D49" s="11" t="str">
        <f>_xlfn.CONCAT("    public string DescriptionRequirements =&gt; """, C49, """;")</f>
        <v xml:space="preserve">    public string DescriptionRequirements =&gt; "Anforderungen";</v>
      </c>
      <c r="E49" s="13" t="str">
        <f>'White Wind'!F15</f>
        <v>Requisitos</v>
      </c>
      <c r="F49" s="11" t="str">
        <f>_xlfn.CONCAT("    public string DescriptionRequirements =&gt; """, E49, """;")</f>
        <v xml:space="preserve">    public string DescriptionRequirements =&gt; "Requisitos";</v>
      </c>
      <c r="G49" s="13" t="str">
        <f>'White Wind'!H15</f>
        <v>Prérequis</v>
      </c>
      <c r="H49" s="11" t="str">
        <f>_xlfn.CONCAT("    public string DescriptionRequirements =&gt; """, G49, """;")</f>
        <v xml:space="preserve">    public string DescriptionRequirements =&gt; "Prérequis";</v>
      </c>
      <c r="I49" s="13" t="str">
        <f>'White Wind'!J15</f>
        <v>装備要求</v>
      </c>
      <c r="J49" s="11" t="str">
        <f>_xlfn.CONCAT("    public string DescriptionRequirements =&gt; """, I49, """;")</f>
        <v xml:space="preserve">    public string DescriptionRequirements =&gt; "装備要求";</v>
      </c>
      <c r="K49" s="13" t="str">
        <f>'White Wind'!L15</f>
        <v>요구사항</v>
      </c>
      <c r="L49" s="11" t="str">
        <f>_xlfn.CONCAT("    public string DescriptionRequirements =&gt; """, K49, """;")</f>
        <v xml:space="preserve">    public string DescriptionRequirements =&gt; "요구사항";</v>
      </c>
      <c r="M49" s="13" t="str">
        <f>'White Wind'!N15</f>
        <v>Requisitos</v>
      </c>
      <c r="N49" s="11" t="str">
        <f>_xlfn.CONCAT("    public string DescriptionRequirements =&gt; """, M49, """;")</f>
        <v xml:space="preserve">    public string DescriptionRequirements =&gt; "Requisitos";</v>
      </c>
      <c r="O49" s="13" t="str">
        <f>'White Wind'!P15</f>
        <v>Требования</v>
      </c>
      <c r="P49" s="11" t="str">
        <f>_xlfn.CONCAT("    public string DescriptionRequirements =&gt; """, O49, """;")</f>
        <v xml:space="preserve">    public string DescriptionRequirements =&gt; "Требования";</v>
      </c>
      <c r="Q49" s="13" t="str">
        <f>'White Wind'!R15</f>
        <v>เงื่อนไข</v>
      </c>
      <c r="R49" s="11" t="str">
        <f>_xlfn.CONCAT("    public string DescriptionRequirements =&gt; """, Q49, """;")</f>
        <v xml:space="preserve">    public string DescriptionRequirements =&gt; "เงื่อนไข";</v>
      </c>
      <c r="S49" s="13" t="s">
        <v>7940</v>
      </c>
      <c r="T49" s="11" t="str">
        <f>_xlfn.CONCAT("    public string DescriptionRequirements =&gt; """, S49, """;")</f>
        <v xml:space="preserve">    public string DescriptionRequirements =&gt; "需求";</v>
      </c>
      <c r="V49" s="1" t="s">
        <v>57</v>
      </c>
    </row>
    <row r="50" spans="1:22" ht="15.95" customHeight="1" x14ac:dyDescent="0.25">
      <c r="A50" s="13" t="str">
        <f>Logbook!B7</f>
        <v>Area Level</v>
      </c>
      <c r="B50" s="11" t="str">
        <f>_xlfn.CONCAT("    public string DescriptionAreaLevel =&gt; """, A50, """;")</f>
        <v xml:space="preserve">    public string DescriptionAreaLevel =&gt; "Area Level";</v>
      </c>
      <c r="C50" s="13" t="str">
        <f>Logbook!D7</f>
        <v>Gebietsstufe</v>
      </c>
      <c r="D50" s="11" t="str">
        <f>_xlfn.CONCAT("    public string DescriptionAreaLevel =&gt; """, C50, """;")</f>
        <v xml:space="preserve">    public string DescriptionAreaLevel =&gt; "Gebietsstufe";</v>
      </c>
      <c r="E50" s="13" t="str">
        <f>Logbook!F7</f>
        <v>Nivel del área</v>
      </c>
      <c r="F50" s="11" t="str">
        <f>_xlfn.CONCAT("    public string DescriptionAreaLevel =&gt; """, E50, """;")</f>
        <v xml:space="preserve">    public string DescriptionAreaLevel =&gt; "Nivel del área";</v>
      </c>
      <c r="G50" s="13" t="str">
        <f>Logbook!H7</f>
        <v>Niveau de la zone</v>
      </c>
      <c r="H50" s="11" t="str">
        <f>_xlfn.CONCAT("    public string DescriptionAreaLevel =&gt; """, G50, """;")</f>
        <v xml:space="preserve">    public string DescriptionAreaLevel =&gt; "Niveau de la zone";</v>
      </c>
      <c r="I50" s="13" t="str">
        <f>Logbook!J7</f>
        <v>エリアレベル</v>
      </c>
      <c r="J50" s="11" t="str">
        <f>_xlfn.CONCAT("    public string DescriptionAreaLevel =&gt; """, I50, """;")</f>
        <v xml:space="preserve">    public string DescriptionAreaLevel =&gt; "エリアレベル";</v>
      </c>
      <c r="K50" s="13" t="str">
        <f>Logbook!L7</f>
        <v>지역 레벨</v>
      </c>
      <c r="L50" s="11" t="str">
        <f>_xlfn.CONCAT("    public string DescriptionAreaLevel =&gt; """, K50, """;")</f>
        <v xml:space="preserve">    public string DescriptionAreaLevel =&gt; "지역 레벨";</v>
      </c>
      <c r="M50" s="13" t="str">
        <f>Logbook!N7</f>
        <v>Nível da Área</v>
      </c>
      <c r="N50" s="11" t="str">
        <f>_xlfn.CONCAT("    public string DescriptionAreaLevel =&gt; """, M50, """;")</f>
        <v xml:space="preserve">    public string DescriptionAreaLevel =&gt; "Nível da Área";</v>
      </c>
      <c r="O50" s="13" t="str">
        <f>Logbook!P7</f>
        <v>Уровень области</v>
      </c>
      <c r="P50" s="11" t="str">
        <f>_xlfn.CONCAT("    public string DescriptionAreaLevel =&gt; """, O50, """;")</f>
        <v xml:space="preserve">    public string DescriptionAreaLevel =&gt; "Уровень области";</v>
      </c>
      <c r="Q50" s="13" t="str">
        <f>Logbook!R7</f>
        <v>ด่านเลเวล</v>
      </c>
      <c r="R50" s="11" t="str">
        <f>_xlfn.CONCAT("    public string DescriptionAreaLevel =&gt; """, Q50, """;")</f>
        <v xml:space="preserve">    public string DescriptionAreaLevel =&gt; "ด่านเลเวล";</v>
      </c>
      <c r="S50" s="13" t="s">
        <v>7941</v>
      </c>
      <c r="T50" s="11" t="str">
        <f>_xlfn.CONCAT("    public string DescriptionAreaLevel =&gt; """, S50, """;")</f>
        <v xml:space="preserve">    public string DescriptionAreaLevel =&gt; "區域等級";</v>
      </c>
      <c r="V50" s="1" t="s">
        <v>72</v>
      </c>
    </row>
    <row r="51" spans="1:22" ht="15.95" customHeight="1" x14ac:dyDescent="0.25">
      <c r="A51" s="12" t="s">
        <v>22</v>
      </c>
      <c r="B51" s="11"/>
      <c r="C51" s="12" t="s">
        <v>22</v>
      </c>
      <c r="D51" s="11"/>
      <c r="E51" s="12" t="s">
        <v>22</v>
      </c>
      <c r="F51" s="11"/>
      <c r="G51" s="12" t="s">
        <v>22</v>
      </c>
      <c r="H51" s="11"/>
      <c r="I51" s="12" t="s">
        <v>22</v>
      </c>
      <c r="J51" s="11"/>
      <c r="K51" s="12" t="s">
        <v>22</v>
      </c>
      <c r="L51" s="11"/>
      <c r="M51" s="12" t="s">
        <v>22</v>
      </c>
      <c r="N51" s="11"/>
      <c r="O51" s="12" t="s">
        <v>22</v>
      </c>
      <c r="P51" s="11"/>
      <c r="Q51" s="12" t="s">
        <v>22</v>
      </c>
      <c r="R51" s="11"/>
      <c r="S51" s="12" t="s">
        <v>22</v>
      </c>
      <c r="T51" s="11"/>
      <c r="V51" s="1" t="s">
        <v>22</v>
      </c>
    </row>
    <row r="52" spans="1:22" ht="15.95" customHeight="1" x14ac:dyDescent="0.25">
      <c r="A52" s="13" t="str">
        <f>'Life Flask'!B7</f>
        <v>Superior</v>
      </c>
      <c r="B52" s="11" t="str">
        <f>_xlfn.CONCAT("    public string AffixSuperior =&gt; """, A52, """;")</f>
        <v xml:space="preserve">    public string AffixSuperior =&gt; "Superior";</v>
      </c>
      <c r="C52" s="13" t="str">
        <f>'Life Flask'!D7</f>
        <v>(hochwertig)</v>
      </c>
      <c r="D52" s="11" t="str">
        <f>_xlfn.CONCAT("    public string AffixSuperior =&gt; """, C52, """;")</f>
        <v xml:space="preserve">    public string AffixSuperior =&gt; "(hochwertig)";</v>
      </c>
      <c r="E52" s="13" t="str">
        <f>'Life Flask'!F7</f>
        <v>Superior</v>
      </c>
      <c r="F52" s="11" t="str">
        <f>_xlfn.CONCAT("    public string AffixSuperior =&gt; """, E52, """;")</f>
        <v xml:space="preserve">    public string AffixSuperior =&gt; "Superior";</v>
      </c>
      <c r="G52" s="13" t="str">
        <f>'Life Flask'!H7</f>
        <v>supérieur</v>
      </c>
      <c r="H52" s="11" t="str">
        <f>_xlfn.CONCAT("    public string AffixSuperior =&gt; """, G52, """;")</f>
        <v xml:space="preserve">    public string AffixSuperior =&gt; "supérieur";</v>
      </c>
      <c r="I52" s="13" t="str">
        <f>'Life Flask'!J7</f>
        <v>上質な</v>
      </c>
      <c r="J52" s="11" t="str">
        <f>_xlfn.CONCAT("    public string AffixSuperior =&gt; """, I52, """;")</f>
        <v xml:space="preserve">    public string AffixSuperior =&gt; "上質な";</v>
      </c>
      <c r="K52" s="13" t="str">
        <f>'Life Flask'!L7</f>
        <v>상</v>
      </c>
      <c r="L52" s="11" t="str">
        <f>_xlfn.CONCAT("    public string AffixSuperior =&gt; """, K52, """;")</f>
        <v xml:space="preserve">    public string AffixSuperior =&gt; "상";</v>
      </c>
      <c r="M52" s="13" t="str">
        <f>'Life Flask'!N7</f>
        <v>Superior</v>
      </c>
      <c r="N52" s="11" t="str">
        <f>_xlfn.CONCAT("    public string AffixSuperior =&gt; """, M52, """;")</f>
        <v xml:space="preserve">    public string AffixSuperior =&gt; "Superior";</v>
      </c>
      <c r="O52" s="13" t="str">
        <f>'Life Flask'!P7</f>
        <v>высокого качества</v>
      </c>
      <c r="P52" s="11" t="str">
        <f>_xlfn.CONCAT("    public string AffixSuperior =&gt; """, O52, """;")</f>
        <v xml:space="preserve">    public string AffixSuperior =&gt; "высокого качества";</v>
      </c>
      <c r="Q52" s="13" t="str">
        <f>'Life Flask'!R7</f>
        <v>Superior</v>
      </c>
      <c r="R52" s="11" t="str">
        <f>_xlfn.CONCAT("    public string AffixSuperior =&gt; """, Q52, """;")</f>
        <v xml:space="preserve">    public string AffixSuperior =&gt; "Superior";</v>
      </c>
      <c r="S52" s="13" t="s">
        <v>7942</v>
      </c>
      <c r="T52" s="11" t="str">
        <f>_xlfn.CONCAT("    public string AffixSuperior =&gt; """, S52, """;")</f>
        <v xml:space="preserve">    public string AffixSuperior =&gt; "精良的";</v>
      </c>
      <c r="V52" s="1" t="s">
        <v>58</v>
      </c>
    </row>
    <row r="53" spans="1:22" ht="15.95" customHeight="1" x14ac:dyDescent="0.25">
      <c r="A53" s="13" t="str">
        <f>'Blighted Map'!B10</f>
        <v>Blighted</v>
      </c>
      <c r="B53" s="11" t="str">
        <f>_xlfn.CONCAT("    public string AffixBlighted =&gt; """, A53, """;")</f>
        <v xml:space="preserve">    public string AffixBlighted =&gt; "Blighted";</v>
      </c>
      <c r="C53" s="13" t="str">
        <f>'Blighted Map'!D10</f>
        <v>Befallene</v>
      </c>
      <c r="D53" s="11" t="str">
        <f>_xlfn.CONCAT("    public string AffixBlighted =&gt; """, C53, """;")</f>
        <v xml:space="preserve">    public string AffixBlighted =&gt; "Befallene";</v>
      </c>
      <c r="E53" s="13" t="str">
        <f>'Blighted Map'!F10</f>
        <v>infestado</v>
      </c>
      <c r="F53" s="11" t="str">
        <f>_xlfn.CONCAT("    public string AffixBlighted =&gt; """, E53, """;")</f>
        <v xml:space="preserve">    public string AffixBlighted =&gt; "infestado";</v>
      </c>
      <c r="G53" s="13" t="str">
        <f>'Blighted Map'!H10</f>
        <v>Carte infestée</v>
      </c>
      <c r="H53" s="11" t="str">
        <f>_xlfn.CONCAT("    public string AffixBlighted =&gt; """, G53, """;")</f>
        <v xml:space="preserve">    public string AffixBlighted =&gt; "Carte infestée";</v>
      </c>
      <c r="I53" s="13" t="str">
        <f>'Blighted Map'!J10</f>
        <v>ブライト</v>
      </c>
      <c r="J53" s="11" t="str">
        <f>_xlfn.CONCAT("    public string AffixBlighted =&gt; """, I53, """;")</f>
        <v xml:space="preserve">    public string AffixBlighted =&gt; "ブライト";</v>
      </c>
      <c r="K53" s="13" t="str">
        <f>'Blighted Map'!L10</f>
        <v>역병</v>
      </c>
      <c r="L53" s="11" t="str">
        <f>_xlfn.CONCAT("    public string AffixBlighted =&gt; """, K53, """;")</f>
        <v xml:space="preserve">    public string AffixBlighted =&gt; "역병";</v>
      </c>
      <c r="M53" s="13" t="str">
        <f>'Blighted Map'!N10</f>
        <v>Infestado</v>
      </c>
      <c r="N53" s="11" t="str">
        <f>_xlfn.CONCAT("    public string AffixBlighted =&gt; """, M53, """;")</f>
        <v xml:space="preserve">    public string AffixBlighted =&gt; "Infestado";</v>
      </c>
      <c r="O53" s="13" t="str">
        <f>'Blighted Map'!P10</f>
        <v>Заражённая</v>
      </c>
      <c r="P53" s="11" t="str">
        <f>_xlfn.CONCAT("    public string AffixBlighted =&gt; """, O53, """;")</f>
        <v xml:space="preserve">    public string AffixBlighted =&gt; "Заражённая";</v>
      </c>
      <c r="Q53" s="13" t="str">
        <f>'Blighted Map'!R10</f>
        <v>Blighted</v>
      </c>
      <c r="R53" s="11" t="str">
        <f>_xlfn.CONCAT("    public string AffixBlighted =&gt; """, Q53, """;")</f>
        <v xml:space="preserve">    public string AffixBlighted =&gt; "Blighted";</v>
      </c>
      <c r="S53" s="13" t="s">
        <v>7943</v>
      </c>
      <c r="T53" s="11" t="str">
        <f>_xlfn.CONCAT("    public string AffixBlighted =&gt; """, S53, """;")</f>
        <v xml:space="preserve">    public string AffixBlighted =&gt; "凋落的";</v>
      </c>
      <c r="V53" s="1" t="s">
        <v>59</v>
      </c>
    </row>
    <row r="54" spans="1:22" ht="15.95" customHeight="1" x14ac:dyDescent="0.25">
      <c r="A54" s="13" t="str">
        <f>'Blight-ravaged Map'!B7</f>
        <v>Blight-ravaged</v>
      </c>
      <c r="B54" s="11" t="str">
        <f>_xlfn.CONCAT("    public string AffixBlightRavaged =&gt; """, A54, """;")</f>
        <v xml:space="preserve">    public string AffixBlightRavaged =&gt; "Blight-ravaged";</v>
      </c>
      <c r="C54" s="13" t="str">
        <f>'Blight-ravaged Map'!D7</f>
        <v>Extrem befallene</v>
      </c>
      <c r="D54" s="11" t="str">
        <f>_xlfn.CONCAT("    public string AffixBlightRavaged =&gt; """, C54, """;")</f>
        <v xml:space="preserve">    public string AffixBlightRavaged =&gt; "Extrem befallene";</v>
      </c>
      <c r="E54" s="13" t="str">
        <f>'Blight-ravaged Map'!F7</f>
        <v>devastado por la plaga</v>
      </c>
      <c r="F54" s="11" t="str">
        <f>_xlfn.CONCAT("    public string AffixBlightRavaged =&gt; """, E54, """;")</f>
        <v xml:space="preserve">    public string AffixBlightRavaged =&gt; "devastado por la plaga";</v>
      </c>
      <c r="G54" s="13" t="str">
        <f>'Blight-ravaged Map'!H7</f>
        <v>Carte ravagée par l'Infestation</v>
      </c>
      <c r="H54" s="11" t="str">
        <f>_xlfn.CONCAT("    public string AffixBlightRavaged =&gt; """, G54, """;")</f>
        <v xml:space="preserve">    public string AffixBlightRavaged =&gt; "Carte ravagée par l'Infestation";</v>
      </c>
      <c r="I54" s="13" t="str">
        <f>'Blight-ravaged Map'!J7</f>
        <v>ブライトに破壊された</v>
      </c>
      <c r="J54" s="11" t="str">
        <f>_xlfn.CONCAT("    public string AffixBlightRavaged =&gt; """, I54, """;")</f>
        <v xml:space="preserve">    public string AffixBlightRavaged =&gt; "ブライトに破壊された";</v>
      </c>
      <c r="K54" s="13" t="str">
        <f>'Blight-ravaged Map'!L7</f>
        <v>역병에 유린당한</v>
      </c>
      <c r="L54" s="11" t="str">
        <f>_xlfn.CONCAT("    public string AffixBlightRavaged =&gt; """, K54, """;")</f>
        <v xml:space="preserve">    public string AffixBlightRavaged =&gt; "역병에 유린당한";</v>
      </c>
      <c r="M54" s="13" t="str">
        <f>'Blight-ravaged Map'!N7</f>
        <v>Devastado</v>
      </c>
      <c r="N54" s="11" t="str">
        <f>_xlfn.CONCAT("    public string AffixBlightRavaged =&gt; """, M54, """;")</f>
        <v xml:space="preserve">    public string AffixBlightRavaged =&gt; "Devastado";</v>
      </c>
      <c r="O54" s="13" t="str">
        <f>'Blight-ravaged Map'!P7</f>
        <v>Разорённая Скверной</v>
      </c>
      <c r="P54" s="11" t="str">
        <f>_xlfn.CONCAT("    public string AffixBlightRavaged =&gt; """, O54, """;")</f>
        <v xml:space="preserve">    public string AffixBlightRavaged =&gt; "Разорённая Скверной";</v>
      </c>
      <c r="Q54" s="13" t="str">
        <f>'Blight-ravaged Map'!R7</f>
        <v>Blight-ravaged</v>
      </c>
      <c r="R54" s="11" t="str">
        <f>_xlfn.CONCAT("    public string AffixBlightRavaged =&gt; """, Q54, """;")</f>
        <v xml:space="preserve">    public string AffixBlightRavaged =&gt; "Blight-ravaged";</v>
      </c>
      <c r="S54" s="13" t="s">
        <v>7944</v>
      </c>
      <c r="T54" s="11" t="str">
        <f>_xlfn.CONCAT("    public string AffixBlightRavaged =&gt; """, S54, """;")</f>
        <v xml:space="preserve">    public string AffixBlightRavaged =&gt; "凋落蔓延";</v>
      </c>
      <c r="V54" s="1" t="s">
        <v>741</v>
      </c>
    </row>
    <row r="55" spans="1:22" ht="15.95" customHeight="1" x14ac:dyDescent="0.25">
      <c r="A55" s="12" t="s">
        <v>22</v>
      </c>
      <c r="B55" s="11"/>
      <c r="C55" s="12" t="s">
        <v>22</v>
      </c>
      <c r="D55" s="11"/>
      <c r="E55" s="12" t="s">
        <v>22</v>
      </c>
      <c r="F55" s="11"/>
      <c r="G55" s="12" t="s">
        <v>22</v>
      </c>
      <c r="H55" s="11"/>
      <c r="I55" s="12" t="s">
        <v>22</v>
      </c>
      <c r="J55" s="11"/>
      <c r="K55" s="12" t="s">
        <v>22</v>
      </c>
      <c r="L55" s="11"/>
      <c r="M55" s="12" t="s">
        <v>22</v>
      </c>
      <c r="N55" s="11"/>
      <c r="O55" s="12" t="s">
        <v>22</v>
      </c>
      <c r="P55" s="11"/>
      <c r="Q55" s="12" t="s">
        <v>22</v>
      </c>
      <c r="R55" s="11"/>
      <c r="S55" s="12" t="s">
        <v>22</v>
      </c>
      <c r="T55" s="11"/>
      <c r="V55" s="1" t="s">
        <v>22</v>
      </c>
    </row>
    <row r="56" spans="1:22" ht="15.95" customHeight="1" x14ac:dyDescent="0.25">
      <c r="A56" s="13" t="str">
        <f>Shaper!B23</f>
        <v>Shaper Item</v>
      </c>
      <c r="B56" s="11" t="str">
        <f>_xlfn.CONCAT("    public string InfluenceShaper =&gt; """, A56, """;")</f>
        <v xml:space="preserve">    public string InfluenceShaper =&gt; "Shaper Item";</v>
      </c>
      <c r="C56" s="13" t="str">
        <f>Shaper!D23</f>
        <v>Schöpfer-Gegenstand</v>
      </c>
      <c r="D56" s="11" t="str">
        <f>_xlfn.CONCAT("    public string InfluenceShaper =&gt; """, C56, """;")</f>
        <v xml:space="preserve">    public string InfluenceShaper =&gt; "Schöpfer-Gegenstand";</v>
      </c>
      <c r="E56" s="13" t="str">
        <f>Shaper!F23</f>
        <v>Objeto del Creador</v>
      </c>
      <c r="F56" s="11" t="str">
        <f>_xlfn.CONCAT("    public string InfluenceShaper =&gt; """, E56, """;")</f>
        <v xml:space="preserve">    public string InfluenceShaper =&gt; "Objeto del Creador";</v>
      </c>
      <c r="G56" s="13" t="str">
        <f>Shaper!H23</f>
        <v>Objet du Façonneur</v>
      </c>
      <c r="H56" s="11" t="str">
        <f>_xlfn.CONCAT("    public string InfluenceShaper =&gt; """, G56, """;")</f>
        <v xml:space="preserve">    public string InfluenceShaper =&gt; "Objet du Façonneur";</v>
      </c>
      <c r="I56" s="13" t="str">
        <f>Shaper!J23</f>
        <v>シェイパーアイテム</v>
      </c>
      <c r="J56" s="11" t="str">
        <f>_xlfn.CONCAT("    public string InfluenceShaper =&gt; """, I56, """;")</f>
        <v xml:space="preserve">    public string InfluenceShaper =&gt; "シェイパーアイテム";</v>
      </c>
      <c r="K56" s="13" t="str">
        <f>Shaper!L23</f>
        <v>쉐이퍼 아이템</v>
      </c>
      <c r="L56" s="11" t="str">
        <f>_xlfn.CONCAT("    public string InfluenceShaper =&gt; """, K56, """;")</f>
        <v xml:space="preserve">    public string InfluenceShaper =&gt; "쉐이퍼 아이템";</v>
      </c>
      <c r="M56" s="13" t="str">
        <f>Shaper!N23</f>
        <v>Item do Criador</v>
      </c>
      <c r="N56" s="11" t="str">
        <f>_xlfn.CONCAT("    public string InfluenceShaper =&gt; """, M56, """;")</f>
        <v xml:space="preserve">    public string InfluenceShaper =&gt; "Item do Criador";</v>
      </c>
      <c r="O56" s="13" t="str">
        <f>Shaper!P23</f>
        <v>Предмет Создателя</v>
      </c>
      <c r="P56" s="11" t="str">
        <f>_xlfn.CONCAT("    public string InfluenceShaper =&gt; """, O56, """;")</f>
        <v xml:space="preserve">    public string InfluenceShaper =&gt; "Предмет Создателя";</v>
      </c>
      <c r="Q56" s="13" t="str">
        <f>Shaper!R23</f>
        <v>ไอเทมเชปเปอร์</v>
      </c>
      <c r="R56" s="11" t="str">
        <f>_xlfn.CONCAT("    public string InfluenceShaper =&gt; """, Q56, """;")</f>
        <v xml:space="preserve">    public string InfluenceShaper =&gt; "ไอเทมเชปเปอร์";</v>
      </c>
      <c r="S56" s="13" t="s">
        <v>7945</v>
      </c>
      <c r="T56" s="11" t="str">
        <f>_xlfn.CONCAT("    public string InfluenceShaper =&gt; """, S56, """;")</f>
        <v xml:space="preserve">    public string InfluenceShaper =&gt; "塑者之物";</v>
      </c>
      <c r="V56" s="1" t="s">
        <v>785</v>
      </c>
    </row>
    <row r="57" spans="1:22" ht="15.95" customHeight="1" x14ac:dyDescent="0.25">
      <c r="A57" s="13" t="str">
        <f>Elder!B27</f>
        <v>Elder Item</v>
      </c>
      <c r="B57" s="11" t="str">
        <f>_xlfn.CONCAT("    public string InfluenceElder =&gt; """, A57, """;")</f>
        <v xml:space="preserve">    public string InfluenceElder =&gt; "Elder Item";</v>
      </c>
      <c r="C57" s="13" t="str">
        <f>Elder!D27</f>
        <v>Ältesten-Gegenstand</v>
      </c>
      <c r="D57" s="11" t="str">
        <f>_xlfn.CONCAT("    public string InfluenceElder =&gt; """, C57, """;")</f>
        <v xml:space="preserve">    public string InfluenceElder =&gt; "Ältesten-Gegenstand";</v>
      </c>
      <c r="E57" s="13" t="str">
        <f>Elder!F27</f>
        <v>Objeto del Antiguo</v>
      </c>
      <c r="F57" s="11" t="str">
        <f>_xlfn.CONCAT("    public string InfluenceElder =&gt; """, E57, """;")</f>
        <v xml:space="preserve">    public string InfluenceElder =&gt; "Objeto del Antiguo";</v>
      </c>
      <c r="G57" s="13" t="str">
        <f>Elder!H27</f>
        <v>Objet de l'Ancien</v>
      </c>
      <c r="H57" s="11" t="str">
        <f>_xlfn.CONCAT("    public string InfluenceElder =&gt; """, G57, """;")</f>
        <v xml:space="preserve">    public string InfluenceElder =&gt; "Objet de l'Ancien";</v>
      </c>
      <c r="I57" s="13" t="str">
        <f>Elder!J27</f>
        <v>エルダーアイテム</v>
      </c>
      <c r="J57" s="11" t="str">
        <f>_xlfn.CONCAT("    public string InfluenceElder =&gt; """, I57, """;")</f>
        <v xml:space="preserve">    public string InfluenceElder =&gt; "エルダーアイテム";</v>
      </c>
      <c r="K57" s="13" t="str">
        <f>Elder!L27</f>
        <v>엘더 아이템</v>
      </c>
      <c r="L57" s="11" t="str">
        <f>_xlfn.CONCAT("    public string InfluenceElder =&gt; """, K57, """;")</f>
        <v xml:space="preserve">    public string InfluenceElder =&gt; "엘더 아이템";</v>
      </c>
      <c r="M57" s="13" t="str">
        <f>Elder!N27</f>
        <v>Item do Ancião</v>
      </c>
      <c r="N57" s="11" t="str">
        <f>_xlfn.CONCAT("    public string InfluenceElder =&gt; """, M57, """;")</f>
        <v xml:space="preserve">    public string InfluenceElder =&gt; "Item do Ancião";</v>
      </c>
      <c r="O57" s="13" t="str">
        <f>Elder!P27</f>
        <v>Древний предмет</v>
      </c>
      <c r="P57" s="11" t="str">
        <f>_xlfn.CONCAT("    public string InfluenceElder =&gt; """, O57, """;")</f>
        <v xml:space="preserve">    public string InfluenceElder =&gt; "Древний предмет";</v>
      </c>
      <c r="Q57" s="13" t="str">
        <f>Elder!R27</f>
        <v>ไอเทมเอลเดอร์</v>
      </c>
      <c r="R57" s="11" t="str">
        <f>_xlfn.CONCAT("    public string InfluenceElder =&gt; """, Q57, """;")</f>
        <v xml:space="preserve">    public string InfluenceElder =&gt; "ไอเทมเอลเดอร์";</v>
      </c>
      <c r="S57" s="13" t="s">
        <v>7946</v>
      </c>
      <c r="T57" s="11" t="str">
        <f>_xlfn.CONCAT("    public string InfluenceElder =&gt; """, S57, """;")</f>
        <v xml:space="preserve">    public string InfluenceElder =&gt; "尊師之物";</v>
      </c>
      <c r="V57" s="1" t="s">
        <v>810</v>
      </c>
    </row>
    <row r="58" spans="1:22" ht="15.95" customHeight="1" x14ac:dyDescent="0.25">
      <c r="A58" s="13" t="str">
        <f>Crusader!B20</f>
        <v>Crusader Item</v>
      </c>
      <c r="B58" s="11" t="str">
        <f>_xlfn.CONCAT("    public string InfluenceCrusader =&gt; """, A58, """;")</f>
        <v xml:space="preserve">    public string InfluenceCrusader =&gt; "Crusader Item";</v>
      </c>
      <c r="C58" s="13" t="str">
        <f>Crusader!D20</f>
        <v>Kreuzritter-Gegenstand</v>
      </c>
      <c r="D58" s="11" t="str">
        <f>_xlfn.CONCAT("    public string InfluenceCrusader =&gt; """, C58, """;")</f>
        <v xml:space="preserve">    public string InfluenceCrusader =&gt; "Kreuzritter-Gegenstand";</v>
      </c>
      <c r="E58" s="13" t="str">
        <f>Crusader!F20</f>
        <v>Objeto del Cruzado</v>
      </c>
      <c r="F58" s="11" t="str">
        <f>_xlfn.CONCAT("    public string InfluenceCrusader =&gt; """, E58, """;")</f>
        <v xml:space="preserve">    public string InfluenceCrusader =&gt; "Objeto del Cruzado";</v>
      </c>
      <c r="G58" s="13" t="str">
        <f>Crusader!H20</f>
        <v>Objet du Croisé</v>
      </c>
      <c r="H58" s="11" t="str">
        <f>_xlfn.CONCAT("    public string InfluenceCrusader =&gt; """, G58, """;")</f>
        <v xml:space="preserve">    public string InfluenceCrusader =&gt; "Objet du Croisé";</v>
      </c>
      <c r="I58" s="13" t="str">
        <f>Crusader!J20</f>
        <v>クルセイダーアイテム</v>
      </c>
      <c r="J58" s="11" t="str">
        <f>_xlfn.CONCAT("    public string InfluenceCrusader =&gt; """, I58, """;")</f>
        <v xml:space="preserve">    public string InfluenceCrusader =&gt; "クルセイダーアイテム";</v>
      </c>
      <c r="K58" s="13" t="str">
        <f>Crusader!L20</f>
        <v>십자군 아이템</v>
      </c>
      <c r="L58" s="11" t="str">
        <f>_xlfn.CONCAT("    public string InfluenceCrusader =&gt; """, K58, """;")</f>
        <v xml:space="preserve">    public string InfluenceCrusader =&gt; "십자군 아이템";</v>
      </c>
      <c r="M58" s="13" t="str">
        <f>Crusader!N20</f>
        <v>Item do Cruzado</v>
      </c>
      <c r="N58" s="11" t="str">
        <f>_xlfn.CONCAT("    public string InfluenceCrusader =&gt; """, M58, """;")</f>
        <v xml:space="preserve">    public string InfluenceCrusader =&gt; "Item do Cruzado";</v>
      </c>
      <c r="O58" s="13" t="str">
        <f>Crusader!P20</f>
        <v>Предмет Крестоносца</v>
      </c>
      <c r="P58" s="11" t="str">
        <f>_xlfn.CONCAT("    public string InfluenceCrusader =&gt; """, O58, """;")</f>
        <v xml:space="preserve">    public string InfluenceCrusader =&gt; "Предмет Крестоносца";</v>
      </c>
      <c r="Q58" s="13" t="str">
        <f>Crusader!R20</f>
        <v>ไอเทมผู้พิชิตอธรรม</v>
      </c>
      <c r="R58" s="11" t="str">
        <f>_xlfn.CONCAT("    public string InfluenceCrusader =&gt; """, Q58, """;")</f>
        <v xml:space="preserve">    public string InfluenceCrusader =&gt; "ไอเทมผู้พิชิตอธรรม";</v>
      </c>
      <c r="S58" s="13" t="s">
        <v>7947</v>
      </c>
      <c r="T58" s="11" t="str">
        <f>_xlfn.CONCAT("    public string InfluenceCrusader =&gt; """, S58, """;")</f>
        <v xml:space="preserve">    public string InfluenceCrusader =&gt; "聖戰軍王物品";</v>
      </c>
      <c r="V58" s="1" t="s">
        <v>828</v>
      </c>
    </row>
    <row r="59" spans="1:22" ht="15.95" customHeight="1" x14ac:dyDescent="0.25">
      <c r="A59" s="13" t="str">
        <f>Hunter!B23</f>
        <v>Hunter Item</v>
      </c>
      <c r="B59" s="11" t="str">
        <f>_xlfn.CONCAT("    public string InfluenceHunter =&gt; """, A59, """;")</f>
        <v xml:space="preserve">    public string InfluenceHunter =&gt; "Hunter Item";</v>
      </c>
      <c r="C59" s="13" t="str">
        <f>Hunter!D23</f>
        <v>Jäger-Gegenstand</v>
      </c>
      <c r="D59" s="11" t="str">
        <f>_xlfn.CONCAT("    public string InfluenceHunter =&gt; """, C59, """;")</f>
        <v xml:space="preserve">    public string InfluenceHunter =&gt; "Jäger-Gegenstand";</v>
      </c>
      <c r="E59" s="13" t="str">
        <f>Hunter!F23</f>
        <v>Objeto del Cazador</v>
      </c>
      <c r="F59" s="11" t="str">
        <f>_xlfn.CONCAT("    public string InfluenceHunter =&gt; """, E59, """;")</f>
        <v xml:space="preserve">    public string InfluenceHunter =&gt; "Objeto del Cazador";</v>
      </c>
      <c r="G59" s="13" t="str">
        <f>Hunter!H23</f>
        <v>Objet du Chasseur</v>
      </c>
      <c r="H59" s="11" t="str">
        <f>_xlfn.CONCAT("    public string InfluenceHunter =&gt; """, G59, """;")</f>
        <v xml:space="preserve">    public string InfluenceHunter =&gt; "Objet du Chasseur";</v>
      </c>
      <c r="I59" s="13" t="str">
        <f>Hunter!J23</f>
        <v>ハンターアイテム</v>
      </c>
      <c r="J59" s="11" t="str">
        <f>_xlfn.CONCAT("    public string InfluenceHunter =&gt; """, I59, """;")</f>
        <v xml:space="preserve">    public string InfluenceHunter =&gt; "ハンターアイテム";</v>
      </c>
      <c r="K59" s="13" t="str">
        <f>Hunter!L23</f>
        <v>사냥꾼 아이템</v>
      </c>
      <c r="L59" s="11" t="str">
        <f>_xlfn.CONCAT("    public string InfluenceHunter =&gt; """, K59, """;")</f>
        <v xml:space="preserve">    public string InfluenceHunter =&gt; "사냥꾼 아이템";</v>
      </c>
      <c r="M59" s="13" t="str">
        <f>Hunter!N23</f>
        <v>Item do Caçador</v>
      </c>
      <c r="N59" s="11" t="str">
        <f>_xlfn.CONCAT("    public string InfluenceHunter =&gt; """, M59, """;")</f>
        <v xml:space="preserve">    public string InfluenceHunter =&gt; "Item do Caçador";</v>
      </c>
      <c r="O59" s="13" t="str">
        <f>Hunter!P23</f>
        <v>Предмет Охотника</v>
      </c>
      <c r="P59" s="11" t="str">
        <f>_xlfn.CONCAT("    public string InfluenceHunter =&gt; """, O59, """;")</f>
        <v xml:space="preserve">    public string InfluenceHunter =&gt; "Предмет Охотника";</v>
      </c>
      <c r="Q59" s="13" t="str">
        <f>Hunter!R23</f>
        <v>ไอเทมผู้พิชิตเหยื่อ</v>
      </c>
      <c r="R59" s="11" t="str">
        <f>_xlfn.CONCAT("    public string InfluenceHunter =&gt; """, Q59, """;")</f>
        <v xml:space="preserve">    public string InfluenceHunter =&gt; "ไอเทมผู้พิชิตเหยื่อ";</v>
      </c>
      <c r="S59" s="13" t="s">
        <v>7948</v>
      </c>
      <c r="T59" s="11" t="str">
        <f>_xlfn.CONCAT("    public string InfluenceHunter =&gt; """, S59, """;")</f>
        <v xml:space="preserve">    public string InfluenceHunter =&gt; "狩獵者物品";</v>
      </c>
      <c r="V59" s="1" t="s">
        <v>796</v>
      </c>
    </row>
    <row r="60" spans="1:22" ht="15.95" customHeight="1" x14ac:dyDescent="0.25">
      <c r="A60" s="13" t="str">
        <f>Redeemer!B21</f>
        <v>Redeemer Item</v>
      </c>
      <c r="B60" s="11" t="str">
        <f>_xlfn.CONCAT("    public string InfluenceRedeemer =&gt; """, A60, """;")</f>
        <v xml:space="preserve">    public string InfluenceRedeemer =&gt; "Redeemer Item";</v>
      </c>
      <c r="C60" s="13" t="str">
        <f>Redeemer!D21</f>
        <v>Erlöserin-Gegenstand</v>
      </c>
      <c r="D60" s="11" t="str">
        <f>_xlfn.CONCAT("    public string InfluenceRedeemer =&gt; """, C60, """;")</f>
        <v xml:space="preserve">    public string InfluenceRedeemer =&gt; "Erlöserin-Gegenstand";</v>
      </c>
      <c r="E60" s="13" t="str">
        <f>Redeemer!F21</f>
        <v>Objeto de la Redentora</v>
      </c>
      <c r="F60" s="11" t="str">
        <f>_xlfn.CONCAT("    public string InfluenceRedeemer =&gt; """, E60, """;")</f>
        <v xml:space="preserve">    public string InfluenceRedeemer =&gt; "Objeto de la Redentora";</v>
      </c>
      <c r="G60" s="13" t="str">
        <f>Redeemer!H21</f>
        <v>Objet de la Rédemptrice</v>
      </c>
      <c r="H60" s="11" t="str">
        <f>_xlfn.CONCAT("    public string InfluenceRedeemer =&gt; """, G60, """;")</f>
        <v xml:space="preserve">    public string InfluenceRedeemer =&gt; "Objet de la Rédemptrice";</v>
      </c>
      <c r="I60" s="13" t="str">
        <f>Redeemer!J21</f>
        <v>レディーマーアイテム</v>
      </c>
      <c r="J60" s="11" t="str">
        <f>_xlfn.CONCAT("    public string InfluenceRedeemer =&gt; """, I60, """;")</f>
        <v xml:space="preserve">    public string InfluenceRedeemer =&gt; "レディーマーアイテム";</v>
      </c>
      <c r="K60" s="13" t="str">
        <f>Redeemer!L21</f>
        <v>대속자 아이템</v>
      </c>
      <c r="L60" s="11" t="str">
        <f>_xlfn.CONCAT("    public string InfluenceRedeemer =&gt; """, K60, """;")</f>
        <v xml:space="preserve">    public string InfluenceRedeemer =&gt; "대속자 아이템";</v>
      </c>
      <c r="M60" s="13" t="str">
        <f>Redeemer!N21</f>
        <v>Item do Redentor</v>
      </c>
      <c r="N60" s="11" t="str">
        <f>_xlfn.CONCAT("    public string InfluenceRedeemer =&gt; """, M60, """;")</f>
        <v xml:space="preserve">    public string InfluenceRedeemer =&gt; "Item do Redentor";</v>
      </c>
      <c r="O60" s="13" t="str">
        <f>Redeemer!P21</f>
        <v>Предмет Избавительницы</v>
      </c>
      <c r="P60" s="11" t="str">
        <f>_xlfn.CONCAT("    public string InfluenceRedeemer =&gt; """, O60, """;")</f>
        <v xml:space="preserve">    public string InfluenceRedeemer =&gt; "Предмет Избавительницы";</v>
      </c>
      <c r="Q60" s="13" t="str">
        <f>Redeemer!R21</f>
        <v>ไอเทมผู้พิชิตบาป</v>
      </c>
      <c r="R60" s="11" t="str">
        <f>_xlfn.CONCAT("    public string InfluenceRedeemer =&gt; """, Q60, """;")</f>
        <v xml:space="preserve">    public string InfluenceRedeemer =&gt; "ไอเทมผู้พิชิตบาป";</v>
      </c>
      <c r="S60" s="13" t="s">
        <v>7949</v>
      </c>
      <c r="T60" s="11" t="str">
        <f>_xlfn.CONCAT("    public string InfluenceRedeemer =&gt; """, S60, """;")</f>
        <v xml:space="preserve">    public string InfluenceRedeemer =&gt; "救贖者物品";</v>
      </c>
      <c r="V60" s="1" t="s">
        <v>820</v>
      </c>
    </row>
    <row r="61" spans="1:22" ht="15.95" customHeight="1" x14ac:dyDescent="0.25">
      <c r="A61" s="13" t="str">
        <f>Warlord!B24</f>
        <v>Warlord Item</v>
      </c>
      <c r="B61" s="11" t="str">
        <f>_xlfn.CONCAT("    public string InfluenceWarlord =&gt; """, A61, """;")</f>
        <v xml:space="preserve">    public string InfluenceWarlord =&gt; "Warlord Item";</v>
      </c>
      <c r="C61" s="13" t="str">
        <f>Warlord!D24</f>
        <v>Kriegsfürst-Gegenstand</v>
      </c>
      <c r="D61" s="11" t="str">
        <f>_xlfn.CONCAT("    public string InfluenceWarlord =&gt; """, C61, """;")</f>
        <v xml:space="preserve">    public string InfluenceWarlord =&gt; "Kriegsfürst-Gegenstand";</v>
      </c>
      <c r="E61" s="13" t="str">
        <f>Warlord!F24</f>
        <v>Objeto del Jefe de guerra</v>
      </c>
      <c r="F61" s="11" t="str">
        <f>_xlfn.CONCAT("    public string InfluenceWarlord =&gt; """, E61, """;")</f>
        <v xml:space="preserve">    public string InfluenceWarlord =&gt; "Objeto del Jefe de guerra";</v>
      </c>
      <c r="G61" s="13" t="str">
        <f>Warlord!H24</f>
        <v>Objet du Seigneur de guerre</v>
      </c>
      <c r="H61" s="11" t="str">
        <f>_xlfn.CONCAT("    public string InfluenceWarlord =&gt; """, G61, """;")</f>
        <v xml:space="preserve">    public string InfluenceWarlord =&gt; "Objet du Seigneur de guerre";</v>
      </c>
      <c r="I61" s="13" t="str">
        <f>Warlord!J24</f>
        <v>ウォーロードアイテム</v>
      </c>
      <c r="J61" s="11" t="str">
        <f>_xlfn.CONCAT("    public string InfluenceWarlord =&gt; """, I61, """;")</f>
        <v xml:space="preserve">    public string InfluenceWarlord =&gt; "ウォーロードアイテム";</v>
      </c>
      <c r="K61" s="13" t="str">
        <f>Warlord!L24</f>
        <v>전쟁군주 아이템</v>
      </c>
      <c r="L61" s="11" t="str">
        <f>_xlfn.CONCAT("    public string InfluenceWarlord =&gt; """, K61, """;")</f>
        <v xml:space="preserve">    public string InfluenceWarlord =&gt; "전쟁군주 아이템";</v>
      </c>
      <c r="M61" s="13" t="str">
        <f>Warlord!N24</f>
        <v>Item do Senhor da Guerra</v>
      </c>
      <c r="N61" s="11" t="str">
        <f>_xlfn.CONCAT("    public string InfluenceWarlord =&gt; """, M61, """;")</f>
        <v xml:space="preserve">    public string InfluenceWarlord =&gt; "Item do Senhor da Guerra";</v>
      </c>
      <c r="O61" s="13" t="str">
        <f>Warlord!P24</f>
        <v>Предмет Вождя</v>
      </c>
      <c r="P61" s="11" t="str">
        <f>_xlfn.CONCAT("    public string InfluenceWarlord =&gt; """, O61, """;")</f>
        <v xml:space="preserve">    public string InfluenceWarlord =&gt; "Предмет Вождя";</v>
      </c>
      <c r="Q61" s="13" t="str">
        <f>Warlord!R24</f>
        <v>ไอเทมผู้พิชิตศึก</v>
      </c>
      <c r="R61" s="11" t="str">
        <f>_xlfn.CONCAT("    public string InfluenceWarlord =&gt; """, Q61, """;")</f>
        <v xml:space="preserve">    public string InfluenceWarlord =&gt; "ไอเทมผู้พิชิตศึก";</v>
      </c>
      <c r="S61" s="13" t="s">
        <v>7950</v>
      </c>
      <c r="T61" s="11" t="str">
        <f>_xlfn.CONCAT("    public string InfluenceWarlord =&gt; """, S61, """;")</f>
        <v xml:space="preserve">    public string InfluenceWarlord =&gt; "總督軍物品";</v>
      </c>
      <c r="V61" s="1" t="s">
        <v>777</v>
      </c>
    </row>
    <row r="62" spans="1:22" ht="15.95" customHeight="1" x14ac:dyDescent="0.25">
      <c r="A62" s="12" t="s">
        <v>22</v>
      </c>
      <c r="B62" s="11"/>
      <c r="C62" s="12" t="s">
        <v>22</v>
      </c>
      <c r="D62" s="11"/>
      <c r="E62" s="12" t="s">
        <v>22</v>
      </c>
      <c r="F62" s="11"/>
      <c r="G62" s="12" t="s">
        <v>22</v>
      </c>
      <c r="H62" s="11"/>
      <c r="I62" s="12" t="s">
        <v>22</v>
      </c>
      <c r="J62" s="11"/>
      <c r="K62" s="12" t="s">
        <v>22</v>
      </c>
      <c r="L62" s="11"/>
      <c r="M62" s="12" t="s">
        <v>22</v>
      </c>
      <c r="N62" s="11"/>
      <c r="O62" s="12" t="s">
        <v>22</v>
      </c>
      <c r="P62" s="11"/>
      <c r="Q62" s="12" t="s">
        <v>22</v>
      </c>
      <c r="R62" s="11"/>
      <c r="S62" s="12" t="s">
        <v>22</v>
      </c>
      <c r="T62" s="11"/>
      <c r="V62" s="1" t="s">
        <v>22</v>
      </c>
    </row>
    <row r="63" spans="1:22" ht="15.95" customHeight="1" x14ac:dyDescent="0.25">
      <c r="A63" s="12" t="s">
        <v>22</v>
      </c>
      <c r="B63" s="11" t="s">
        <v>6597</v>
      </c>
      <c r="C63" s="12" t="s">
        <v>22</v>
      </c>
      <c r="D63" s="11" t="s">
        <v>6597</v>
      </c>
      <c r="E63" s="12" t="s">
        <v>22</v>
      </c>
      <c r="F63" s="11" t="s">
        <v>6597</v>
      </c>
      <c r="G63" s="12" t="s">
        <v>22</v>
      </c>
      <c r="H63" s="11" t="s">
        <v>6597</v>
      </c>
      <c r="I63" s="12" t="s">
        <v>22</v>
      </c>
      <c r="J63" s="11" t="s">
        <v>6597</v>
      </c>
      <c r="K63" s="12" t="s">
        <v>22</v>
      </c>
      <c r="L63" s="11" t="s">
        <v>6597</v>
      </c>
      <c r="M63" s="12" t="s">
        <v>22</v>
      </c>
      <c r="N63" s="11" t="s">
        <v>6597</v>
      </c>
      <c r="O63" s="12" t="s">
        <v>22</v>
      </c>
      <c r="P63" s="11" t="s">
        <v>6597</v>
      </c>
      <c r="Q63" s="12" t="s">
        <v>22</v>
      </c>
      <c r="R63" s="11" t="s">
        <v>6597</v>
      </c>
      <c r="S63" s="12" t="s">
        <v>22</v>
      </c>
      <c r="T63" s="11" t="s">
        <v>6597</v>
      </c>
      <c r="V63" s="1" t="s">
        <v>22</v>
      </c>
    </row>
    <row r="64" spans="1:22" ht="15.95" customHeight="1" x14ac:dyDescent="0.25">
      <c r="A64" s="12" t="s">
        <v>22</v>
      </c>
      <c r="B64" s="11" t="s">
        <v>14</v>
      </c>
      <c r="C64" s="12" t="s">
        <v>22</v>
      </c>
      <c r="D64" s="11" t="s">
        <v>14</v>
      </c>
      <c r="E64" s="12" t="s">
        <v>22</v>
      </c>
      <c r="F64" s="11" t="s">
        <v>14</v>
      </c>
      <c r="G64" s="12" t="s">
        <v>22</v>
      </c>
      <c r="H64" s="11" t="s">
        <v>14</v>
      </c>
      <c r="I64" s="12" t="s">
        <v>22</v>
      </c>
      <c r="J64" s="11" t="s">
        <v>14</v>
      </c>
      <c r="K64" s="12" t="s">
        <v>22</v>
      </c>
      <c r="L64" s="11" t="s">
        <v>14</v>
      </c>
      <c r="M64" s="12" t="s">
        <v>22</v>
      </c>
      <c r="N64" s="11" t="s">
        <v>14</v>
      </c>
      <c r="O64" s="12" t="s">
        <v>22</v>
      </c>
      <c r="P64" s="11" t="s">
        <v>14</v>
      </c>
      <c r="Q64" s="12" t="s">
        <v>22</v>
      </c>
      <c r="R64" s="11" t="s">
        <v>14</v>
      </c>
      <c r="S64" s="12" t="s">
        <v>22</v>
      </c>
      <c r="T64" s="11" t="s">
        <v>14</v>
      </c>
      <c r="V64" s="1" t="s">
        <v>22</v>
      </c>
    </row>
    <row r="65" spans="1:22" ht="15.95" customHeight="1" x14ac:dyDescent="0.25">
      <c r="A65" s="19" t="str">
        <f>Belt!B3</f>
        <v>Item Class</v>
      </c>
      <c r="B65" s="11" t="str">
        <f>_xlfn.CONCAT("        Prefix = """, A65, """,")</f>
        <v xml:space="preserve">        Prefix = "Item Class",</v>
      </c>
      <c r="C65" s="19" t="str">
        <f>Belt!D3</f>
        <v>Gegenstandsklasse</v>
      </c>
      <c r="D65" s="11" t="str">
        <f>_xlfn.CONCAT("        Prefix = """, C65, """,")</f>
        <v xml:space="preserve">        Prefix = "Gegenstandsklasse",</v>
      </c>
      <c r="E65" s="19" t="str">
        <f>Belt!F3</f>
        <v>Clase de objeto</v>
      </c>
      <c r="F65" s="11" t="str">
        <f>_xlfn.CONCAT("        Prefix = """, E65, """,")</f>
        <v xml:space="preserve">        Prefix = "Clase de objeto",</v>
      </c>
      <c r="G65" s="19" t="str">
        <f>Belt!H3</f>
        <v>Classe d'objet</v>
      </c>
      <c r="H65" s="11" t="str">
        <f>_xlfn.CONCAT("        Prefix = """, G65, """,")</f>
        <v xml:space="preserve">        Prefix = "Classe d'objet",</v>
      </c>
      <c r="I65" s="19" t="str">
        <f>Belt!J3</f>
        <v>アイテムクラス</v>
      </c>
      <c r="J65" s="11" t="str">
        <f>_xlfn.CONCAT("        Prefix = """, I65, """,")</f>
        <v xml:space="preserve">        Prefix = "アイテムクラス",</v>
      </c>
      <c r="K65" s="19" t="str">
        <f>Belt!L3</f>
        <v>아이템 종류</v>
      </c>
      <c r="L65" s="11" t="str">
        <f>_xlfn.CONCAT("        Prefix = """, K65, """,")</f>
        <v xml:space="preserve">        Prefix = "아이템 종류",</v>
      </c>
      <c r="M65" s="19" t="str">
        <f>Belt!N3</f>
        <v>Classe do Item</v>
      </c>
      <c r="N65" s="11" t="str">
        <f>_xlfn.CONCAT("        Prefix = """, M65, """,")</f>
        <v xml:space="preserve">        Prefix = "Classe do Item",</v>
      </c>
      <c r="O65" s="19" t="str">
        <f>Belt!P3</f>
        <v>Класс предмета</v>
      </c>
      <c r="P65" s="11" t="str">
        <f>_xlfn.CONCAT("        Prefix = """, O65, """,")</f>
        <v xml:space="preserve">        Prefix = "Класс предмета",</v>
      </c>
      <c r="Q65" s="19" t="str">
        <f>Belt!R3</f>
        <v>ชนิดไอเทม</v>
      </c>
      <c r="R65" s="11" t="str">
        <f>_xlfn.CONCAT("        Prefix = """, Q65, """,")</f>
        <v xml:space="preserve">        Prefix = "ชนิดไอเทม",</v>
      </c>
      <c r="S65" s="19" t="s">
        <v>7951</v>
      </c>
      <c r="T65" s="11" t="str">
        <f>_xlfn.CONCAT("        Prefix = """, S65, """,")</f>
        <v xml:space="preserve">        Prefix = "物品種類",</v>
      </c>
      <c r="V65" s="1" t="s">
        <v>520</v>
      </c>
    </row>
    <row r="66" spans="1:22" ht="15.95" customHeight="1" x14ac:dyDescent="0.25">
      <c r="A66" s="19" t="str">
        <f>Card!B4</f>
        <v>Divination Cards</v>
      </c>
      <c r="B66" s="11" t="str">
        <f>_xlfn.CONCAT("        DivinationCard = """, A66, """,")</f>
        <v xml:space="preserve">        DivinationCard = "Divination Cards",</v>
      </c>
      <c r="C66" s="19" t="str">
        <f>Card!D4</f>
        <v>Weissagungskarten</v>
      </c>
      <c r="D66" s="11" t="str">
        <f>_xlfn.CONCAT("        DivinationCard = """, C66, """,")</f>
        <v xml:space="preserve">        DivinationCard = "Weissagungskarten",</v>
      </c>
      <c r="E66" s="19" t="str">
        <f>Card!F4</f>
        <v>Cartas de adivinación</v>
      </c>
      <c r="F66" s="11" t="str">
        <f>_xlfn.CONCAT("        DivinationCard = """, E66, """,")</f>
        <v xml:space="preserve">        DivinationCard = "Cartas de adivinación",</v>
      </c>
      <c r="G66" s="19" t="str">
        <f>Card!H4</f>
        <v>Cartes divinatoires</v>
      </c>
      <c r="H66" s="11" t="str">
        <f>_xlfn.CONCAT("        DivinationCard = """, G66, """,")</f>
        <v xml:space="preserve">        DivinationCard = "Cartes divinatoires",</v>
      </c>
      <c r="I66" s="19" t="str">
        <f>Card!J4</f>
        <v>占いカード</v>
      </c>
      <c r="J66" s="11" t="str">
        <f>_xlfn.CONCAT("        DivinationCard = """, I66, """,")</f>
        <v xml:space="preserve">        DivinationCard = "占いカード",</v>
      </c>
      <c r="K66" s="19" t="str">
        <f>Card!L4</f>
        <v>점술 카드</v>
      </c>
      <c r="L66" s="11" t="str">
        <f>_xlfn.CONCAT("        DivinationCard = """, K66, """,")</f>
        <v xml:space="preserve">        DivinationCard = "점술 카드",</v>
      </c>
      <c r="M66" s="19" t="str">
        <f>Card!N4</f>
        <v>Cartas de Adivinhação</v>
      </c>
      <c r="N66" s="11" t="str">
        <f>_xlfn.CONCAT("        DivinationCard = """, M66, """,")</f>
        <v xml:space="preserve">        DivinationCard = "Cartas de Adivinhação",</v>
      </c>
      <c r="O66" s="19" t="str">
        <f>Card!P4</f>
        <v>Гадальные карты</v>
      </c>
      <c r="P66" s="11" t="str">
        <f>_xlfn.CONCAT("        DivinationCard = """, O66, """,")</f>
        <v xml:space="preserve">        DivinationCard = "Гадальные карты",</v>
      </c>
      <c r="Q66" s="19" t="str">
        <f>Card!R4</f>
        <v>ไพ่พยากรณ์</v>
      </c>
      <c r="R66" s="11" t="str">
        <f>_xlfn.CONCAT("        DivinationCard = """, Q66, """,")</f>
        <v xml:space="preserve">        DivinationCard = "ไพ่พยากรณ์",</v>
      </c>
      <c r="S66" s="19" t="s">
        <v>7920</v>
      </c>
      <c r="T66" s="11" t="str">
        <f>_xlfn.CONCAT("        DivinationCard = """, S66, """,")</f>
        <v xml:space="preserve">        DivinationCard = "命運卡",</v>
      </c>
      <c r="V66" s="1" t="s">
        <v>521</v>
      </c>
    </row>
    <row r="67" spans="1:22" ht="15.95" customHeight="1" x14ac:dyDescent="0.25">
      <c r="A67" s="19" t="str">
        <f>'Chaos Orb'!B4</f>
        <v>Stackable Currency</v>
      </c>
      <c r="B67" s="11" t="str">
        <f>_xlfn.CONCAT("        StackableCurrency = """, A67, """,")</f>
        <v xml:space="preserve">        StackableCurrency = "Stackable Currency",</v>
      </c>
      <c r="C67" s="19" t="str">
        <f>'Chaos Orb'!D4</f>
        <v>Stapelbare Währung</v>
      </c>
      <c r="D67" s="11" t="str">
        <f>_xlfn.CONCAT("        StackableCurrency = """, C67, """,")</f>
        <v xml:space="preserve">        StackableCurrency = "Stapelbare Währung",</v>
      </c>
      <c r="E67" s="19" t="str">
        <f>'Chaos Orb'!F4</f>
        <v>Objetos monetarios apilables</v>
      </c>
      <c r="F67" s="11" t="str">
        <f>_xlfn.CONCAT("        StackableCurrency = """, E67, """,")</f>
        <v xml:space="preserve">        StackableCurrency = "Objetos monetarios apilables",</v>
      </c>
      <c r="G67" s="19" t="str">
        <f>'Chaos Orb'!H4</f>
        <v>Objets monétaires empilables</v>
      </c>
      <c r="H67" s="11" t="str">
        <f>_xlfn.CONCAT("        StackableCurrency = """, G67, """,")</f>
        <v xml:space="preserve">        StackableCurrency = "Objets monétaires empilables",</v>
      </c>
      <c r="I67" s="19" t="str">
        <f>'Chaos Orb'!J4</f>
        <v>スタック可能カレンシー</v>
      </c>
      <c r="J67" s="11" t="str">
        <f>_xlfn.CONCAT("        StackableCurrency = """, I67, """,")</f>
        <v xml:space="preserve">        StackableCurrency = "スタック可能カレンシー",</v>
      </c>
      <c r="K67" s="19" t="str">
        <f>'Chaos Orb'!L4</f>
        <v>중첩 가능 화폐</v>
      </c>
      <c r="L67" s="11" t="str">
        <f>_xlfn.CONCAT("        StackableCurrency = """, K67, """,")</f>
        <v xml:space="preserve">        StackableCurrency = "중첩 가능 화폐",</v>
      </c>
      <c r="M67" s="19" t="str">
        <f>'Chaos Orb'!N4</f>
        <v>Moedas Empilháveis</v>
      </c>
      <c r="N67" s="11" t="str">
        <f>_xlfn.CONCAT("        StackableCurrency = """, M67, """,")</f>
        <v xml:space="preserve">        StackableCurrency = "Moedas Empilháveis",</v>
      </c>
      <c r="O67" s="19" t="str">
        <f>'Chaos Orb'!P4</f>
        <v>Валюта</v>
      </c>
      <c r="P67" s="11" t="str">
        <f>_xlfn.CONCAT("        StackableCurrency = """, O67, """,")</f>
        <v xml:space="preserve">        StackableCurrency = "Валюта",</v>
      </c>
      <c r="Q67" s="19" t="str">
        <f>'Chaos Orb'!R4</f>
        <v>เงินตรารวมกองได้</v>
      </c>
      <c r="R67" s="11" t="str">
        <f>_xlfn.CONCAT("        StackableCurrency = """, Q67, """,")</f>
        <v xml:space="preserve">        StackableCurrency = "เงินตรารวมกองได้",</v>
      </c>
      <c r="S67" s="19" t="s">
        <v>7952</v>
      </c>
      <c r="T67" s="11" t="str">
        <f>_xlfn.CONCAT("        StackableCurrency = """, S67, """,")</f>
        <v xml:space="preserve">        StackableCurrency = "可堆疊通貨",</v>
      </c>
      <c r="V67" s="1" t="s">
        <v>742</v>
      </c>
    </row>
    <row r="68" spans="1:22" ht="15.95" customHeight="1" x14ac:dyDescent="0.25">
      <c r="A68" s="19" t="str">
        <f>Socketable!B4</f>
        <v>Socketable</v>
      </c>
      <c r="B68" s="11" t="str">
        <f>_xlfn.CONCAT("        Socketable = """, A68, """,")</f>
        <v xml:space="preserve">        Socketable = "Socketable",</v>
      </c>
      <c r="C68" s="19" t="str">
        <f>Socketable!D4</f>
        <v>Einfassbar</v>
      </c>
      <c r="D68" s="11" t="str">
        <f>_xlfn.CONCAT("        Socketable = """, C68, """,")</f>
        <v xml:space="preserve">        Socketable = "Einfassbar",</v>
      </c>
      <c r="E68" s="19" t="str">
        <f>Socketable!F4</f>
        <v>Engarzable</v>
      </c>
      <c r="F68" s="11" t="str">
        <f>_xlfn.CONCAT("        Socketable = """, E68, """,")</f>
        <v xml:space="preserve">        Socketable = "Engarzable",</v>
      </c>
      <c r="G68" s="19" t="str">
        <f>Socketable!H4</f>
        <v>Enchâssable</v>
      </c>
      <c r="H68" s="11" t="str">
        <f>_xlfn.CONCAT("        Socketable = """, G68, """,")</f>
        <v xml:space="preserve">        Socketable = "Enchâssable",</v>
      </c>
      <c r="I68" s="19" t="str">
        <f>Socketable!J4</f>
        <v>ソケット可能</v>
      </c>
      <c r="J68" s="11" t="str">
        <f>_xlfn.CONCAT("        Socketable = """, I68, """,")</f>
        <v xml:space="preserve">        Socketable = "ソケット可能",</v>
      </c>
      <c r="K68" s="19" t="str">
        <f>Socketable!L4</f>
        <v>홈에 장착 가능</v>
      </c>
      <c r="L68" s="11" t="str">
        <f>_xlfn.CONCAT("        Socketable = """, K68, """,")</f>
        <v xml:space="preserve">        Socketable = "홈에 장착 가능",</v>
      </c>
      <c r="M68" s="19" t="str">
        <f>Socketable!N4</f>
        <v>Encaixável</v>
      </c>
      <c r="N68" s="11" t="str">
        <f>_xlfn.CONCAT("        Socketable = """, M68, """,")</f>
        <v xml:space="preserve">        Socketable = "Encaixável",</v>
      </c>
      <c r="O68" s="19" t="str">
        <f>Socketable!P4</f>
        <v>Размещаемое</v>
      </c>
      <c r="P68" s="11" t="str">
        <f>_xlfn.CONCAT("        Socketable = """, O68, """,")</f>
        <v xml:space="preserve">        Socketable = "Размещаемое",</v>
      </c>
      <c r="Q68" s="19" t="str">
        <f>Socketable!R4</f>
        <v>ไอเทมใส่รู</v>
      </c>
      <c r="R68" s="11" t="str">
        <f>_xlfn.CONCAT("        Socketable = """, Q68, """,")</f>
        <v xml:space="preserve">        Socketable = "ไอเทมใส่รู",</v>
      </c>
      <c r="S68" s="19" t="str">
        <f>Socketable!T4</f>
        <v>可鑲嵌</v>
      </c>
      <c r="T68" s="11" t="str">
        <f>_xlfn.CONCAT("        Socketable = """, S68, """,")</f>
        <v xml:space="preserve">        Socketable = "可鑲嵌",</v>
      </c>
      <c r="V68" s="1" t="s">
        <v>7048</v>
      </c>
    </row>
    <row r="69" spans="1:22" ht="15.95" customHeight="1" x14ac:dyDescent="0.25">
      <c r="A69" s="19" t="str">
        <f>Omen!B4</f>
        <v>Omen</v>
      </c>
      <c r="B69" s="11" t="str">
        <f>_xlfn.CONCAT("        Omen = """, A69, """,")</f>
        <v xml:space="preserve">        Omen = "Omen",</v>
      </c>
      <c r="C69" s="19" t="str">
        <f>Omen!D4</f>
        <v>Omen</v>
      </c>
      <c r="D69" s="11" t="str">
        <f>_xlfn.CONCAT("        Omen = """, C69, """,")</f>
        <v xml:space="preserve">        Omen = "Omen",</v>
      </c>
      <c r="E69" s="19" t="str">
        <f>Omen!F4</f>
        <v>Augurio</v>
      </c>
      <c r="F69" s="11" t="str">
        <f>_xlfn.CONCAT("        Omen = """, E69, """,")</f>
        <v xml:space="preserve">        Omen = "Augurio",</v>
      </c>
      <c r="G69" s="19" t="str">
        <f>Omen!H4</f>
        <v>Présage</v>
      </c>
      <c r="H69" s="11" t="str">
        <f>_xlfn.CONCAT("        Omen = """, G69, """,")</f>
        <v xml:space="preserve">        Omen = "Présage",</v>
      </c>
      <c r="I69" s="19" t="str">
        <f>Omen!J4</f>
        <v>お告げ</v>
      </c>
      <c r="J69" s="11" t="str">
        <f>_xlfn.CONCAT("        Omen = """, I69, """,")</f>
        <v xml:space="preserve">        Omen = "お告げ",</v>
      </c>
      <c r="K69" s="19" t="str">
        <f>Omen!L4</f>
        <v>징조</v>
      </c>
      <c r="L69" s="11" t="str">
        <f>_xlfn.CONCAT("        Omen = """, K69, """,")</f>
        <v xml:space="preserve">        Omen = "징조",</v>
      </c>
      <c r="M69" s="19" t="str">
        <f>Omen!N4</f>
        <v>Presságio</v>
      </c>
      <c r="N69" s="11" t="str">
        <f>_xlfn.CONCAT("        Omen = """, M69, """,")</f>
        <v xml:space="preserve">        Omen = "Presságio",</v>
      </c>
      <c r="O69" s="19" t="str">
        <f>Omen!P4</f>
        <v>Предзнаменования</v>
      </c>
      <c r="P69" s="11" t="str">
        <f>_xlfn.CONCAT("        Omen = """, O69, """,")</f>
        <v xml:space="preserve">        Omen = "Предзнаменования",</v>
      </c>
      <c r="Q69" s="19" t="str">
        <f>Omen!R4</f>
        <v>ลางบอกเหตุ</v>
      </c>
      <c r="R69" s="11" t="str">
        <f>_xlfn.CONCAT("        Omen = """, Q69, """,")</f>
        <v xml:space="preserve">        Omen = "ลางบอกเหตุ",</v>
      </c>
      <c r="S69" s="19" t="str">
        <f>Omen!T4</f>
        <v>預兆</v>
      </c>
      <c r="T69" s="11" t="str">
        <f>_xlfn.CONCAT("        Omen = """, S69, """,")</f>
        <v xml:space="preserve">        Omen = "預兆",</v>
      </c>
      <c r="V69" s="1" t="s">
        <v>7135</v>
      </c>
    </row>
    <row r="70" spans="1:22" ht="15.95" customHeight="1" x14ac:dyDescent="0.25">
      <c r="A70" s="19" t="str">
        <f>Jewel!B4</f>
        <v>Jewels</v>
      </c>
      <c r="B70" s="11" t="str">
        <f>_xlfn.CONCAT("        Jewel = """, A70, """,")</f>
        <v xml:space="preserve">        Jewel = "Jewels",</v>
      </c>
      <c r="C70" s="19" t="str">
        <f>Jewel!D4</f>
        <v>Juwelen</v>
      </c>
      <c r="D70" s="11" t="str">
        <f>_xlfn.CONCAT("        Jewel = """, C70, """,")</f>
        <v xml:space="preserve">        Jewel = "Juwelen",</v>
      </c>
      <c r="E70" s="19" t="str">
        <f>Jewel!F4</f>
        <v>Joyas</v>
      </c>
      <c r="F70" s="11" t="str">
        <f>_xlfn.CONCAT("        Jewel = """, E70, """,")</f>
        <v xml:space="preserve">        Jewel = "Joyas",</v>
      </c>
      <c r="G70" s="19" t="str">
        <f>Jewel!H4</f>
        <v>Joyaux</v>
      </c>
      <c r="H70" s="11" t="str">
        <f>_xlfn.CONCAT("        Jewel = """, G70, """,")</f>
        <v xml:space="preserve">        Jewel = "Joyaux",</v>
      </c>
      <c r="I70" s="19" t="str">
        <f>Jewel!J4</f>
        <v>ジュエル</v>
      </c>
      <c r="J70" s="11" t="str">
        <f>_xlfn.CONCAT("        Jewel = """, I70, """,")</f>
        <v xml:space="preserve">        Jewel = "ジュエル",</v>
      </c>
      <c r="K70" s="19" t="str">
        <f>Jewel!L4</f>
        <v>주얼</v>
      </c>
      <c r="L70" s="11" t="str">
        <f>_xlfn.CONCAT("        Jewel = """, K70, """,")</f>
        <v xml:space="preserve">        Jewel = "주얼",</v>
      </c>
      <c r="M70" s="19" t="str">
        <f>Jewel!N4</f>
        <v>Joias</v>
      </c>
      <c r="N70" s="11" t="str">
        <f>_xlfn.CONCAT("        Jewel = """, M70, """,")</f>
        <v xml:space="preserve">        Jewel = "Joias",</v>
      </c>
      <c r="O70" s="19" t="str">
        <f>Jewel!P4</f>
        <v>Самоцветы</v>
      </c>
      <c r="P70" s="11" t="str">
        <f>_xlfn.CONCAT("        Jewel = """, O70, """,")</f>
        <v xml:space="preserve">        Jewel = "Самоцветы",</v>
      </c>
      <c r="Q70" s="19" t="str">
        <f>Jewel!R4</f>
        <v>จิวเวล</v>
      </c>
      <c r="R70" s="11" t="str">
        <f>_xlfn.CONCAT("        Jewel = """, Q70, """,")</f>
        <v xml:space="preserve">        Jewel = "จิวเวล",</v>
      </c>
      <c r="S70" s="19" t="s">
        <v>7953</v>
      </c>
      <c r="T70" s="11" t="str">
        <f>_xlfn.CONCAT("        Jewel = """, S70, """,")</f>
        <v xml:space="preserve">        Jewel = "珠寶",</v>
      </c>
      <c r="V70" s="1" t="s">
        <v>743</v>
      </c>
    </row>
    <row r="71" spans="1:22" ht="15.95" customHeight="1" x14ac:dyDescent="0.25">
      <c r="A71" s="19" t="str">
        <f>Resonator!B4</f>
        <v>Delve Stackable Socketable Currency</v>
      </c>
      <c r="B71" s="11" t="str">
        <f>_xlfn.CONCAT("        DelveStackableSocketableCurrency = """, A71, """,")</f>
        <v xml:space="preserve">        DelveStackableSocketableCurrency = "Delve Stackable Socketable Currency",</v>
      </c>
      <c r="C71" s="19" t="str">
        <f>Resonator!D4</f>
        <v>Delve: Stapelbare, einfassbare Währung</v>
      </c>
      <c r="D71" s="11" t="str">
        <f>_xlfn.CONCAT("        DelveStackableSocketableCurrency = """, C71, """,")</f>
        <v xml:space="preserve">        DelveStackableSocketableCurrency = "Delve: Stapelbare, einfassbare Währung",</v>
      </c>
      <c r="E71" s="19" t="str">
        <f>Resonator!F4</f>
        <v>Objetos monetarios apilables y engarzables de Delve</v>
      </c>
      <c r="F71" s="11" t="str">
        <f>_xlfn.CONCAT("        DelveStackableSocketableCurrency = """, E71, """,")</f>
        <v xml:space="preserve">        DelveStackableSocketableCurrency = "Objetos monetarios apilables y engarzables de Delve",</v>
      </c>
      <c r="G71" s="19" t="str">
        <f>Resonator!H4</f>
        <v>Objets enchâssables et empilables Delve</v>
      </c>
      <c r="H71" s="11" t="str">
        <f>_xlfn.CONCAT("        DelveStackableSocketableCurrency = """, G71, """,")</f>
        <v xml:space="preserve">        DelveStackableSocketableCurrency = "Objets enchâssables et empilables Delve",</v>
      </c>
      <c r="I71" s="19" t="str">
        <f>Resonator!J4</f>
        <v>デルヴスタック可能ソケット可能カレンシー</v>
      </c>
      <c r="J71" s="11" t="str">
        <f>_xlfn.CONCAT("        DelveStackableSocketableCurrency = """, I71, """,")</f>
        <v xml:space="preserve">        DelveStackableSocketableCurrency = "デルヴスタック可能ソケット可能カレンシー",</v>
      </c>
      <c r="K71" s="19" t="str">
        <f>Resonator!L4</f>
        <v>탐광 중첩 및 결합형 화폐</v>
      </c>
      <c r="L71" s="11" t="str">
        <f>_xlfn.CONCAT("        DelveStackableSocketableCurrency = """, K71, """,")</f>
        <v xml:space="preserve">        DelveStackableSocketableCurrency = "탐광 중첩 및 결합형 화폐",</v>
      </c>
      <c r="M71" s="19" t="str">
        <f>Resonator!N4</f>
        <v>Item Monetário Aglomerável e Encaixável Delve</v>
      </c>
      <c r="N71" s="11" t="str">
        <f>_xlfn.CONCAT("        DelveStackableSocketableCurrency = """, M71, """,")</f>
        <v xml:space="preserve">        DelveStackableSocketableCurrency = "Item Monetário Aglomerável e Encaixável Delve",</v>
      </c>
      <c r="O71" s="19" t="str">
        <f>Resonator!P4</f>
        <v>Валюта Спуска</v>
      </c>
      <c r="P71" s="11" t="str">
        <f>_xlfn.CONCAT("        DelveStackableSocketableCurrency = """, O71, """,")</f>
        <v xml:space="preserve">        DelveStackableSocketableCurrency = "Валюта Спуска",</v>
      </c>
      <c r="Q71" s="19" t="str">
        <f>Resonator!R4</f>
        <v>เงินตรามีรูของเหมืองแบบรวมกองได้</v>
      </c>
      <c r="R71" s="11" t="str">
        <f>_xlfn.CONCAT("        DelveStackableSocketableCurrency = """, Q71, """,")</f>
        <v xml:space="preserve">        DelveStackableSocketableCurrency = "เงินตรามีรูของเหมืองแบบรวมกองได้",</v>
      </c>
      <c r="S71" s="19" t="s">
        <v>7954</v>
      </c>
      <c r="T71" s="11" t="str">
        <f>_xlfn.CONCAT("        DelveStackableSocketableCurrency = """, S71, """,")</f>
        <v xml:space="preserve">        DelveStackableSocketableCurrency = "掘獄可堆疊有插槽通貨",</v>
      </c>
      <c r="V71" s="1" t="s">
        <v>744</v>
      </c>
    </row>
    <row r="72" spans="1:22" ht="15.95" customHeight="1" x14ac:dyDescent="0.25">
      <c r="A72" s="19" t="str">
        <f>'Metamorph Sample'!B4</f>
        <v>Metamorph Samples</v>
      </c>
      <c r="B72" s="11" t="str">
        <f>_xlfn.CONCAT("        MetamorphSample = """, A72, """,")</f>
        <v xml:space="preserve">        MetamorphSample = "Metamorph Samples",</v>
      </c>
      <c r="C72" s="19" t="str">
        <f>'Metamorph Sample'!D4</f>
        <v>Metamorph-Proben</v>
      </c>
      <c r="D72" s="11" t="str">
        <f>_xlfn.CONCAT("        MetamorphSample = """, C72, """,")</f>
        <v xml:space="preserve">        MetamorphSample = "Metamorph-Proben",</v>
      </c>
      <c r="E72" s="19" t="str">
        <f>'Metamorph Sample'!F4</f>
        <v>Muestras de metamorfo</v>
      </c>
      <c r="F72" s="11" t="str">
        <f>_xlfn.CONCAT("        MetamorphSample = """, E72, """,")</f>
        <v xml:space="preserve">        MetamorphSample = "Muestras de metamorfo",</v>
      </c>
      <c r="G72" s="19" t="str">
        <f>'Metamorph Sample'!H4</f>
        <v>Organes de Métamorphe</v>
      </c>
      <c r="H72" s="11" t="str">
        <f>_xlfn.CONCAT("        MetamorphSample = """, G72, """,")</f>
        <v xml:space="preserve">        MetamorphSample = "Organes de Métamorphe",</v>
      </c>
      <c r="I72" s="19" t="str">
        <f>'Metamorph Sample'!J4</f>
        <v>メタモルフサンプル</v>
      </c>
      <c r="J72" s="11" t="str">
        <f>_xlfn.CONCAT("        MetamorphSample = """, I72, """,")</f>
        <v xml:space="preserve">        MetamorphSample = "メタモルフサンプル",</v>
      </c>
      <c r="K72" s="19" t="str">
        <f>'Metamorph Sample'!L4</f>
        <v>변형 샘플</v>
      </c>
      <c r="L72" s="11" t="str">
        <f>_xlfn.CONCAT("        MetamorphSample = """, K72, """,")</f>
        <v xml:space="preserve">        MetamorphSample = "변형 샘플",</v>
      </c>
      <c r="M72" s="19" t="str">
        <f>'Metamorph Sample'!N4</f>
        <v>Amostras Metamorfas</v>
      </c>
      <c r="N72" s="11" t="str">
        <f>_xlfn.CONCAT("        MetamorphSample = """, M72, """,")</f>
        <v xml:space="preserve">        MetamorphSample = "Amostras Metamorfas",</v>
      </c>
      <c r="O72" s="19" t="str">
        <f>'Metamorph Sample'!P4</f>
        <v>Образцы Метаморфа</v>
      </c>
      <c r="P72" s="11" t="str">
        <f>_xlfn.CONCAT("        MetamorphSample = """, O72, """,")</f>
        <v xml:space="preserve">        MetamorphSample = "Образцы Метаморфа",</v>
      </c>
      <c r="Q72" s="19" t="str">
        <f>'Metamorph Sample'!R4</f>
        <v>ชิ้นส่วนตัวอย่างเมตามอร์ฟ</v>
      </c>
      <c r="R72" s="11" t="str">
        <f>_xlfn.CONCAT("        MetamorphSample = """, Q72, """,")</f>
        <v xml:space="preserve">        MetamorphSample = "ชิ้นส่วนตัวอย่างเมตามอร์ฟ",</v>
      </c>
      <c r="S72" s="19" t="s">
        <v>7955</v>
      </c>
      <c r="T72" s="11" t="str">
        <f>_xlfn.CONCAT("        MetamorphSample = """, S72, """,")</f>
        <v xml:space="preserve">        MetamorphSample = "鍊魔樣本",</v>
      </c>
      <c r="V72" s="1" t="s">
        <v>745</v>
      </c>
    </row>
    <row r="73" spans="1:22" ht="15.95" customHeight="1" x14ac:dyDescent="0.25">
      <c r="A73" s="19" t="str">
        <f>'Heist Tool'!B4</f>
        <v>Heist Tools</v>
      </c>
      <c r="B73" s="11" t="str">
        <f>_xlfn.CONCAT("        HeistTool = """, A73, """,")</f>
        <v xml:space="preserve">        HeistTool = "Heist Tools",</v>
      </c>
      <c r="C73" s="19" t="str">
        <f>'Heist Tool'!D4</f>
        <v>Heist-Werkzeug</v>
      </c>
      <c r="D73" s="11" t="str">
        <f>_xlfn.CONCAT("        HeistTool = """, C73, """,")</f>
        <v xml:space="preserve">        HeistTool = "Heist-Werkzeug",</v>
      </c>
      <c r="E73" s="19" t="str">
        <f>'Heist Tool'!F4</f>
        <v>Herramientas de Heist</v>
      </c>
      <c r="F73" s="11" t="str">
        <f>_xlfn.CONCAT("        HeistTool = """, E73, """,")</f>
        <v xml:space="preserve">        HeistTool = "Herramientas de Heist",</v>
      </c>
      <c r="G73" s="19" t="str">
        <f>'Heist Tool'!H4</f>
        <v>Outils de Malfaiteur</v>
      </c>
      <c r="H73" s="11" t="str">
        <f>_xlfn.CONCAT("        HeistTool = """, G73, """,")</f>
        <v xml:space="preserve">        HeistTool = "Outils de Malfaiteur",</v>
      </c>
      <c r="I73" s="19" t="str">
        <f>'Heist Tool'!J4</f>
        <v>ハイストツール</v>
      </c>
      <c r="J73" s="11" t="str">
        <f>_xlfn.CONCAT("        HeistTool = """, I73, """,")</f>
        <v xml:space="preserve">        HeistTool = "ハイストツール",</v>
      </c>
      <c r="K73" s="19" t="str">
        <f>'Heist Tool'!L4</f>
        <v>강탈 도구</v>
      </c>
      <c r="L73" s="11" t="str">
        <f>_xlfn.CONCAT("        HeistTool = """, K73, """,")</f>
        <v xml:space="preserve">        HeistTool = "강탈 도구",</v>
      </c>
      <c r="M73" s="19" t="str">
        <f>'Heist Tool'!N4</f>
        <v>Ferramentas Heist</v>
      </c>
      <c r="N73" s="11" t="str">
        <f>_xlfn.CONCAT("        HeistTool = """, M73, """,")</f>
        <v xml:space="preserve">        HeistTool = "Ferramentas Heist",</v>
      </c>
      <c r="O73" s="19" t="str">
        <f>'Heist Tool'!P4</f>
        <v>Разбойничий инструмент</v>
      </c>
      <c r="P73" s="11" t="str">
        <f>_xlfn.CONCAT("        HeistTool = """, O73, """,")</f>
        <v xml:space="preserve">        HeistTool = "Разбойничий инструмент",</v>
      </c>
      <c r="Q73" s="19" t="str">
        <f>'Heist Tool'!R4</f>
        <v>เครื่องมือกองโจร</v>
      </c>
      <c r="R73" s="11" t="str">
        <f>_xlfn.CONCAT("        HeistTool = """, Q73, """,")</f>
        <v xml:space="preserve">        HeistTool = "เครื่องมือกองโจร",</v>
      </c>
      <c r="S73" s="19" t="s">
        <v>7956</v>
      </c>
      <c r="T73" s="11" t="str">
        <f>_xlfn.CONCAT("        HeistTool = """, S73, """,")</f>
        <v xml:space="preserve">        HeistTool = "劫盜工具",</v>
      </c>
      <c r="V73" s="1" t="s">
        <v>746</v>
      </c>
    </row>
    <row r="74" spans="1:22" ht="15.95" customHeight="1" x14ac:dyDescent="0.25">
      <c r="A74" s="19" t="str">
        <f>'Foiled Amulet'!B4</f>
        <v>Amulets</v>
      </c>
      <c r="B74" s="11" t="str">
        <f>_xlfn.CONCAT("        Amulet = """, A74, """,")</f>
        <v xml:space="preserve">        Amulet = "Amulets",</v>
      </c>
      <c r="C74" s="19" t="str">
        <f>'Foiled Amulet'!D4</f>
        <v>Amulette</v>
      </c>
      <c r="D74" s="11" t="str">
        <f>_xlfn.CONCAT("        Amulet = """, C74, """,")</f>
        <v xml:space="preserve">        Amulet = "Amulette",</v>
      </c>
      <c r="E74" s="19" t="str">
        <f>'Foiled Amulet'!F4</f>
        <v>Amuletos</v>
      </c>
      <c r="F74" s="11" t="str">
        <f>_xlfn.CONCAT("        Amulet = """, E74, """,")</f>
        <v xml:space="preserve">        Amulet = "Amuletos",</v>
      </c>
      <c r="G74" s="19" t="str">
        <f>'Foiled Amulet'!H4</f>
        <v>Amulettes</v>
      </c>
      <c r="H74" s="11" t="str">
        <f>_xlfn.CONCAT("        Amulet = """, G74, """,")</f>
        <v xml:space="preserve">        Amulet = "Amulettes",</v>
      </c>
      <c r="I74" s="19" t="str">
        <f>'Foiled Amulet'!J4</f>
        <v>アミュレット</v>
      </c>
      <c r="J74" s="11" t="str">
        <f>_xlfn.CONCAT("        Amulet = """, I74, """,")</f>
        <v xml:space="preserve">        Amulet = "アミュレット",</v>
      </c>
      <c r="K74" s="19" t="str">
        <f>'Foiled Amulet'!L4</f>
        <v>목걸이</v>
      </c>
      <c r="L74" s="11" t="str">
        <f>_xlfn.CONCAT("        Amulet = """, K74, """,")</f>
        <v xml:space="preserve">        Amulet = "목걸이",</v>
      </c>
      <c r="M74" s="19" t="str">
        <f>'Foiled Amulet'!N4</f>
        <v>Amuletos</v>
      </c>
      <c r="N74" s="11" t="str">
        <f>_xlfn.CONCAT("        Amulet = """, M74, """,")</f>
        <v xml:space="preserve">        Amulet = "Amuletos",</v>
      </c>
      <c r="O74" s="19" t="str">
        <f>'Foiled Amulet'!P4</f>
        <v>Амулеты</v>
      </c>
      <c r="P74" s="11" t="str">
        <f>_xlfn.CONCAT("        Amulet = """, O74, """,")</f>
        <v xml:space="preserve">        Amulet = "Амулеты",</v>
      </c>
      <c r="Q74" s="19" t="str">
        <f>'Foiled Amulet'!R4</f>
        <v>สร้อย</v>
      </c>
      <c r="R74" s="11" t="str">
        <f>_xlfn.CONCAT("        Amulet = """, Q74, """,")</f>
        <v xml:space="preserve">        Amulet = "สร้อย",</v>
      </c>
      <c r="S74" s="19" t="s">
        <v>7957</v>
      </c>
      <c r="T74" s="11" t="str">
        <f>_xlfn.CONCAT("        Amulet = """, S74, """,")</f>
        <v xml:space="preserve">        Amulet = "項鍊",</v>
      </c>
      <c r="V74" s="1" t="s">
        <v>747</v>
      </c>
    </row>
    <row r="75" spans="1:22" ht="15.95" customHeight="1" x14ac:dyDescent="0.25">
      <c r="A75" s="19" t="str">
        <f>'Unidentified ring'!B4</f>
        <v>Rings</v>
      </c>
      <c r="B75" s="11" t="str">
        <f>_xlfn.CONCAT("        Ring = """, A75, """,")</f>
        <v xml:space="preserve">        Ring = "Rings",</v>
      </c>
      <c r="C75" s="19" t="str">
        <f>'Unidentified ring'!D4</f>
        <v>Ringe</v>
      </c>
      <c r="D75" s="11" t="str">
        <f>_xlfn.CONCAT("        Ring = """, C75, """,")</f>
        <v xml:space="preserve">        Ring = "Ringe",</v>
      </c>
      <c r="E75" s="19" t="str">
        <f>'Unidentified ring'!F4</f>
        <v>Anillos</v>
      </c>
      <c r="F75" s="11" t="str">
        <f>_xlfn.CONCAT("        Ring = """, E75, """,")</f>
        <v xml:space="preserve">        Ring = "Anillos",</v>
      </c>
      <c r="G75" s="19" t="str">
        <f>'Unidentified ring'!H4</f>
        <v>Bagues</v>
      </c>
      <c r="H75" s="11" t="str">
        <f>_xlfn.CONCAT("        Ring = """, G75, """,")</f>
        <v xml:space="preserve">        Ring = "Bagues",</v>
      </c>
      <c r="I75" s="19" t="str">
        <f>'Unidentified ring'!J4</f>
        <v>指輪</v>
      </c>
      <c r="J75" s="11" t="str">
        <f>_xlfn.CONCAT("        Ring = """, I75, """,")</f>
        <v xml:space="preserve">        Ring = "指輪",</v>
      </c>
      <c r="K75" s="19" t="str">
        <f>'Unidentified ring'!L4</f>
        <v>반지</v>
      </c>
      <c r="L75" s="11" t="str">
        <f>_xlfn.CONCAT("        Ring = """, K75, """,")</f>
        <v xml:space="preserve">        Ring = "반지",</v>
      </c>
      <c r="M75" s="19" t="str">
        <f>'Unidentified ring'!N4</f>
        <v>Anéis</v>
      </c>
      <c r="N75" s="11" t="str">
        <f>_xlfn.CONCAT("        Ring = """, M75, """,")</f>
        <v xml:space="preserve">        Ring = "Anéis",</v>
      </c>
      <c r="O75" s="19" t="str">
        <f>'Unidentified ring'!P4</f>
        <v>Кольца</v>
      </c>
      <c r="P75" s="11" t="str">
        <f>_xlfn.CONCAT("        Ring = """, O75, """,")</f>
        <v xml:space="preserve">        Ring = "Кольца",</v>
      </c>
      <c r="Q75" s="19" t="str">
        <f>'Unidentified ring'!R4</f>
        <v>แหวน</v>
      </c>
      <c r="R75" s="11" t="str">
        <f>_xlfn.CONCAT("        Ring = """, Q75, """,")</f>
        <v xml:space="preserve">        Ring = "แหวน",</v>
      </c>
      <c r="S75" s="19" t="s">
        <v>7958</v>
      </c>
      <c r="T75" s="11" t="str">
        <f>_xlfn.CONCAT("        Ring = """, S75, """,")</f>
        <v xml:space="preserve">        Ring = "戒指",</v>
      </c>
      <c r="V75" s="1" t="s">
        <v>522</v>
      </c>
    </row>
    <row r="76" spans="1:22" ht="15.95" customHeight="1" x14ac:dyDescent="0.25">
      <c r="A76" s="19" t="str">
        <f>Belt!B4</f>
        <v>Belts</v>
      </c>
      <c r="B76" s="11" t="str">
        <f>_xlfn.CONCAT("        Belt = """, A76, """,")</f>
        <v xml:space="preserve">        Belt = "Belts",</v>
      </c>
      <c r="C76" s="19" t="str">
        <f>Belt!D4</f>
        <v>Gürtel</v>
      </c>
      <c r="D76" s="11" t="str">
        <f>_xlfn.CONCAT("        Belt = """, C76, """,")</f>
        <v xml:space="preserve">        Belt = "Gürtel",</v>
      </c>
      <c r="E76" s="19" t="str">
        <f>Belt!F4</f>
        <v>Cinturones</v>
      </c>
      <c r="F76" s="11" t="str">
        <f>_xlfn.CONCAT("        Belt = """, E76, """,")</f>
        <v xml:space="preserve">        Belt = "Cinturones",</v>
      </c>
      <c r="G76" s="19" t="str">
        <f>Belt!H4</f>
        <v>Ceintures</v>
      </c>
      <c r="H76" s="11" t="str">
        <f>_xlfn.CONCAT("        Belt = """, G76, """,")</f>
        <v xml:space="preserve">        Belt = "Ceintures",</v>
      </c>
      <c r="I76" s="19" t="str">
        <f>Belt!J4</f>
        <v>ベルト</v>
      </c>
      <c r="J76" s="11" t="str">
        <f>_xlfn.CONCAT("        Belt = """, I76, """,")</f>
        <v xml:space="preserve">        Belt = "ベルト",</v>
      </c>
      <c r="K76" s="19" t="str">
        <f>Belt!L4</f>
        <v>허리띠</v>
      </c>
      <c r="L76" s="11" t="str">
        <f>_xlfn.CONCAT("        Belt = """, K76, """,")</f>
        <v xml:space="preserve">        Belt = "허리띠",</v>
      </c>
      <c r="M76" s="19" t="str">
        <f>Belt!N4</f>
        <v>Cintos</v>
      </c>
      <c r="N76" s="11" t="str">
        <f>_xlfn.CONCAT("        Belt = """, M76, """,")</f>
        <v xml:space="preserve">        Belt = "Cintos",</v>
      </c>
      <c r="O76" s="19" t="str">
        <f>Belt!P4</f>
        <v>Пояса</v>
      </c>
      <c r="P76" s="11" t="str">
        <f>_xlfn.CONCAT("        Belt = """, O76, """,")</f>
        <v xml:space="preserve">        Belt = "Пояса",</v>
      </c>
      <c r="Q76" s="19" t="str">
        <f>Belt!R4</f>
        <v>เข็มขัด</v>
      </c>
      <c r="R76" s="11" t="str">
        <f>_xlfn.CONCAT("        Belt = """, Q76, """,")</f>
        <v xml:space="preserve">        Belt = "เข็มขัด",</v>
      </c>
      <c r="S76" s="19" t="s">
        <v>7959</v>
      </c>
      <c r="T76" s="11" t="str">
        <f>_xlfn.CONCAT("        Belt = """, S76, """,")</f>
        <v xml:space="preserve">        Belt = "腰帶",</v>
      </c>
      <c r="V76" s="1" t="s">
        <v>523</v>
      </c>
    </row>
    <row r="77" spans="1:22" ht="15.95" customHeight="1" x14ac:dyDescent="0.25">
      <c r="A77" s="19" t="str">
        <f>Gloves!B4</f>
        <v>Gloves</v>
      </c>
      <c r="B77" s="11" t="str">
        <f>_xlfn.CONCAT("        Gloves = """, A77, """,")</f>
        <v xml:space="preserve">        Gloves = "Gloves",</v>
      </c>
      <c r="C77" s="19" t="str">
        <f>Gloves!D4</f>
        <v>Handschuhe</v>
      </c>
      <c r="D77" s="11" t="str">
        <f>_xlfn.CONCAT("        Gloves = """, C77, """,")</f>
        <v xml:space="preserve">        Gloves = "Handschuhe",</v>
      </c>
      <c r="E77" s="19" t="str">
        <f>Gloves!F4</f>
        <v>Guantes</v>
      </c>
      <c r="F77" s="11" t="str">
        <f>_xlfn.CONCAT("        Gloves = """, E77, """,")</f>
        <v xml:space="preserve">        Gloves = "Guantes",</v>
      </c>
      <c r="G77" s="19" t="str">
        <f>Gloves!H4</f>
        <v>Gants</v>
      </c>
      <c r="H77" s="11" t="str">
        <f>_xlfn.CONCAT("        Gloves = """, G77, """,")</f>
        <v xml:space="preserve">        Gloves = "Gants",</v>
      </c>
      <c r="I77" s="19" t="str">
        <f>Gloves!J4</f>
        <v>手袋</v>
      </c>
      <c r="J77" s="11" t="str">
        <f>_xlfn.CONCAT("        Gloves = """, I77, """,")</f>
        <v xml:space="preserve">        Gloves = "手袋",</v>
      </c>
      <c r="K77" s="19" t="str">
        <f>Gloves!L4</f>
        <v>장갑</v>
      </c>
      <c r="L77" s="11" t="str">
        <f>_xlfn.CONCAT("        Gloves = """, K77, """,")</f>
        <v xml:space="preserve">        Gloves = "장갑",</v>
      </c>
      <c r="M77" s="19" t="str">
        <f>Gloves!N4</f>
        <v>Luvas</v>
      </c>
      <c r="N77" s="11" t="str">
        <f>_xlfn.CONCAT("        Gloves = """, M77, """,")</f>
        <v xml:space="preserve">        Gloves = "Luvas",</v>
      </c>
      <c r="O77" s="19" t="str">
        <f>Gloves!P4</f>
        <v>Перчатки</v>
      </c>
      <c r="P77" s="11" t="str">
        <f>_xlfn.CONCAT("        Gloves = """, O77, """,")</f>
        <v xml:space="preserve">        Gloves = "Перчатки",</v>
      </c>
      <c r="Q77" s="19" t="str">
        <f>Gloves!R4</f>
        <v>ถุงมือ</v>
      </c>
      <c r="R77" s="11" t="str">
        <f>_xlfn.CONCAT("        Gloves = """, Q77, """,")</f>
        <v xml:space="preserve">        Gloves = "ถุงมือ",</v>
      </c>
      <c r="S77" s="19" t="s">
        <v>7960</v>
      </c>
      <c r="T77" s="11" t="str">
        <f>_xlfn.CONCAT("        Gloves = """, S77, """,")</f>
        <v xml:space="preserve">        Gloves = "手套",</v>
      </c>
      <c r="V77" s="1" t="s">
        <v>74</v>
      </c>
    </row>
    <row r="78" spans="1:22" ht="15.95" customHeight="1" x14ac:dyDescent="0.25">
      <c r="A78" s="19" t="str">
        <f>Boots!B4</f>
        <v>Boots</v>
      </c>
      <c r="B78" s="11" t="str">
        <f>_xlfn.CONCAT("        Boots = """, A78, """,")</f>
        <v xml:space="preserve">        Boots = "Boots",</v>
      </c>
      <c r="C78" s="19" t="str">
        <f>Boots!D4</f>
        <v>Stiefel</v>
      </c>
      <c r="D78" s="11" t="str">
        <f>_xlfn.CONCAT("        Boots = """, C78, """,")</f>
        <v xml:space="preserve">        Boots = "Stiefel",</v>
      </c>
      <c r="E78" s="19" t="str">
        <f>Boots!F4</f>
        <v>Botas</v>
      </c>
      <c r="F78" s="11" t="str">
        <f>_xlfn.CONCAT("        Boots = """, E78, """,")</f>
        <v xml:space="preserve">        Boots = "Botas",</v>
      </c>
      <c r="G78" s="19" t="str">
        <f>Boots!H4</f>
        <v>Bottes</v>
      </c>
      <c r="H78" s="11" t="str">
        <f>_xlfn.CONCAT("        Boots = """, G78, """,")</f>
        <v xml:space="preserve">        Boots = "Bottes",</v>
      </c>
      <c r="I78" s="19" t="str">
        <f>Boots!J4</f>
        <v>靴</v>
      </c>
      <c r="J78" s="11" t="str">
        <f>_xlfn.CONCAT("        Boots = """, I78, """,")</f>
        <v xml:space="preserve">        Boots = "靴",</v>
      </c>
      <c r="K78" s="19" t="str">
        <f>Boots!L4</f>
        <v>장화</v>
      </c>
      <c r="L78" s="11" t="str">
        <f>_xlfn.CONCAT("        Boots = """, K78, """,")</f>
        <v xml:space="preserve">        Boots = "장화",</v>
      </c>
      <c r="M78" s="19" t="str">
        <f>Boots!N4</f>
        <v>Botas</v>
      </c>
      <c r="N78" s="11" t="str">
        <f>_xlfn.CONCAT("        Boots = """, M78, """,")</f>
        <v xml:space="preserve">        Boots = "Botas",</v>
      </c>
      <c r="O78" s="19" t="str">
        <f>Boots!P4</f>
        <v>Обувь</v>
      </c>
      <c r="P78" s="11" t="str">
        <f>_xlfn.CONCAT("        Boots = """, O78, """,")</f>
        <v xml:space="preserve">        Boots = "Обувь",</v>
      </c>
      <c r="Q78" s="19" t="str">
        <f>Boots!R4</f>
        <v>รองเท้า</v>
      </c>
      <c r="R78" s="11" t="str">
        <f>_xlfn.CONCAT("        Boots = """, Q78, """,")</f>
        <v xml:space="preserve">        Boots = "รองเท้า",</v>
      </c>
      <c r="S78" s="19" t="s">
        <v>7961</v>
      </c>
      <c r="T78" s="11" t="str">
        <f>_xlfn.CONCAT("        Boots = """, S78, """,")</f>
        <v xml:space="preserve">        Boots = "鞋子",</v>
      </c>
      <c r="V78" s="1" t="s">
        <v>75</v>
      </c>
    </row>
    <row r="79" spans="1:22" ht="15.95" customHeight="1" x14ac:dyDescent="0.25">
      <c r="A79" s="19" t="str">
        <f>'Carcass Jack'!B4</f>
        <v>Body Armours</v>
      </c>
      <c r="B79" s="11" t="str">
        <f>_xlfn.CONCAT("        BodyArmours = """, A79, """,")</f>
        <v xml:space="preserve">        BodyArmours = "Body Armours",</v>
      </c>
      <c r="C79" s="19" t="str">
        <f>'Carcass Jack'!D4</f>
        <v>Körperrüstungen</v>
      </c>
      <c r="D79" s="11" t="str">
        <f>_xlfn.CONCAT("        BodyArmours = """, C79, """,")</f>
        <v xml:space="preserve">        BodyArmours = "Körperrüstungen",</v>
      </c>
      <c r="E79" s="19" t="str">
        <f>'Carcass Jack'!F4</f>
        <v>Armaduras corporales</v>
      </c>
      <c r="F79" s="11" t="str">
        <f>_xlfn.CONCAT("        BodyArmours = """, E79, """,")</f>
        <v xml:space="preserve">        BodyArmours = "Armaduras corporales",</v>
      </c>
      <c r="G79" s="19" t="str">
        <f>'Carcass Jack'!H4</f>
        <v>Armures</v>
      </c>
      <c r="H79" s="11" t="str">
        <f>_xlfn.CONCAT("        BodyArmours = """, G79, """,")</f>
        <v xml:space="preserve">        BodyArmours = "Armures",</v>
      </c>
      <c r="I79" s="19" t="str">
        <f>'Carcass Jack'!J4</f>
        <v>鎧</v>
      </c>
      <c r="J79" s="11" t="str">
        <f>_xlfn.CONCAT("        BodyArmours = """, I79, """,")</f>
        <v xml:space="preserve">        BodyArmours = "鎧",</v>
      </c>
      <c r="K79" s="19" t="str">
        <f>'Carcass Jack'!L4</f>
        <v>갑옷</v>
      </c>
      <c r="L79" s="11" t="str">
        <f>_xlfn.CONCAT("        BodyArmours = """, K79, """,")</f>
        <v xml:space="preserve">        BodyArmours = "갑옷",</v>
      </c>
      <c r="M79" s="19" t="str">
        <f>'Carcass Jack'!N4</f>
        <v>Peitorais</v>
      </c>
      <c r="N79" s="11" t="str">
        <f>_xlfn.CONCAT("        BodyArmours = """, M79, """,")</f>
        <v xml:space="preserve">        BodyArmours = "Peitorais",</v>
      </c>
      <c r="O79" s="19" t="str">
        <f>'Carcass Jack'!P4</f>
        <v>Доспехи</v>
      </c>
      <c r="P79" s="11" t="str">
        <f>_xlfn.CONCAT("        BodyArmours = """, O79, """,")</f>
        <v xml:space="preserve">        BodyArmours = "Доспехи",</v>
      </c>
      <c r="Q79" s="19" t="str">
        <f>'Carcass Jack'!R4</f>
        <v>เสื้อเกราะ</v>
      </c>
      <c r="R79" s="11" t="str">
        <f>_xlfn.CONCAT("        BodyArmours = """, Q79, """,")</f>
        <v xml:space="preserve">        BodyArmours = "เสื้อเกราะ",</v>
      </c>
      <c r="S79" s="19" t="s">
        <v>7962</v>
      </c>
      <c r="T79" s="11" t="str">
        <f>_xlfn.CONCAT("        BodyArmours = """, S79, """,")</f>
        <v xml:space="preserve">        BodyArmours = "胸甲",</v>
      </c>
      <c r="V79" s="1" t="s">
        <v>524</v>
      </c>
    </row>
    <row r="80" spans="1:22" ht="15.95" customHeight="1" x14ac:dyDescent="0.25">
      <c r="A80" s="19" t="str">
        <f>Abyssus!B4</f>
        <v>Helmets</v>
      </c>
      <c r="B80" s="11" t="str">
        <f>_xlfn.CONCAT("        Helmets = """, A80, """,")</f>
        <v xml:space="preserve">        Helmets = "Helmets",</v>
      </c>
      <c r="C80" s="19" t="str">
        <f>Abyssus!D4</f>
        <v>Helme</v>
      </c>
      <c r="D80" s="11" t="str">
        <f>_xlfn.CONCAT("        Helmets = """, C80, """,")</f>
        <v xml:space="preserve">        Helmets = "Helme",</v>
      </c>
      <c r="E80" s="19" t="str">
        <f>Abyssus!F4</f>
        <v>Cascos</v>
      </c>
      <c r="F80" s="11" t="str">
        <f>_xlfn.CONCAT("        Helmets = """, E80, """,")</f>
        <v xml:space="preserve">        Helmets = "Cascos",</v>
      </c>
      <c r="G80" s="19" t="str">
        <f>Abyssus!H4</f>
        <v>Casques</v>
      </c>
      <c r="H80" s="11" t="str">
        <f>_xlfn.CONCAT("        Helmets = """, G80, """,")</f>
        <v xml:space="preserve">        Helmets = "Casques",</v>
      </c>
      <c r="I80" s="19" t="str">
        <f>Abyssus!J4</f>
        <v>兜</v>
      </c>
      <c r="J80" s="11" t="str">
        <f>_xlfn.CONCAT("        Helmets = """, I80, """,")</f>
        <v xml:space="preserve">        Helmets = "兜",</v>
      </c>
      <c r="K80" s="19" t="str">
        <f>Abyssus!L4</f>
        <v>투구</v>
      </c>
      <c r="L80" s="11" t="str">
        <f>_xlfn.CONCAT("        Helmets = """, K80, """,")</f>
        <v xml:space="preserve">        Helmets = "투구",</v>
      </c>
      <c r="M80" s="19" t="str">
        <f>Abyssus!N4</f>
        <v>Elmos</v>
      </c>
      <c r="N80" s="11" t="str">
        <f>_xlfn.CONCAT("        Helmets = """, M80, """,")</f>
        <v xml:space="preserve">        Helmets = "Elmos",</v>
      </c>
      <c r="O80" s="19" t="str">
        <f>Abyssus!P4</f>
        <v>Шлемы</v>
      </c>
      <c r="P80" s="11" t="str">
        <f>_xlfn.CONCAT("        Helmets = """, O80, """,")</f>
        <v xml:space="preserve">        Helmets = "Шлемы",</v>
      </c>
      <c r="Q80" s="19" t="str">
        <f>Abyssus!R4</f>
        <v>หมวก</v>
      </c>
      <c r="R80" s="11" t="str">
        <f>_xlfn.CONCAT("        Helmets = """, Q80, """,")</f>
        <v xml:space="preserve">        Helmets = "หมวก",</v>
      </c>
      <c r="S80" s="19" t="s">
        <v>7963</v>
      </c>
      <c r="T80" s="11" t="str">
        <f>_xlfn.CONCAT("        Helmets = """, S80, """,")</f>
        <v xml:space="preserve">        Helmets = "頭部",</v>
      </c>
      <c r="V80" s="1" t="s">
        <v>76</v>
      </c>
    </row>
    <row r="81" spans="1:22" ht="15.95" customHeight="1" x14ac:dyDescent="0.25">
      <c r="A81" s="19" t="str">
        <f>Mistwall!B4</f>
        <v>Shields</v>
      </c>
      <c r="B81" s="11" t="str">
        <f>_xlfn.CONCAT("        Shields = """, A81, """,")</f>
        <v xml:space="preserve">        Shields = "Shields",</v>
      </c>
      <c r="C81" s="19" t="str">
        <f>Mistwall!D4</f>
        <v>Schilde</v>
      </c>
      <c r="D81" s="11" t="str">
        <f>_xlfn.CONCAT("        Shields = """, C81, """,")</f>
        <v xml:space="preserve">        Shields = "Schilde",</v>
      </c>
      <c r="E81" s="19" t="str">
        <f>Mistwall!F4</f>
        <v>Escudos</v>
      </c>
      <c r="F81" s="11" t="str">
        <f>_xlfn.CONCAT("        Shields = """, E81, """,")</f>
        <v xml:space="preserve">        Shields = "Escudos",</v>
      </c>
      <c r="G81" s="19" t="str">
        <f>Mistwall!H4</f>
        <v>Boucliers</v>
      </c>
      <c r="H81" s="11" t="str">
        <f>_xlfn.CONCAT("        Shields = """, G81, """,")</f>
        <v xml:space="preserve">        Shields = "Boucliers",</v>
      </c>
      <c r="I81" s="19" t="str">
        <f>Mistwall!J4</f>
        <v>盾</v>
      </c>
      <c r="J81" s="11" t="str">
        <f>_xlfn.CONCAT("        Shields = """, I81, """,")</f>
        <v xml:space="preserve">        Shields = "盾",</v>
      </c>
      <c r="K81" s="19" t="str">
        <f>Mistwall!L4</f>
        <v>방패</v>
      </c>
      <c r="L81" s="11" t="str">
        <f>_xlfn.CONCAT("        Shields = """, K81, """,")</f>
        <v xml:space="preserve">        Shields = "방패",</v>
      </c>
      <c r="M81" s="19" t="str">
        <f>Mistwall!N4</f>
        <v>Escudos</v>
      </c>
      <c r="N81" s="11" t="str">
        <f>_xlfn.CONCAT("        Shields = """, M81, """,")</f>
        <v xml:space="preserve">        Shields = "Escudos",</v>
      </c>
      <c r="O81" s="19" t="str">
        <f>Mistwall!P4</f>
        <v>Щиты</v>
      </c>
      <c r="P81" s="11" t="str">
        <f>_xlfn.CONCAT("        Shields = """, O81, """,")</f>
        <v xml:space="preserve">        Shields = "Щиты",</v>
      </c>
      <c r="Q81" s="19" t="str">
        <f>Mistwall!R4</f>
        <v>โล่</v>
      </c>
      <c r="R81" s="11" t="str">
        <f>_xlfn.CONCAT("        Shields = """, Q81, """,")</f>
        <v xml:space="preserve">        Shields = "โล่",</v>
      </c>
      <c r="S81" s="19" t="s">
        <v>7964</v>
      </c>
      <c r="T81" s="11" t="str">
        <f>_xlfn.CONCAT("        Shields = """, S81, """,")</f>
        <v xml:space="preserve">        Shields = "盾",</v>
      </c>
      <c r="V81" s="1" t="s">
        <v>77</v>
      </c>
    </row>
    <row r="82" spans="1:22" ht="15.95" customHeight="1" x14ac:dyDescent="0.25">
      <c r="A82" s="19" t="str">
        <f>Quiver!B4</f>
        <v>Quivers</v>
      </c>
      <c r="B82" s="11" t="str">
        <f>_xlfn.CONCAT("        Quivers = """, A82, """,")</f>
        <v xml:space="preserve">        Quivers = "Quivers",</v>
      </c>
      <c r="C82" s="19" t="str">
        <f>Quiver!D4</f>
        <v>Köcher</v>
      </c>
      <c r="D82" s="11" t="str">
        <f>_xlfn.CONCAT("        Quivers = """, C82, """,")</f>
        <v xml:space="preserve">        Quivers = "Köcher",</v>
      </c>
      <c r="E82" s="19" t="str">
        <f>Quiver!F4</f>
        <v>Carcajes</v>
      </c>
      <c r="F82" s="11" t="str">
        <f>_xlfn.CONCAT("        Quivers = """, E82, """,")</f>
        <v xml:space="preserve">        Quivers = "Carcajes",</v>
      </c>
      <c r="G82" s="19" t="str">
        <f>Quiver!H4</f>
        <v>Carquois</v>
      </c>
      <c r="H82" s="11" t="str">
        <f>_xlfn.CONCAT("        Quivers = """, G82, """,")</f>
        <v xml:space="preserve">        Quivers = "Carquois",</v>
      </c>
      <c r="I82" s="19" t="str">
        <f>Quiver!J4</f>
        <v>矢筒</v>
      </c>
      <c r="J82" s="11" t="str">
        <f>_xlfn.CONCAT("        Quivers = """, I82, """,")</f>
        <v xml:space="preserve">        Quivers = "矢筒",</v>
      </c>
      <c r="K82" s="19" t="str">
        <f>Quiver!L4</f>
        <v>화살통</v>
      </c>
      <c r="L82" s="11" t="str">
        <f>_xlfn.CONCAT("        Quivers = """, K82, """,")</f>
        <v xml:space="preserve">        Quivers = "화살통",</v>
      </c>
      <c r="M82" s="19" t="str">
        <f>Quiver!N4</f>
        <v>Aljavas</v>
      </c>
      <c r="N82" s="11" t="str">
        <f>_xlfn.CONCAT("        Quivers = """, M82, """,")</f>
        <v xml:space="preserve">        Quivers = "Aljavas",</v>
      </c>
      <c r="O82" s="19" t="str">
        <f>Quiver!P4</f>
        <v>Колчаны</v>
      </c>
      <c r="P82" s="11" t="str">
        <f>_xlfn.CONCAT("        Quivers = """, O82, """,")</f>
        <v xml:space="preserve">        Quivers = "Колчаны",</v>
      </c>
      <c r="Q82" s="19" t="str">
        <f>Quiver!R4</f>
        <v>ซองธนู</v>
      </c>
      <c r="R82" s="11" t="str">
        <f>_xlfn.CONCAT("        Quivers = """, Q82, """,")</f>
        <v xml:space="preserve">        Quivers = "ซองธนู",</v>
      </c>
      <c r="S82" s="19" t="s">
        <v>7965</v>
      </c>
      <c r="T82" s="11" t="str">
        <f>_xlfn.CONCAT("        Quivers = """, S82, """,")</f>
        <v xml:space="preserve">        Quivers = "箭袋",</v>
      </c>
      <c r="V82" s="1" t="s">
        <v>78</v>
      </c>
    </row>
    <row r="83" spans="1:22" ht="15.95" customHeight="1" x14ac:dyDescent="0.25">
      <c r="A83" s="19" t="str">
        <f>Focus!B4</f>
        <v>Foci</v>
      </c>
      <c r="B83" s="11" t="str">
        <f>_xlfn.CONCAT("        Focus = """, A83, """,")</f>
        <v xml:space="preserve">        Focus = "Foci",</v>
      </c>
      <c r="C83" s="19" t="str">
        <f>Focus!D4</f>
        <v>Fokusse</v>
      </c>
      <c r="D83" s="11" t="str">
        <f>_xlfn.CONCAT("        Focus = """, C83, """,")</f>
        <v xml:space="preserve">        Focus = "Fokusse",</v>
      </c>
      <c r="E83" s="19" t="str">
        <f>Focus!F4</f>
        <v>Focos</v>
      </c>
      <c r="F83" s="11" t="str">
        <f>_xlfn.CONCAT("        Focus = """, E83, """,")</f>
        <v xml:space="preserve">        Focus = "Focos",</v>
      </c>
      <c r="G83" s="19" t="str">
        <f>Focus!H4</f>
        <v>Focus</v>
      </c>
      <c r="H83" s="11" t="str">
        <f>_xlfn.CONCAT("        Focus = """, G83, """,")</f>
        <v xml:space="preserve">        Focus = "Focus",</v>
      </c>
      <c r="I83" s="19" t="str">
        <f>Focus!J4</f>
        <v>フォーカス</v>
      </c>
      <c r="J83" s="11" t="str">
        <f>_xlfn.CONCAT("        Focus = """, I83, """,")</f>
        <v xml:space="preserve">        Focus = "フォーカス",</v>
      </c>
      <c r="K83" s="19" t="str">
        <f>Focus!L4</f>
        <v>집중구</v>
      </c>
      <c r="L83" s="11" t="str">
        <f>_xlfn.CONCAT("        Focus = """, K83, """,")</f>
        <v xml:space="preserve">        Focus = "집중구",</v>
      </c>
      <c r="M83" s="19" t="str">
        <f>Focus!N4</f>
        <v>Focos</v>
      </c>
      <c r="N83" s="11" t="str">
        <f>_xlfn.CONCAT("        Focus = """, M83, """,")</f>
        <v xml:space="preserve">        Focus = "Focos",</v>
      </c>
      <c r="O83" s="19" t="str">
        <f>Focus!P4</f>
        <v>Фокусы</v>
      </c>
      <c r="P83" s="11" t="str">
        <f>_xlfn.CONCAT("        Focus = """, O83, """,")</f>
        <v xml:space="preserve">        Focus = "Фокусы",</v>
      </c>
      <c r="Q83" s="19" t="str">
        <f>Focus!R4</f>
        <v>โฟกัส</v>
      </c>
      <c r="R83" s="11" t="str">
        <f>_xlfn.CONCAT("        Focus = """, Q83, """,")</f>
        <v xml:space="preserve">        Focus = "โฟกัส",</v>
      </c>
      <c r="S83" s="19" t="str">
        <f>Focus!T4</f>
        <v>法器</v>
      </c>
      <c r="T83" s="11" t="str">
        <f>_xlfn.CONCAT("        Focus = """, S83, """,")</f>
        <v xml:space="preserve">        Focus = "法器",</v>
      </c>
      <c r="V83" s="1" t="s">
        <v>7108</v>
      </c>
    </row>
    <row r="84" spans="1:22" ht="15.95" customHeight="1" x14ac:dyDescent="0.25">
      <c r="A84" s="19" t="str">
        <f>'Life Flask'!B4</f>
        <v>Life Flasks</v>
      </c>
      <c r="B84" s="11" t="str">
        <f>_xlfn.CONCAT("        LifeFlasks = """, A84, """,")</f>
        <v xml:space="preserve">        LifeFlasks = "Life Flasks",</v>
      </c>
      <c r="C84" s="19" t="str">
        <f>'Life Flask'!D4</f>
        <v>Lebensfläschchen</v>
      </c>
      <c r="D84" s="11" t="str">
        <f>_xlfn.CONCAT("        LifeFlasks = """, C84, """,")</f>
        <v xml:space="preserve">        LifeFlasks = "Lebensfläschchen",</v>
      </c>
      <c r="E84" s="19" t="str">
        <f>'Life Flask'!F4</f>
        <v>Frascos de vida</v>
      </c>
      <c r="F84" s="11" t="str">
        <f>_xlfn.CONCAT("        LifeFlasks = """, E84, """,")</f>
        <v xml:space="preserve">        LifeFlasks = "Frascos de vida",</v>
      </c>
      <c r="G84" s="19" t="str">
        <f>'Life Flask'!H4</f>
        <v>Flacons de Vie</v>
      </c>
      <c r="H84" s="11" t="str">
        <f>_xlfn.CONCAT("        LifeFlasks = """, G84, """,")</f>
        <v xml:space="preserve">        LifeFlasks = "Flacons de Vie",</v>
      </c>
      <c r="I84" s="19" t="str">
        <f>'Life Flask'!J4</f>
        <v>ライフフラスコ</v>
      </c>
      <c r="J84" s="11" t="str">
        <f>_xlfn.CONCAT("        LifeFlasks = """, I84, """,")</f>
        <v xml:space="preserve">        LifeFlasks = "ライフフラスコ",</v>
      </c>
      <c r="K84" s="19" t="str">
        <f>'Life Flask'!L4</f>
        <v>생명력 플라스크</v>
      </c>
      <c r="L84" s="11" t="str">
        <f>_xlfn.CONCAT("        LifeFlasks = """, K84, """,")</f>
        <v xml:space="preserve">        LifeFlasks = "생명력 플라스크",</v>
      </c>
      <c r="M84" s="19" t="str">
        <f>'Life Flask'!N4</f>
        <v>Frascos de Vida</v>
      </c>
      <c r="N84" s="11" t="str">
        <f>_xlfn.CONCAT("        LifeFlasks = """, M84, """,")</f>
        <v xml:space="preserve">        LifeFlasks = "Frascos de Vida",</v>
      </c>
      <c r="O84" s="19" t="str">
        <f>'Life Flask'!P4</f>
        <v>Флаконы жизни</v>
      </c>
      <c r="P84" s="11" t="str">
        <f>_xlfn.CONCAT("        LifeFlasks = """, O84, """,")</f>
        <v xml:space="preserve">        LifeFlasks = "Флаконы жизни",</v>
      </c>
      <c r="Q84" s="19" t="str">
        <f>'Life Flask'!R4</f>
        <v>ขวดยาพลังชีวิต</v>
      </c>
      <c r="R84" s="11" t="str">
        <f>_xlfn.CONCAT("        LifeFlasks = """, Q84, """,")</f>
        <v xml:space="preserve">        LifeFlasks = "ขวดยาพลังชีวิต",</v>
      </c>
      <c r="S84" s="19" t="s">
        <v>7966</v>
      </c>
      <c r="T84" s="11" t="str">
        <f>_xlfn.CONCAT("        LifeFlasks = """, S84, """,")</f>
        <v xml:space="preserve">        LifeFlasks = "生命藥劑",</v>
      </c>
      <c r="V84" s="1" t="s">
        <v>748</v>
      </c>
    </row>
    <row r="85" spans="1:22" ht="15.95" customHeight="1" x14ac:dyDescent="0.25">
      <c r="A85" s="19" t="str">
        <f>'Mana Flask'!B4</f>
        <v>Mana Flasks</v>
      </c>
      <c r="B85" s="11" t="str">
        <f>_xlfn.CONCAT("        ManaFlasks = """, A85, """,")</f>
        <v xml:space="preserve">        ManaFlasks = "Mana Flasks",</v>
      </c>
      <c r="C85" s="19" t="str">
        <f>'Mana Flask'!D4</f>
        <v>Manafläschchen</v>
      </c>
      <c r="D85" s="11" t="str">
        <f>_xlfn.CONCAT("        ManaFlasks = """, C85, """,")</f>
        <v xml:space="preserve">        ManaFlasks = "Manafläschchen",</v>
      </c>
      <c r="E85" s="19" t="str">
        <f>'Mana Flask'!F4</f>
        <v>Frascos de maná</v>
      </c>
      <c r="F85" s="11" t="str">
        <f>_xlfn.CONCAT("        ManaFlasks = """, E85, """,")</f>
        <v xml:space="preserve">        ManaFlasks = "Frascos de maná",</v>
      </c>
      <c r="G85" s="19" t="str">
        <f>'Mana Flask'!H4</f>
        <v>Flacons de Mana</v>
      </c>
      <c r="H85" s="11" t="str">
        <f>_xlfn.CONCAT("        ManaFlasks = """, G85, """,")</f>
        <v xml:space="preserve">        ManaFlasks = "Flacons de Mana",</v>
      </c>
      <c r="I85" s="19" t="str">
        <f>'Mana Flask'!J4</f>
        <v>マナフラスコ</v>
      </c>
      <c r="J85" s="11" t="str">
        <f>_xlfn.CONCAT("        ManaFlasks = """, I85, """,")</f>
        <v xml:space="preserve">        ManaFlasks = "マナフラスコ",</v>
      </c>
      <c r="K85" s="19" t="str">
        <f>'Mana Flask'!L4</f>
        <v>마나 플라스크</v>
      </c>
      <c r="L85" s="11" t="str">
        <f>_xlfn.CONCAT("        ManaFlasks = """, K85, """,")</f>
        <v xml:space="preserve">        ManaFlasks = "마나 플라스크",</v>
      </c>
      <c r="M85" s="19" t="str">
        <f>'Mana Flask'!N4</f>
        <v>Frascos de Mana</v>
      </c>
      <c r="N85" s="11" t="str">
        <f>_xlfn.CONCAT("        ManaFlasks = """, M85, """,")</f>
        <v xml:space="preserve">        ManaFlasks = "Frascos de Mana",</v>
      </c>
      <c r="O85" s="19" t="str">
        <f>'Mana Flask'!P4</f>
        <v>Флаконы маны</v>
      </c>
      <c r="P85" s="11" t="str">
        <f>_xlfn.CONCAT("        ManaFlasks = """, O85, """,")</f>
        <v xml:space="preserve">        ManaFlasks = "Флаконы маны",</v>
      </c>
      <c r="Q85" s="19" t="str">
        <f>'Mana Flask'!R4</f>
        <v>ขวดยามานา</v>
      </c>
      <c r="R85" s="11" t="str">
        <f>_xlfn.CONCAT("        ManaFlasks = """, Q85, """,")</f>
        <v xml:space="preserve">        ManaFlasks = "ขวดยามานา",</v>
      </c>
      <c r="S85" s="19" t="s">
        <v>7967</v>
      </c>
      <c r="T85" s="11" t="str">
        <f>_xlfn.CONCAT("        ManaFlasks = """, S85, """,")</f>
        <v xml:space="preserve">        ManaFlasks = "魔力藥劑",</v>
      </c>
      <c r="V85" s="1" t="s">
        <v>749</v>
      </c>
    </row>
    <row r="86" spans="1:22" ht="15.95" customHeight="1" x14ac:dyDescent="0.25">
      <c r="A86" s="19" t="str">
        <f>'Hybrid Flask'!B4</f>
        <v>Hybrid Flasks</v>
      </c>
      <c r="B86" s="11" t="str">
        <f>_xlfn.CONCAT("        HybridFlasks = """, A86, """,")</f>
        <v xml:space="preserve">        HybridFlasks = "Hybrid Flasks",</v>
      </c>
      <c r="C86" s="19" t="str">
        <f>'Hybrid Flask'!D4</f>
        <v>Hybridfläschchen</v>
      </c>
      <c r="D86" s="11" t="str">
        <f>_xlfn.CONCAT("        HybridFlasks = """, C86, """,")</f>
        <v xml:space="preserve">        HybridFlasks = "Hybridfläschchen",</v>
      </c>
      <c r="E86" s="19" t="str">
        <f>'Hybrid Flask'!F4</f>
        <v>Frascos híbridos</v>
      </c>
      <c r="F86" s="11" t="str">
        <f>_xlfn.CONCAT("        HybridFlasks = """, E86, """,")</f>
        <v xml:space="preserve">        HybridFlasks = "Frascos híbridos",</v>
      </c>
      <c r="G86" s="19" t="str">
        <f>'Hybrid Flask'!H4</f>
        <v>Flacons hybrides</v>
      </c>
      <c r="H86" s="11" t="str">
        <f>_xlfn.CONCAT("        HybridFlasks = """, G86, """,")</f>
        <v xml:space="preserve">        HybridFlasks = "Flacons hybrides",</v>
      </c>
      <c r="I86" s="19" t="str">
        <f>'Hybrid Flask'!J4</f>
        <v>ハイブリッドフラスコ</v>
      </c>
      <c r="J86" s="11" t="str">
        <f>_xlfn.CONCAT("        HybridFlasks = """, I86, """,")</f>
        <v xml:space="preserve">        HybridFlasks = "ハイブリッドフラスコ",</v>
      </c>
      <c r="K86" s="19" t="str">
        <f>'Hybrid Flask'!L4</f>
        <v>하이브리드 플라스크</v>
      </c>
      <c r="L86" s="11" t="str">
        <f>_xlfn.CONCAT("        HybridFlasks = """, K86, """,")</f>
        <v xml:space="preserve">        HybridFlasks = "하이브리드 플라스크",</v>
      </c>
      <c r="M86" s="19" t="str">
        <f>'Hybrid Flask'!N4</f>
        <v>Frascos Híbridos</v>
      </c>
      <c r="N86" s="11" t="str">
        <f>_xlfn.CONCAT("        HybridFlasks = """, M86, """,")</f>
        <v xml:space="preserve">        HybridFlasks = "Frascos Híbridos",</v>
      </c>
      <c r="O86" s="19" t="str">
        <f>'Hybrid Flask'!P4</f>
        <v>Флаконы равновесия</v>
      </c>
      <c r="P86" s="11" t="str">
        <f>_xlfn.CONCAT("        HybridFlasks = """, O86, """,")</f>
        <v xml:space="preserve">        HybridFlasks = "Флаконы равновесия",</v>
      </c>
      <c r="Q86" s="19" t="str">
        <f>'Hybrid Flask'!R4</f>
        <v>ขวดยาผสม</v>
      </c>
      <c r="R86" s="11" t="str">
        <f>_xlfn.CONCAT("        HybridFlasks = """, Q86, """,")</f>
        <v xml:space="preserve">        HybridFlasks = "ขวดยาผสม",</v>
      </c>
      <c r="S86" s="19" t="s">
        <v>7968</v>
      </c>
      <c r="T86" s="11" t="str">
        <f>_xlfn.CONCAT("        HybridFlasks = """, S86, """,")</f>
        <v xml:space="preserve">        HybridFlasks = "複合藥劑",</v>
      </c>
      <c r="V86" s="1" t="s">
        <v>750</v>
      </c>
    </row>
    <row r="87" spans="1:22" ht="15.95" customHeight="1" x14ac:dyDescent="0.25">
      <c r="A87" s="19" t="str">
        <f>'Magic Utility Flask'!B4</f>
        <v>Utility Flasks</v>
      </c>
      <c r="B87" s="11" t="str">
        <f>_xlfn.CONCAT("        UtilityFlasks = """, A87, """,")</f>
        <v xml:space="preserve">        UtilityFlasks = "Utility Flasks",</v>
      </c>
      <c r="C87" s="19" t="str">
        <f>'Magic Utility Flask'!D4</f>
        <v>Hilfsfläschchen</v>
      </c>
      <c r="D87" s="11" t="str">
        <f>_xlfn.CONCAT("        UtilityFlasks = """, C87, """,")</f>
        <v xml:space="preserve">        UtilityFlasks = "Hilfsfläschchen",</v>
      </c>
      <c r="E87" s="19" t="str">
        <f>'Magic Utility Flask'!F4</f>
        <v>Frascos de utilidad</v>
      </c>
      <c r="F87" s="11" t="str">
        <f>_xlfn.CONCAT("        UtilityFlasks = """, E87, """,")</f>
        <v xml:space="preserve">        UtilityFlasks = "Frascos de utilidad",</v>
      </c>
      <c r="G87" s="19" t="str">
        <f>'Magic Utility Flask'!H4</f>
        <v>Flacons utilitaires</v>
      </c>
      <c r="H87" s="11" t="str">
        <f>_xlfn.CONCAT("        UtilityFlasks = """, G87, """,")</f>
        <v xml:space="preserve">        UtilityFlasks = "Flacons utilitaires",</v>
      </c>
      <c r="I87" s="19" t="str">
        <f>'Magic Utility Flask'!J4</f>
        <v>ユーティリティフラスコ</v>
      </c>
      <c r="J87" s="11" t="str">
        <f>_xlfn.CONCAT("        UtilityFlasks = """, I87, """,")</f>
        <v xml:space="preserve">        UtilityFlasks = "ユーティリティフラスコ",</v>
      </c>
      <c r="K87" s="19" t="str">
        <f>'Magic Utility Flask'!L4</f>
        <v>특수 플라스크</v>
      </c>
      <c r="L87" s="11" t="str">
        <f>_xlfn.CONCAT("        UtilityFlasks = """, K87, """,")</f>
        <v xml:space="preserve">        UtilityFlasks = "특수 플라스크",</v>
      </c>
      <c r="M87" s="19" t="str">
        <f>'Magic Utility Flask'!N4</f>
        <v>Frascos de Utilidade</v>
      </c>
      <c r="N87" s="11" t="str">
        <f>_xlfn.CONCAT("        UtilityFlasks = """, M87, """,")</f>
        <v xml:space="preserve">        UtilityFlasks = "Frascos de Utilidade",</v>
      </c>
      <c r="O87" s="19" t="str">
        <f>'Magic Utility Flask'!P4</f>
        <v>Особые флаконы</v>
      </c>
      <c r="P87" s="11" t="str">
        <f>_xlfn.CONCAT("        UtilityFlasks = """, O87, """,")</f>
        <v xml:space="preserve">        UtilityFlasks = "Особые флаконы",</v>
      </c>
      <c r="Q87" s="19" t="str">
        <f>'Magic Utility Flask'!R4</f>
        <v>ขวดยาช่วยเหลือ</v>
      </c>
      <c r="R87" s="11" t="str">
        <f>_xlfn.CONCAT("        UtilityFlasks = """, Q87, """,")</f>
        <v xml:space="preserve">        UtilityFlasks = "ขวดยาช่วยเหลือ",</v>
      </c>
      <c r="S87" s="19" t="s">
        <v>7969</v>
      </c>
      <c r="T87" s="11" t="str">
        <f>_xlfn.CONCAT("        UtilityFlasks = """, S87, """,")</f>
        <v xml:space="preserve">        UtilityFlasks = "功能藥劑",</v>
      </c>
      <c r="V87" s="1" t="s">
        <v>525</v>
      </c>
    </row>
    <row r="88" spans="1:22" ht="15.95" customHeight="1" x14ac:dyDescent="0.25">
      <c r="A88" s="19" t="str">
        <f>'Phantasmal Gem'!B4</f>
        <v>Skill Gems</v>
      </c>
      <c r="B88" s="11" t="str">
        <f>_xlfn.CONCAT("        ActiveSkillGems = """, A88, """,")</f>
        <v xml:space="preserve">        ActiveSkillGems = "Skill Gems",</v>
      </c>
      <c r="C88" s="19" t="str">
        <f>'Phantasmal Gem'!D4</f>
        <v>Fertigkeitengemmen</v>
      </c>
      <c r="D88" s="11" t="str">
        <f>_xlfn.CONCAT("        ActiveSkillGems = """, C88, """,")</f>
        <v xml:space="preserve">        ActiveSkillGems = "Fertigkeitengemmen",</v>
      </c>
      <c r="E88" s="19" t="str">
        <f>'Phantasmal Gem'!F4</f>
        <v>Gemas de habilidad</v>
      </c>
      <c r="F88" s="11" t="str">
        <f>_xlfn.CONCAT("        ActiveSkillGems = """, E88, """,")</f>
        <v xml:space="preserve">        ActiveSkillGems = "Gemas de habilidad",</v>
      </c>
      <c r="G88" s="19" t="str">
        <f>'Phantasmal Gem'!H4</f>
        <v>Gemmes d'aptitude</v>
      </c>
      <c r="H88" s="11" t="str">
        <f>_xlfn.CONCAT("        ActiveSkillGems = """, G88, """,")</f>
        <v xml:space="preserve">        ActiveSkillGems = "Gemmes d'aptitude",</v>
      </c>
      <c r="I88" s="19" t="str">
        <f>'Phantasmal Gem'!J4</f>
        <v>スキルジェム</v>
      </c>
      <c r="J88" s="11" t="str">
        <f>_xlfn.CONCAT("        ActiveSkillGems = """, I88, """,")</f>
        <v xml:space="preserve">        ActiveSkillGems = "スキルジェム",</v>
      </c>
      <c r="K88" s="19" t="str">
        <f>'Phantasmal Gem'!L4</f>
        <v>스킬 젬</v>
      </c>
      <c r="L88" s="11" t="str">
        <f>_xlfn.CONCAT("        ActiveSkillGems = """, K88, """,")</f>
        <v xml:space="preserve">        ActiveSkillGems = "스킬 젬",</v>
      </c>
      <c r="M88" s="19" t="str">
        <f>'Phantasmal Gem'!N4</f>
        <v>Gemas de Habilidades</v>
      </c>
      <c r="N88" s="11" t="str">
        <f>_xlfn.CONCAT("        ActiveSkillGems = """, M88, """,")</f>
        <v xml:space="preserve">        ActiveSkillGems = "Gemas de Habilidades",</v>
      </c>
      <c r="O88" s="19" t="str">
        <f>'Phantasmal Gem'!P4</f>
        <v>Камни умений</v>
      </c>
      <c r="P88" s="11" t="str">
        <f>_xlfn.CONCAT("        ActiveSkillGems = """, O88, """,")</f>
        <v xml:space="preserve">        ActiveSkillGems = "Камни умений",</v>
      </c>
      <c r="Q88" s="19" t="str">
        <f>'Phantasmal Gem'!R4</f>
        <v>หินสกิล</v>
      </c>
      <c r="R88" s="11" t="str">
        <f>_xlfn.CONCAT("        ActiveSkillGems = """, Q88, """,")</f>
        <v xml:space="preserve">        ActiveSkillGems = "หินสกิล",</v>
      </c>
      <c r="S88" s="19" t="s">
        <v>7970</v>
      </c>
      <c r="T88" s="11" t="str">
        <f>_xlfn.CONCAT("        ActiveSkillGems = """, S88, """,")</f>
        <v xml:space="preserve">        ActiveSkillGems = "技能寶石",</v>
      </c>
      <c r="V88" s="1" t="s">
        <v>526</v>
      </c>
    </row>
    <row r="89" spans="1:22" ht="15.95" customHeight="1" x14ac:dyDescent="0.25">
      <c r="A89" s="19" t="str">
        <f>'Divergent Support Gem'!B4</f>
        <v>Support Gems</v>
      </c>
      <c r="B89" s="11" t="str">
        <f>_xlfn.CONCAT("        SupportSkillGems = """, A89, """,")</f>
        <v xml:space="preserve">        SupportSkillGems = "Support Gems",</v>
      </c>
      <c r="C89" s="19" t="str">
        <f>'Divergent Support Gem'!D4</f>
        <v>Unterstützungsgemmen</v>
      </c>
      <c r="D89" s="11" t="str">
        <f>_xlfn.CONCAT("        SupportSkillGems = """, C89, """,")</f>
        <v xml:space="preserve">        SupportSkillGems = "Unterstützungsgemmen",</v>
      </c>
      <c r="E89" s="19" t="str">
        <f>'Divergent Support Gem'!F4</f>
        <v>Gemas de asistencia</v>
      </c>
      <c r="F89" s="11" t="str">
        <f>_xlfn.CONCAT("        SupportSkillGems = """, E89, """,")</f>
        <v xml:space="preserve">        SupportSkillGems = "Gemas de asistencia",</v>
      </c>
      <c r="G89" s="19" t="str">
        <f>'Divergent Support Gem'!H4</f>
        <v>Gemmes de soutien</v>
      </c>
      <c r="H89" s="11" t="str">
        <f>_xlfn.CONCAT("        SupportSkillGems = """, G89, """,")</f>
        <v xml:space="preserve">        SupportSkillGems = "Gemmes de soutien",</v>
      </c>
      <c r="I89" s="19" t="str">
        <f>'Divergent Support Gem'!J4</f>
        <v>サポートジェム</v>
      </c>
      <c r="J89" s="11" t="str">
        <f>_xlfn.CONCAT("        SupportSkillGems = """, I89, """,")</f>
        <v xml:space="preserve">        SupportSkillGems = "サポートジェム",</v>
      </c>
      <c r="K89" s="19" t="str">
        <f>'Divergent Support Gem'!L4</f>
        <v>보조 젬</v>
      </c>
      <c r="L89" s="11" t="str">
        <f>_xlfn.CONCAT("        SupportSkillGems = """, K89, """,")</f>
        <v xml:space="preserve">        SupportSkillGems = "보조 젬",</v>
      </c>
      <c r="M89" s="19" t="str">
        <f>'Divergent Support Gem'!N4</f>
        <v>Gemas de Suporte</v>
      </c>
      <c r="N89" s="11" t="str">
        <f>_xlfn.CONCAT("        SupportSkillGems = """, M89, """,")</f>
        <v xml:space="preserve">        SupportSkillGems = "Gemas de Suporte",</v>
      </c>
      <c r="O89" s="19" t="str">
        <f>'Divergent Support Gem'!P4</f>
        <v>Камни поддержки</v>
      </c>
      <c r="P89" s="11" t="str">
        <f>_xlfn.CONCAT("        SupportSkillGems = """, O89, """,")</f>
        <v xml:space="preserve">        SupportSkillGems = "Камни поддержки",</v>
      </c>
      <c r="Q89" s="19" t="str">
        <f>'Divergent Support Gem'!R4</f>
        <v>หินเสริม</v>
      </c>
      <c r="R89" s="11" t="str">
        <f>_xlfn.CONCAT("        SupportSkillGems = """, Q89, """,")</f>
        <v xml:space="preserve">        SupportSkillGems = "หินเสริม",</v>
      </c>
      <c r="S89" s="19" t="s">
        <v>7971</v>
      </c>
      <c r="T89" s="11" t="str">
        <f>_xlfn.CONCAT("        SupportSkillGems = """, S89, """,")</f>
        <v xml:space="preserve">        SupportSkillGems = "輔助寶石",</v>
      </c>
      <c r="V89" s="1" t="s">
        <v>527</v>
      </c>
    </row>
    <row r="90" spans="1:22" ht="15.95" customHeight="1" x14ac:dyDescent="0.25">
      <c r="A90" s="19" t="str">
        <f>Map!B4</f>
        <v>Maps</v>
      </c>
      <c r="B90" s="11" t="str">
        <f>_xlfn.CONCAT("        Maps = """, A90, """,")</f>
        <v xml:space="preserve">        Maps = "Maps",</v>
      </c>
      <c r="C90" s="19" t="str">
        <f>Map!D4</f>
        <v>Karten</v>
      </c>
      <c r="D90" s="11" t="str">
        <f>_xlfn.CONCAT("        Maps = """, C90, """,")</f>
        <v xml:space="preserve">        Maps = "Karten",</v>
      </c>
      <c r="E90" s="19" t="str">
        <f>Map!F4</f>
        <v>Mapas</v>
      </c>
      <c r="F90" s="11" t="str">
        <f>_xlfn.CONCAT("        Maps = """, E90, """,")</f>
        <v xml:space="preserve">        Maps = "Mapas",</v>
      </c>
      <c r="G90" s="19" t="str">
        <f>Map!H4</f>
        <v>Cartes</v>
      </c>
      <c r="H90" s="11" t="str">
        <f>_xlfn.CONCAT("        Maps = """, G90, """,")</f>
        <v xml:space="preserve">        Maps = "Cartes",</v>
      </c>
      <c r="I90" s="19" t="str">
        <f>Map!J4</f>
        <v>マップ</v>
      </c>
      <c r="J90" s="11" t="str">
        <f>_xlfn.CONCAT("        Maps = """, I90, """,")</f>
        <v xml:space="preserve">        Maps = "マップ",</v>
      </c>
      <c r="K90" s="19" t="str">
        <f>Map!L4</f>
        <v>지도</v>
      </c>
      <c r="L90" s="11" t="str">
        <f>_xlfn.CONCAT("        Maps = """, K90, """,")</f>
        <v xml:space="preserve">        Maps = "지도",</v>
      </c>
      <c r="M90" s="19" t="str">
        <f>Map!N4</f>
        <v>Mapas</v>
      </c>
      <c r="N90" s="11" t="str">
        <f>_xlfn.CONCAT("        Maps = """, M90, """,")</f>
        <v xml:space="preserve">        Maps = "Mapas",</v>
      </c>
      <c r="O90" s="19" t="str">
        <f>Map!P4</f>
        <v>Карты</v>
      </c>
      <c r="P90" s="11" t="str">
        <f>_xlfn.CONCAT("        Maps = """, O90, """,")</f>
        <v xml:space="preserve">        Maps = "Карты",</v>
      </c>
      <c r="Q90" s="19" t="str">
        <f>Map!R4</f>
        <v>แผนที่</v>
      </c>
      <c r="R90" s="11" t="str">
        <f>_xlfn.CONCAT("        Maps = """, Q90, """,")</f>
        <v xml:space="preserve">        Maps = "แผนที่",</v>
      </c>
      <c r="S90" s="19" t="s">
        <v>7972</v>
      </c>
      <c r="T90" s="11" t="str">
        <f>_xlfn.CONCAT("        Maps = """, S90, """,")</f>
        <v xml:space="preserve">        Maps = "地圖",</v>
      </c>
      <c r="V90" s="1" t="s">
        <v>751</v>
      </c>
    </row>
    <row r="91" spans="1:22" ht="15.95" customHeight="1" x14ac:dyDescent="0.25">
      <c r="A91" s="19" t="str">
        <f>'Map Fragment'!B4</f>
        <v>Map Fragments</v>
      </c>
      <c r="B91" s="11" t="str">
        <f>_xlfn.CONCAT("        MapFragments = """, A91, """,")</f>
        <v xml:space="preserve">        MapFragments = "Map Fragments",</v>
      </c>
      <c r="C91" s="19" t="str">
        <f>'Map Fragment'!D4</f>
        <v>Kartenfragmente</v>
      </c>
      <c r="D91" s="11" t="str">
        <f>_xlfn.CONCAT("        MapFragments = """, C91, """,")</f>
        <v xml:space="preserve">        MapFragments = "Kartenfragmente",</v>
      </c>
      <c r="E91" s="19" t="str">
        <f>'Map Fragment'!F4</f>
        <v>Fragmentos de mapa</v>
      </c>
      <c r="F91" s="11" t="str">
        <f>_xlfn.CONCAT("        MapFragments = """, E91, """,")</f>
        <v xml:space="preserve">        MapFragments = "Fragmentos de mapa",</v>
      </c>
      <c r="G91" s="19" t="str">
        <f>'Map Fragment'!H4</f>
        <v>Fragments de carte</v>
      </c>
      <c r="H91" s="11" t="str">
        <f>_xlfn.CONCAT("        MapFragments = """, G91, """,")</f>
        <v xml:space="preserve">        MapFragments = "Fragments de carte",</v>
      </c>
      <c r="I91" s="19" t="str">
        <f>'Map Fragment'!J4</f>
        <v>マップの断片</v>
      </c>
      <c r="J91" s="11" t="str">
        <f>_xlfn.CONCAT("        MapFragments = """, I91, """,")</f>
        <v xml:space="preserve">        MapFragments = "マップの断片",</v>
      </c>
      <c r="K91" s="19" t="str">
        <f>'Map Fragment'!L4</f>
        <v>지도 조각</v>
      </c>
      <c r="L91" s="11" t="str">
        <f>_xlfn.CONCAT("        MapFragments = """, K91, """,")</f>
        <v xml:space="preserve">        MapFragments = "지도 조각",</v>
      </c>
      <c r="M91" s="19" t="str">
        <f>'Map Fragment'!N4</f>
        <v>Fragmentos de Mapas</v>
      </c>
      <c r="N91" s="11" t="str">
        <f>_xlfn.CONCAT("        MapFragments = """, M91, """,")</f>
        <v xml:space="preserve">        MapFragments = "Fragmentos de Mapas",</v>
      </c>
      <c r="O91" s="19" t="str">
        <f>'Map Fragment'!P4</f>
        <v>Обрывки карт</v>
      </c>
      <c r="P91" s="11" t="str">
        <f>_xlfn.CONCAT("        MapFragments = """, O91, """,")</f>
        <v xml:space="preserve">        MapFragments = "Обрывки карт",</v>
      </c>
      <c r="Q91" s="19" t="str">
        <f>'Map Fragment'!R4</f>
        <v>ชิ้นส่วนแผนที่</v>
      </c>
      <c r="R91" s="11" t="str">
        <f>_xlfn.CONCAT("        MapFragments = """, Q91, """,")</f>
        <v xml:space="preserve">        MapFragments = "ชิ้นส่วนแผนที่",</v>
      </c>
      <c r="S91" s="19" t="s">
        <v>7973</v>
      </c>
      <c r="T91" s="11" t="str">
        <f>_xlfn.CONCAT("        MapFragments = """, S91, """,")</f>
        <v xml:space="preserve">        MapFragments = "地圖碎片",</v>
      </c>
      <c r="V91" s="1" t="s">
        <v>752</v>
      </c>
    </row>
    <row r="92" spans="1:22" ht="15.95" customHeight="1" x14ac:dyDescent="0.25">
      <c r="A92" s="19" t="str">
        <f>Contract!B4</f>
        <v>Contracts</v>
      </c>
      <c r="B92" s="11" t="str">
        <f>_xlfn.CONCAT("        Contract = """, A92, """,")</f>
        <v xml:space="preserve">        Contract = "Contracts",</v>
      </c>
      <c r="C92" s="19" t="str">
        <f>Contract!D4</f>
        <v>Aufträge</v>
      </c>
      <c r="D92" s="11" t="str">
        <f>_xlfn.CONCAT("        Contract = """, C92, """,")</f>
        <v xml:space="preserve">        Contract = "Aufträge",</v>
      </c>
      <c r="E92" s="19" t="str">
        <f>Contract!F4</f>
        <v>Contratos</v>
      </c>
      <c r="F92" s="11" t="str">
        <f>_xlfn.CONCAT("        Contract = """, E92, """,")</f>
        <v xml:space="preserve">        Contract = "Contratos",</v>
      </c>
      <c r="G92" s="19" t="str">
        <f>Contract!H4</f>
        <v>Contrats</v>
      </c>
      <c r="H92" s="11" t="str">
        <f>_xlfn.CONCAT("        Contract = """, G92, """,")</f>
        <v xml:space="preserve">        Contract = "Contrats",</v>
      </c>
      <c r="I92" s="19" t="str">
        <f>Contract!J4</f>
        <v>依頼書</v>
      </c>
      <c r="J92" s="11" t="str">
        <f>_xlfn.CONCAT("        Contract = """, I92, """,")</f>
        <v xml:space="preserve">        Contract = "依頼書",</v>
      </c>
      <c r="K92" s="19" t="str">
        <f>Contract!L4</f>
        <v>계약</v>
      </c>
      <c r="L92" s="11" t="str">
        <f>_xlfn.CONCAT("        Contract = """, K92, """,")</f>
        <v xml:space="preserve">        Contract = "계약",</v>
      </c>
      <c r="M92" s="19" t="str">
        <f>Contract!N4</f>
        <v>Contratos</v>
      </c>
      <c r="N92" s="11" t="str">
        <f>_xlfn.CONCAT("        Contract = """, M92, """,")</f>
        <v xml:space="preserve">        Contract = "Contratos",</v>
      </c>
      <c r="O92" s="19" t="str">
        <f>Contract!P4</f>
        <v>Контракты</v>
      </c>
      <c r="P92" s="11" t="str">
        <f>_xlfn.CONCAT("        Contract = """, O92, """,")</f>
        <v xml:space="preserve">        Contract = "Контракты",</v>
      </c>
      <c r="Q92" s="19" t="str">
        <f>Contract!R4</f>
        <v>สัญญาจ้าง</v>
      </c>
      <c r="R92" s="11" t="str">
        <f>_xlfn.CONCAT("        Contract = """, Q92, """,")</f>
        <v xml:space="preserve">        Contract = "สัญญาจ้าง",</v>
      </c>
      <c r="S92" s="19" t="s">
        <v>7974</v>
      </c>
      <c r="T92" s="11" t="str">
        <f>_xlfn.CONCAT("        Contract = """, S92, """,")</f>
        <v xml:space="preserve">        Contract = "契約書",</v>
      </c>
      <c r="V92" s="1" t="s">
        <v>753</v>
      </c>
    </row>
    <row r="93" spans="1:22" ht="15.95" customHeight="1" x14ac:dyDescent="0.25">
      <c r="A93" s="19" t="str">
        <f>Blueprint!B4</f>
        <v>Blueprints</v>
      </c>
      <c r="B93" s="11" t="str">
        <f>_xlfn.CONCAT("        Blueprint = """, A93, """,")</f>
        <v xml:space="preserve">        Blueprint = "Blueprints",</v>
      </c>
      <c r="C93" s="19" t="str">
        <f>Blueprint!D4</f>
        <v>Grundrisse</v>
      </c>
      <c r="D93" s="11" t="str">
        <f>_xlfn.CONCAT("        Blueprint = """, C93, """,")</f>
        <v xml:space="preserve">        Blueprint = "Grundrisse",</v>
      </c>
      <c r="E93" s="19" t="str">
        <f>Blueprint!F4</f>
        <v>Planos</v>
      </c>
      <c r="F93" s="11" t="str">
        <f>_xlfn.CONCAT("        Blueprint = """, E93, """,")</f>
        <v xml:space="preserve">        Blueprint = "Planos",</v>
      </c>
      <c r="G93" s="19" t="str">
        <f>Blueprint!H4</f>
        <v>Plans</v>
      </c>
      <c r="H93" s="11" t="str">
        <f>_xlfn.CONCAT("        Blueprint = """, G93, """,")</f>
        <v xml:space="preserve">        Blueprint = "Plans",</v>
      </c>
      <c r="I93" s="19" t="str">
        <f>Blueprint!J4</f>
        <v>計画書</v>
      </c>
      <c r="J93" s="11" t="str">
        <f>_xlfn.CONCAT("        Blueprint = """, I93, """,")</f>
        <v xml:space="preserve">        Blueprint = "計画書",</v>
      </c>
      <c r="K93" s="19" t="str">
        <f>Blueprint!L4</f>
        <v>도면</v>
      </c>
      <c r="L93" s="11" t="str">
        <f>_xlfn.CONCAT("        Blueprint = """, K93, """,")</f>
        <v xml:space="preserve">        Blueprint = "도면",</v>
      </c>
      <c r="M93" s="19" t="str">
        <f>Blueprint!N4</f>
        <v>Plantas</v>
      </c>
      <c r="N93" s="11" t="str">
        <f>_xlfn.CONCAT("        Blueprint = """, M93, """,")</f>
        <v xml:space="preserve">        Blueprint = "Plantas",</v>
      </c>
      <c r="O93" s="19" t="str">
        <f>Blueprint!P4</f>
        <v>Чертежи</v>
      </c>
      <c r="P93" s="11" t="str">
        <f>_xlfn.CONCAT("        Blueprint = """, O93, """,")</f>
        <v xml:space="preserve">        Blueprint = "Чертежи",</v>
      </c>
      <c r="Q93" s="19" t="str">
        <f>Blueprint!R4</f>
        <v>พิมพ์เขียว</v>
      </c>
      <c r="R93" s="11" t="str">
        <f>_xlfn.CONCAT("        Blueprint = """, Q93, """,")</f>
        <v xml:space="preserve">        Blueprint = "พิมพ์เขียว",</v>
      </c>
      <c r="S93" s="19" t="s">
        <v>7975</v>
      </c>
      <c r="T93" s="11" t="str">
        <f>_xlfn.CONCAT("        Blueprint = """, S93, """,")</f>
        <v xml:space="preserve">        Blueprint = "藍圖",</v>
      </c>
      <c r="V93" s="1" t="s">
        <v>754</v>
      </c>
    </row>
    <row r="94" spans="1:22" ht="15.95" customHeight="1" x14ac:dyDescent="0.25">
      <c r="A94" s="19" t="str">
        <f>'Misc Map Item'!B4</f>
        <v>Misc Map Items</v>
      </c>
      <c r="B94" s="11" t="str">
        <f>_xlfn.CONCAT("        MiscMapItems = """, A94, """,")</f>
        <v xml:space="preserve">        MiscMapItems = "Misc Map Items",</v>
      </c>
      <c r="C94" s="19" t="str">
        <f>'Misc Map Item'!D4</f>
        <v>Sonstige Kartengegenstände</v>
      </c>
      <c r="D94" s="11" t="str">
        <f>_xlfn.CONCAT("        MiscMapItems = """, C94, """,")</f>
        <v xml:space="preserve">        MiscMapItems = "Sonstige Kartengegenstände",</v>
      </c>
      <c r="E94" s="19" t="str">
        <f>'Misc Map Item'!F4</f>
        <v>Objetos misceláneos de mapa</v>
      </c>
      <c r="F94" s="11" t="str">
        <f>_xlfn.CONCAT("        MiscMapItems = """, E94, """,")</f>
        <v xml:space="preserve">        MiscMapItems = "Objetos misceláneos de mapa",</v>
      </c>
      <c r="G94" s="19" t="str">
        <f>'Misc Map Item'!H4</f>
        <v>Objets de Carte divers</v>
      </c>
      <c r="H94" s="11" t="str">
        <f>_xlfn.CONCAT("        MiscMapItems = """, G94, """,")</f>
        <v xml:space="preserve">        MiscMapItems = "Objets de Carte divers",</v>
      </c>
      <c r="I94" s="19" t="str">
        <f>'Misc Map Item'!J4</f>
        <v>その他マップアイテム</v>
      </c>
      <c r="J94" s="11" t="str">
        <f>_xlfn.CONCAT("        MiscMapItems = """, I94, """,")</f>
        <v xml:space="preserve">        MiscMapItems = "その他マップアイテム",</v>
      </c>
      <c r="K94" s="19" t="str">
        <f>'Misc Map Item'!L4</f>
        <v>기타 지도 아이템</v>
      </c>
      <c r="L94" s="11" t="str">
        <f>_xlfn.CONCAT("        MiscMapItems = """, K94, """,")</f>
        <v xml:space="preserve">        MiscMapItems = "기타 지도 아이템",</v>
      </c>
      <c r="M94" s="19" t="str">
        <f>'Misc Map Item'!N4</f>
        <v>Itens Mapas Variados</v>
      </c>
      <c r="N94" s="11" t="str">
        <f>_xlfn.CONCAT("        MiscMapItems = """, M94, """,")</f>
        <v xml:space="preserve">        MiscMapItems = "Itens Mapas Variados",</v>
      </c>
      <c r="O94" s="19" t="str">
        <f>'Misc Map Item'!P4</f>
        <v>Прочие предметы карт</v>
      </c>
      <c r="P94" s="11" t="str">
        <f>_xlfn.CONCAT("        MiscMapItems = """, O94, """,")</f>
        <v xml:space="preserve">        MiscMapItems = "Прочие предметы карт",</v>
      </c>
      <c r="Q94" s="19" t="str">
        <f>'Misc Map Item'!R4</f>
        <v>ไอเทมแผนที่อื่นๆ</v>
      </c>
      <c r="R94" s="11" t="str">
        <f>_xlfn.CONCAT("        MiscMapItems = """, Q94, """,")</f>
        <v xml:space="preserve">        MiscMapItems = "ไอเทมแผนที่อื่นๆ",</v>
      </c>
      <c r="S94" s="19" t="s">
        <v>7976</v>
      </c>
      <c r="T94" s="11" t="str">
        <f>_xlfn.CONCAT("        MiscMapItems = """, S94, """,")</f>
        <v xml:space="preserve">        MiscMapItems = "其它",</v>
      </c>
      <c r="V94" s="1" t="s">
        <v>755</v>
      </c>
    </row>
    <row r="95" spans="1:22" ht="15.95" customHeight="1" x14ac:dyDescent="0.25">
      <c r="A95" s="19" t="str">
        <f>Waystone!B4</f>
        <v>Waystones</v>
      </c>
      <c r="B95" s="11" t="str">
        <f>_xlfn.CONCAT("        Waystone = """, A95, """,")</f>
        <v xml:space="preserve">        Waystone = "Waystones",</v>
      </c>
      <c r="C95" s="19" t="str">
        <f>Waystone!D4</f>
        <v>Wegsteine</v>
      </c>
      <c r="D95" s="11" t="str">
        <f>_xlfn.CONCAT("        Waystone = """, C95, """,")</f>
        <v xml:space="preserve">        Waystone = "Wegsteine",</v>
      </c>
      <c r="E95" s="19" t="str">
        <f>Waystone!F4</f>
        <v>Piedras guía</v>
      </c>
      <c r="F95" s="11" t="str">
        <f>_xlfn.CONCAT("        Waystone = """, E95, """,")</f>
        <v xml:space="preserve">        Waystone = "Piedras guía",</v>
      </c>
      <c r="G95" s="19" t="str">
        <f>Waystone!H4</f>
        <v>Pierres de téléportation</v>
      </c>
      <c r="H95" s="11" t="str">
        <f>_xlfn.CONCAT("        Waystone = """, G95, """,")</f>
        <v xml:space="preserve">        Waystone = "Pierres de téléportation",</v>
      </c>
      <c r="I95" s="19" t="str">
        <f>Waystone!J4</f>
        <v>ウェイストーン</v>
      </c>
      <c r="J95" s="11" t="str">
        <f>_xlfn.CONCAT("        Waystone = """, I95, """,")</f>
        <v xml:space="preserve">        Waystone = "ウェイストーン",</v>
      </c>
      <c r="K95" s="19" t="str">
        <f>Waystone!L4</f>
        <v>경로석</v>
      </c>
      <c r="L95" s="11" t="str">
        <f>_xlfn.CONCAT("        Waystone = """, K95, """,")</f>
        <v xml:space="preserve">        Waystone = "경로석",</v>
      </c>
      <c r="M95" s="19" t="str">
        <f>Waystone!N4</f>
        <v>Pedras Guia</v>
      </c>
      <c r="N95" s="11" t="str">
        <f>_xlfn.CONCAT("        Waystone = """, M95, """,")</f>
        <v xml:space="preserve">        Waystone = "Pedras Guia",</v>
      </c>
      <c r="O95" s="19" t="str">
        <f>Waystone!P4</f>
        <v>Путевые камни</v>
      </c>
      <c r="P95" s="11" t="str">
        <f>_xlfn.CONCAT("        Waystone = """, O95, """,")</f>
        <v xml:space="preserve">        Waystone = "Путевые камни",</v>
      </c>
      <c r="Q95" s="19" t="str">
        <f>Waystone!R4</f>
        <v>ศิลานำทาง</v>
      </c>
      <c r="R95" s="11" t="str">
        <f>_xlfn.CONCAT("        Waystone = """, Q95, """,")</f>
        <v xml:space="preserve">        Waystone = "ศิลานำทาง",</v>
      </c>
      <c r="S95" s="19" t="str">
        <f>Waystone!T4</f>
        <v>換界石</v>
      </c>
      <c r="T95" s="11" t="str">
        <f>_xlfn.CONCAT("        Waystone = """, S95, """,")</f>
        <v xml:space="preserve">        Waystone = "換界石",</v>
      </c>
      <c r="V95" s="1" t="s">
        <v>7105</v>
      </c>
    </row>
    <row r="96" spans="1:22" ht="15.95" customHeight="1" x14ac:dyDescent="0.25">
      <c r="A96" s="19" t="str">
        <f>Barya!B4</f>
        <v>Trial Coins</v>
      </c>
      <c r="B96" s="11" t="str">
        <f>_xlfn.CONCAT("        Barya = """, A96, """,")</f>
        <v xml:space="preserve">        Barya = "Trial Coins",</v>
      </c>
      <c r="C96" s="19" t="str">
        <f>Barya!D4</f>
        <v>Prüfungsmünzen</v>
      </c>
      <c r="D96" s="11" t="str">
        <f>_xlfn.CONCAT("        Barya = """, C96, """,")</f>
        <v xml:space="preserve">        Barya = "Prüfungsmünzen",</v>
      </c>
      <c r="E96" s="19" t="str">
        <f>Barya!F4</f>
        <v>Monedas de la prueba</v>
      </c>
      <c r="F96" s="11" t="str">
        <f>_xlfn.CONCAT("        Barya = """, E96, """,")</f>
        <v xml:space="preserve">        Barya = "Monedas de la prueba",</v>
      </c>
      <c r="G96" s="19" t="str">
        <f>Barya!H4</f>
        <v>Pièces de l'Épreuve</v>
      </c>
      <c r="H96" s="11" t="str">
        <f>_xlfn.CONCAT("        Barya = """, G96, """,")</f>
        <v xml:space="preserve">        Barya = "Pièces de l'Épreuve",</v>
      </c>
      <c r="I96" s="19" t="str">
        <f>Barya!J4</f>
        <v>試練のコイン</v>
      </c>
      <c r="J96" s="11" t="str">
        <f>_xlfn.CONCAT("        Barya = """, I96, """,")</f>
        <v xml:space="preserve">        Barya = "試練のコイン",</v>
      </c>
      <c r="K96" s="19" t="str">
        <f>Barya!L4</f>
        <v>시련 주화</v>
      </c>
      <c r="L96" s="11" t="str">
        <f>_xlfn.CONCAT("        Barya = """, K96, """,")</f>
        <v xml:space="preserve">        Barya = "시련 주화",</v>
      </c>
      <c r="M96" s="19" t="str">
        <f>Barya!N4</f>
        <v>Moedas da Provação</v>
      </c>
      <c r="N96" s="11" t="str">
        <f>_xlfn.CONCAT("        Barya = """, M96, """,")</f>
        <v xml:space="preserve">        Barya = "Moedas da Provação",</v>
      </c>
      <c r="O96" s="19" t="str">
        <f>Barya!P4</f>
        <v>Монеты Испытания</v>
      </c>
      <c r="P96" s="11" t="str">
        <f>_xlfn.CONCAT("        Barya = """, O96, """,")</f>
        <v xml:space="preserve">        Barya = "Монеты Испытания",</v>
      </c>
      <c r="Q96" s="19" t="str">
        <f>Barya!R4</f>
        <v>เหรียญบททดสอบ</v>
      </c>
      <c r="R96" s="11" t="str">
        <f>_xlfn.CONCAT("        Barya = """, Q96, """,")</f>
        <v xml:space="preserve">        Barya = "เหรียญบททดสอบ",</v>
      </c>
      <c r="S96" s="19" t="str">
        <f>Barya!T4</f>
        <v>試煉代幣</v>
      </c>
      <c r="T96" s="11" t="str">
        <f>_xlfn.CONCAT("        Barya = """, S96, """,")</f>
        <v xml:space="preserve">        Barya = "試煉代幣",</v>
      </c>
      <c r="V96" s="1" t="s">
        <v>7106</v>
      </c>
    </row>
    <row r="97" spans="1:22" ht="15.95" customHeight="1" x14ac:dyDescent="0.25">
      <c r="A97" s="19" t="str">
        <f>Ultimatum!B4</f>
        <v>Inscribed Ultimatum</v>
      </c>
      <c r="B97" s="11" t="str">
        <f>_xlfn.CONCAT("        Ultimatum = """, A97, """,")</f>
        <v xml:space="preserve">        Ultimatum = "Inscribed Ultimatum",</v>
      </c>
      <c r="C97" s="19" t="str">
        <f>Ultimatum!D4</f>
        <v>Inschrift des Ultimatums</v>
      </c>
      <c r="D97" s="11" t="str">
        <f>_xlfn.CONCAT("        Ultimatum = """, C97, """,")</f>
        <v xml:space="preserve">        Ultimatum = "Inschrift des Ultimatums",</v>
      </c>
      <c r="E97" s="19" t="str">
        <f>Ultimatum!F4</f>
        <v>Ultimátum inscrito</v>
      </c>
      <c r="F97" s="11" t="str">
        <f>_xlfn.CONCAT("        Ultimatum = """, E97, """,")</f>
        <v xml:space="preserve">        Ultimatum = "Ultimátum inscrito",</v>
      </c>
      <c r="G97" s="19" t="str">
        <f>Ultimatum!H4</f>
        <v>Ultimatum gravé</v>
      </c>
      <c r="H97" s="11" t="str">
        <f>_xlfn.CONCAT("        Ultimatum = """, G97, """,")</f>
        <v xml:space="preserve">        Ultimatum = "Ultimatum gravé",</v>
      </c>
      <c r="I97" s="19" t="str">
        <f>Ultimatum!J4</f>
        <v>刻印されたアルティメイタム</v>
      </c>
      <c r="J97" s="11" t="str">
        <f>_xlfn.CONCAT("        Ultimatum = """, I97, """,")</f>
        <v xml:space="preserve">        Ultimatum = "刻印されたアルティメイタム",</v>
      </c>
      <c r="K97" s="19" t="str">
        <f>Ultimatum!L4</f>
        <v>새겨진 결전</v>
      </c>
      <c r="L97" s="11" t="str">
        <f>_xlfn.CONCAT("        Ultimatum = """, K97, """,")</f>
        <v xml:space="preserve">        Ultimatum = "새겨진 결전",</v>
      </c>
      <c r="M97" s="19" t="str">
        <f>Ultimatum!N4</f>
        <v>Ultimato Talhado</v>
      </c>
      <c r="N97" s="11" t="str">
        <f>_xlfn.CONCAT("        Ultimatum = """, M97, """,")</f>
        <v xml:space="preserve">        Ultimatum = "Ultimato Talhado",</v>
      </c>
      <c r="O97" s="19" t="str">
        <f>Ultimatum!P4</f>
        <v>Начертанные Ультиматумы</v>
      </c>
      <c r="P97" s="11" t="str">
        <f>_xlfn.CONCAT("        Ultimatum = """, O97, """,")</f>
        <v xml:space="preserve">        Ultimatum = "Начертанные Ультиматумы",</v>
      </c>
      <c r="Q97" s="19" t="str">
        <f>Ultimatum!R4</f>
        <v>คำขาดจารึก</v>
      </c>
      <c r="R97" s="11" t="str">
        <f>_xlfn.CONCAT("        Ultimatum = """, Q97, """,")</f>
        <v xml:space="preserve">        Ultimatum = "คำขาดจารึก",</v>
      </c>
      <c r="S97" s="19" t="str">
        <f>Ultimatum!T4</f>
        <v>最後通牒雕刻</v>
      </c>
      <c r="T97" s="11" t="str">
        <f>_xlfn.CONCAT("        Ultimatum = """, S97, """,")</f>
        <v xml:space="preserve">        Ultimatum = "最後通牒雕刻",</v>
      </c>
      <c r="V97" s="1" t="s">
        <v>7087</v>
      </c>
    </row>
    <row r="98" spans="1:22" ht="15.95" customHeight="1" x14ac:dyDescent="0.25">
      <c r="A98" s="19" t="str">
        <f>Tablet!B4</f>
        <v>Tablet</v>
      </c>
      <c r="B98" s="11" t="str">
        <f>_xlfn.CONCAT("        Tablet = """, A98, """,")</f>
        <v xml:space="preserve">        Tablet = "Tablet",</v>
      </c>
      <c r="C98" s="19" t="str">
        <f>Tablet!D4</f>
        <v>Tafel</v>
      </c>
      <c r="D98" s="11" t="str">
        <f>_xlfn.CONCAT("        Tablet = """, C98, """,")</f>
        <v xml:space="preserve">        Tablet = "Tafel",</v>
      </c>
      <c r="E98" s="19" t="str">
        <f>Tablet!F4</f>
        <v>Tablilla</v>
      </c>
      <c r="F98" s="11" t="str">
        <f>_xlfn.CONCAT("        Tablet = """, E98, """,")</f>
        <v xml:space="preserve">        Tablet = "Tablilla",</v>
      </c>
      <c r="G98" s="19" t="str">
        <f>Tablet!H4</f>
        <v>Tablette</v>
      </c>
      <c r="H98" s="11" t="str">
        <f>_xlfn.CONCAT("        Tablet = """, G98, """,")</f>
        <v xml:space="preserve">        Tablet = "Tablette",</v>
      </c>
      <c r="I98" s="19" t="str">
        <f>Tablet!J4</f>
        <v>石板</v>
      </c>
      <c r="J98" s="11" t="str">
        <f>_xlfn.CONCAT("        Tablet = """, I98, """,")</f>
        <v xml:space="preserve">        Tablet = "石板",</v>
      </c>
      <c r="K98" s="19" t="str">
        <f>Tablet!L4</f>
        <v>서판</v>
      </c>
      <c r="L98" s="11" t="str">
        <f>_xlfn.CONCAT("        Tablet = """, K98, """,")</f>
        <v xml:space="preserve">        Tablet = "서판",</v>
      </c>
      <c r="M98" s="19" t="str">
        <f>Tablet!N4</f>
        <v>Tábua</v>
      </c>
      <c r="N98" s="11" t="str">
        <f>_xlfn.CONCAT("        Tablet = """, M98, """,")</f>
        <v xml:space="preserve">        Tablet = "Tábua",</v>
      </c>
      <c r="O98" s="19" t="str">
        <f>Tablet!P4</f>
        <v>Плитки</v>
      </c>
      <c r="P98" s="11" t="str">
        <f>_xlfn.CONCAT("        Tablet = """, O98, """,")</f>
        <v xml:space="preserve">        Tablet = "Плитки",</v>
      </c>
      <c r="Q98" s="19" t="str">
        <f>Tablet!R4</f>
        <v>แผ่นหิน</v>
      </c>
      <c r="R98" s="11" t="str">
        <f>_xlfn.CONCAT("        Tablet = """, Q98, """,")</f>
        <v xml:space="preserve">        Tablet = "แผ่นหิน",</v>
      </c>
      <c r="S98" s="19" t="str">
        <f>Tablet!T4</f>
        <v>面板</v>
      </c>
      <c r="T98" s="11" t="str">
        <f>_xlfn.CONCAT("        Tablet = """, S98, """,")</f>
        <v xml:space="preserve">        Tablet = "面板",</v>
      </c>
      <c r="V98" s="1" t="s">
        <v>7107</v>
      </c>
    </row>
    <row r="99" spans="1:22" ht="15.95" customHeight="1" x14ac:dyDescent="0.25">
      <c r="A99" s="19" t="str">
        <f>Breachstone!B4</f>
        <v>Breachstones</v>
      </c>
      <c r="B99" s="11" t="str">
        <f>_xlfn.CONCAT("        Breachstone = """, A99, """,")</f>
        <v xml:space="preserve">        Breachstone = "Breachstones",</v>
      </c>
      <c r="C99" s="19" t="str">
        <f>Breachstone!D4</f>
        <v>Riss-Steine</v>
      </c>
      <c r="D99" s="11" t="str">
        <f>_xlfn.CONCAT("        Breachstone = """, C99, """,")</f>
        <v xml:space="preserve">        Breachstone = "Riss-Steine",</v>
      </c>
      <c r="E99" s="19" t="str">
        <f>Breachstone!F4</f>
        <v>Piedras de fisura</v>
      </c>
      <c r="F99" s="11" t="str">
        <f>_xlfn.CONCAT("        Breachstone = """, E99, """,")</f>
        <v xml:space="preserve">        Breachstone = "Piedras de fisura",</v>
      </c>
      <c r="G99" s="19" t="str">
        <f>Breachstone!H4</f>
        <v>Pierres de Brèche</v>
      </c>
      <c r="H99" s="11" t="str">
        <f>_xlfn.CONCAT("        Breachstone = """, G99, """,")</f>
        <v xml:space="preserve">        Breachstone = "Pierres de Brèche",</v>
      </c>
      <c r="I99" s="19" t="str">
        <f>Breachstone!J4</f>
        <v>ブリーチストーン</v>
      </c>
      <c r="J99" s="11" t="str">
        <f>_xlfn.CONCAT("        Breachstone = """, I99, """,")</f>
        <v xml:space="preserve">        Breachstone = "ブリーチストーン",</v>
      </c>
      <c r="K99" s="19" t="str">
        <f>Breachstone!L4</f>
        <v>균열석</v>
      </c>
      <c r="L99" s="11" t="str">
        <f>_xlfn.CONCAT("        Breachstone = """, K99, """,")</f>
        <v xml:space="preserve">        Breachstone = "균열석",</v>
      </c>
      <c r="M99" s="19" t="str">
        <f>Breachstone!N4</f>
        <v>Pedras de Fenda</v>
      </c>
      <c r="N99" s="11" t="str">
        <f>_xlfn.CONCAT("        Breachstone = """, M99, """,")</f>
        <v xml:space="preserve">        Breachstone = "Pedras de Fenda",</v>
      </c>
      <c r="O99" s="19" t="str">
        <f>Breachstone!P4</f>
        <v>Камни Разлома</v>
      </c>
      <c r="P99" s="11" t="str">
        <f>_xlfn.CONCAT("        Breachstone = """, O99, """,")</f>
        <v xml:space="preserve">        Breachstone = "Камни Разлома",</v>
      </c>
      <c r="Q99" s="19" t="str">
        <f>Breachstone!R4</f>
        <v>ศิลาบรีช</v>
      </c>
      <c r="R99" s="11" t="str">
        <f>_xlfn.CONCAT("        Breachstone = """, Q99, """,")</f>
        <v xml:space="preserve">        Breachstone = "ศิลาบรีช",</v>
      </c>
      <c r="S99" s="19" t="str">
        <f>Breachstone!T4</f>
        <v>裂痕石</v>
      </c>
      <c r="T99" s="11" t="str">
        <f>_xlfn.CONCAT("        Breachstone = """, S99, """,")</f>
        <v xml:space="preserve">        Breachstone = "裂痕石",</v>
      </c>
      <c r="V99" s="1" t="s">
        <v>7136</v>
      </c>
    </row>
    <row r="100" spans="1:22" ht="15.95" customHeight="1" x14ac:dyDescent="0.25">
      <c r="A100" s="19" t="str">
        <f>'Boss Key'!B4</f>
        <v>Pinnacle Keys</v>
      </c>
      <c r="B100" s="11" t="str">
        <f>_xlfn.CONCAT("        BossKey = """, A100, """,")</f>
        <v xml:space="preserve">        BossKey = "Pinnacle Keys",</v>
      </c>
      <c r="C100" s="19" t="str">
        <f>'Boss Key'!D4</f>
        <v>Zinnenschhlüssel</v>
      </c>
      <c r="D100" s="11" t="str">
        <f>_xlfn.CONCAT("        BossKey = """, C100, """,")</f>
        <v xml:space="preserve">        BossKey = "Zinnenschhlüssel",</v>
      </c>
      <c r="E100" s="19" t="str">
        <f>'Boss Key'!F4</f>
        <v>Llaves de jefes finales</v>
      </c>
      <c r="F100" s="11" t="str">
        <f>_xlfn.CONCAT("        BossKey = """, E100, """,")</f>
        <v xml:space="preserve">        BossKey = "Llaves de jefes finales",</v>
      </c>
      <c r="G100" s="19" t="str">
        <f>'Boss Key'!H4</f>
        <v>Clés de la Finalité</v>
      </c>
      <c r="H100" s="11" t="str">
        <f>_xlfn.CONCAT("        BossKey = """, G100, """,")</f>
        <v xml:space="preserve">        BossKey = "Clés de la Finalité",</v>
      </c>
      <c r="I100" s="19" t="str">
        <f>'Boss Key'!J4</f>
        <v>ピナクルキー</v>
      </c>
      <c r="J100" s="11" t="str">
        <f>_xlfn.CONCAT("        BossKey = """, I100, """,")</f>
        <v xml:space="preserve">        BossKey = "ピナクルキー",</v>
      </c>
      <c r="K100" s="19" t="str">
        <f>'Boss Key'!L4</f>
        <v>최종 열쇠</v>
      </c>
      <c r="L100" s="11" t="str">
        <f>_xlfn.CONCAT("        BossKey = """, K100, """,")</f>
        <v xml:space="preserve">        BossKey = "최종 열쇠",</v>
      </c>
      <c r="M100" s="19" t="str">
        <f>'Boss Key'!N4</f>
        <v>Chaves Supremas</v>
      </c>
      <c r="N100" s="11" t="str">
        <f>_xlfn.CONCAT("        BossKey = """, M100, """,")</f>
        <v xml:space="preserve">        BossKey = "Chaves Supremas",</v>
      </c>
      <c r="O100" s="19" t="str">
        <f>'Boss Key'!P4</f>
        <v>Древние ключи</v>
      </c>
      <c r="P100" s="11" t="str">
        <f>_xlfn.CONCAT("        BossKey = """, O100, """,")</f>
        <v xml:space="preserve">        BossKey = "Древние ключи",</v>
      </c>
      <c r="Q100" s="19" t="str">
        <f>'Boss Key'!R4</f>
        <v>กุญแจอภิมหาบอส</v>
      </c>
      <c r="R100" s="11" t="str">
        <f>_xlfn.CONCAT("        BossKey = """, Q100, """,")</f>
        <v xml:space="preserve">        BossKey = "กุญแจอภิมหาบอส",</v>
      </c>
      <c r="S100" s="19" t="str">
        <f>'Boss Key'!T4</f>
        <v>巔峰鑰匙</v>
      </c>
      <c r="T100" s="11" t="str">
        <f>_xlfn.CONCAT("        BossKey = """, S100, """,")</f>
        <v xml:space="preserve">        BossKey = "巔峰鑰匙",</v>
      </c>
      <c r="V100" s="1" t="s">
        <v>7137</v>
      </c>
    </row>
    <row r="101" spans="1:22" ht="15.95" customHeight="1" x14ac:dyDescent="0.25">
      <c r="A101" s="19" t="str">
        <f>Claw!B4</f>
        <v>Claws</v>
      </c>
      <c r="B101" s="11" t="str">
        <f>_xlfn.CONCAT("        Claws = """, A101, """,")</f>
        <v xml:space="preserve">        Claws = "Claws",</v>
      </c>
      <c r="C101" s="19" t="str">
        <f>Claw!D4</f>
        <v>Klauen</v>
      </c>
      <c r="D101" s="11" t="str">
        <f>_xlfn.CONCAT("        Claws = """, C101, """,")</f>
        <v xml:space="preserve">        Claws = "Klauen",</v>
      </c>
      <c r="E101" s="19" t="str">
        <f>Claw!F4</f>
        <v>Garras</v>
      </c>
      <c r="F101" s="11" t="str">
        <f>_xlfn.CONCAT("        Claws = """, E101, """,")</f>
        <v xml:space="preserve">        Claws = "Garras",</v>
      </c>
      <c r="G101" s="19" t="str">
        <f>Claw!H4</f>
        <v>Griffes</v>
      </c>
      <c r="H101" s="11" t="str">
        <f>_xlfn.CONCAT("        Claws = """, G101, """,")</f>
        <v xml:space="preserve">        Claws = "Griffes",</v>
      </c>
      <c r="I101" s="19" t="str">
        <f>Claw!J4</f>
        <v>鉤爪</v>
      </c>
      <c r="J101" s="11" t="str">
        <f>_xlfn.CONCAT("        Claws = """, I101, """,")</f>
        <v xml:space="preserve">        Claws = "鉤爪",</v>
      </c>
      <c r="K101" s="19" t="str">
        <f>Claw!L4</f>
        <v>클로</v>
      </c>
      <c r="L101" s="11" t="str">
        <f>_xlfn.CONCAT("        Claws = """, K101, """,")</f>
        <v xml:space="preserve">        Claws = "클로",</v>
      </c>
      <c r="M101" s="19" t="str">
        <f>Claw!N4</f>
        <v>Garras</v>
      </c>
      <c r="N101" s="11" t="str">
        <f>_xlfn.CONCAT("        Claws = """, M101, """,")</f>
        <v xml:space="preserve">        Claws = "Garras",</v>
      </c>
      <c r="O101" s="19" t="str">
        <f>Claw!P4</f>
        <v>Когти</v>
      </c>
      <c r="P101" s="11" t="str">
        <f>_xlfn.CONCAT("        Claws = """, O101, """,")</f>
        <v xml:space="preserve">        Claws = "Когти",</v>
      </c>
      <c r="Q101" s="19" t="str">
        <f>Claw!R4</f>
        <v>กรงเล็บ</v>
      </c>
      <c r="R101" s="11" t="str">
        <f>_xlfn.CONCAT("        Claws = """, Q101, """,")</f>
        <v xml:space="preserve">        Claws = "กรงเล็บ",</v>
      </c>
      <c r="S101" s="19" t="s">
        <v>7977</v>
      </c>
      <c r="T101" s="11" t="str">
        <f>_xlfn.CONCAT("        Claws = """, S101, """,")</f>
        <v xml:space="preserve">        Claws = "爪",</v>
      </c>
      <c r="V101" s="1" t="s">
        <v>528</v>
      </c>
    </row>
    <row r="102" spans="1:22" ht="15.95" customHeight="1" x14ac:dyDescent="0.25">
      <c r="A102" s="19" t="str">
        <f>Dagger!B4</f>
        <v>Daggers</v>
      </c>
      <c r="B102" s="11" t="str">
        <f>_xlfn.CONCAT("        Daggers = """, A102, """,")</f>
        <v xml:space="preserve">        Daggers = "Daggers",</v>
      </c>
      <c r="C102" s="19" t="str">
        <f>Dagger!D4</f>
        <v>Dolche</v>
      </c>
      <c r="D102" s="11" t="str">
        <f>_xlfn.CONCAT("        Daggers = """, C102, """,")</f>
        <v xml:space="preserve">        Daggers = "Dolche",</v>
      </c>
      <c r="E102" s="19" t="str">
        <f>Dagger!F4</f>
        <v>Dagas</v>
      </c>
      <c r="F102" s="11" t="str">
        <f>_xlfn.CONCAT("        Daggers = """, E102, """,")</f>
        <v xml:space="preserve">        Daggers = "Dagas",</v>
      </c>
      <c r="G102" s="19" t="str">
        <f>Dagger!H4</f>
        <v>Dagues</v>
      </c>
      <c r="H102" s="11" t="str">
        <f>_xlfn.CONCAT("        Daggers = """, G102, """,")</f>
        <v xml:space="preserve">        Daggers = "Dagues",</v>
      </c>
      <c r="I102" s="19" t="str">
        <f>Dagger!J4</f>
        <v>短剣</v>
      </c>
      <c r="J102" s="11" t="str">
        <f>_xlfn.CONCAT("        Daggers = """, I102, """,")</f>
        <v xml:space="preserve">        Daggers = "短剣",</v>
      </c>
      <c r="K102" s="19" t="str">
        <f>Dagger!L4</f>
        <v>단검</v>
      </c>
      <c r="L102" s="11" t="str">
        <f>_xlfn.CONCAT("        Daggers = """, K102, """,")</f>
        <v xml:space="preserve">        Daggers = "단검",</v>
      </c>
      <c r="M102" s="19" t="str">
        <f>Dagger!N4</f>
        <v>Adagas</v>
      </c>
      <c r="N102" s="11" t="str">
        <f>_xlfn.CONCAT("        Daggers = """, M102, """,")</f>
        <v xml:space="preserve">        Daggers = "Adagas",</v>
      </c>
      <c r="O102" s="19" t="str">
        <f>Dagger!P4</f>
        <v>Кинжалы</v>
      </c>
      <c r="P102" s="11" t="str">
        <f>_xlfn.CONCAT("        Daggers = """, O102, """,")</f>
        <v xml:space="preserve">        Daggers = "Кинжалы",</v>
      </c>
      <c r="Q102" s="19" t="str">
        <f>Dagger!R4</f>
        <v>มีด</v>
      </c>
      <c r="R102" s="11" t="str">
        <f>_xlfn.CONCAT("        Daggers = """, Q102, """,")</f>
        <v xml:space="preserve">        Daggers = "มีด",</v>
      </c>
      <c r="S102" s="19" t="s">
        <v>7978</v>
      </c>
      <c r="T102" s="11" t="str">
        <f>_xlfn.CONCAT("        Daggers = """, S102, """,")</f>
        <v xml:space="preserve">        Daggers = "匕首",</v>
      </c>
      <c r="V102" s="1" t="s">
        <v>529</v>
      </c>
    </row>
    <row r="103" spans="1:22" ht="15.95" customHeight="1" x14ac:dyDescent="0.25">
      <c r="A103" s="19" t="str">
        <f>Wand!B4</f>
        <v>Wands</v>
      </c>
      <c r="B103" s="11" t="str">
        <f>_xlfn.CONCAT("        Wands = """, A103, """,")</f>
        <v xml:space="preserve">        Wands = "Wands",</v>
      </c>
      <c r="C103" s="19" t="str">
        <f>Wand!D4</f>
        <v>Zauberstäbe</v>
      </c>
      <c r="D103" s="11" t="str">
        <f>_xlfn.CONCAT("        Wands = """, C103, """,")</f>
        <v xml:space="preserve">        Wands = "Zauberstäbe",</v>
      </c>
      <c r="E103" s="19" t="str">
        <f>Wand!F4</f>
        <v>Varitas</v>
      </c>
      <c r="F103" s="11" t="str">
        <f>_xlfn.CONCAT("        Wands = """, E103, """,")</f>
        <v xml:space="preserve">        Wands = "Varitas",</v>
      </c>
      <c r="G103" s="19" t="str">
        <f>Wand!H4</f>
        <v>Baguettes</v>
      </c>
      <c r="H103" s="11" t="str">
        <f>_xlfn.CONCAT("        Wands = """, G103, """,")</f>
        <v xml:space="preserve">        Wands = "Baguettes",</v>
      </c>
      <c r="I103" s="19" t="str">
        <f>Wand!J4</f>
        <v>ワンド</v>
      </c>
      <c r="J103" s="11" t="str">
        <f>_xlfn.CONCAT("        Wands = """, I103, """,")</f>
        <v xml:space="preserve">        Wands = "ワンド",</v>
      </c>
      <c r="K103" s="19" t="str">
        <f>Wand!L4</f>
        <v>마법봉</v>
      </c>
      <c r="L103" s="11" t="str">
        <f>_xlfn.CONCAT("        Wands = """, K103, """,")</f>
        <v xml:space="preserve">        Wands = "마법봉",</v>
      </c>
      <c r="M103" s="19" t="str">
        <f>Wand!N4</f>
        <v>Varinhas</v>
      </c>
      <c r="N103" s="11" t="str">
        <f>_xlfn.CONCAT("        Wands = """, M103, """,")</f>
        <v xml:space="preserve">        Wands = "Varinhas",</v>
      </c>
      <c r="O103" s="19" t="str">
        <f>Wand!P4</f>
        <v>Жезлы</v>
      </c>
      <c r="P103" s="11" t="str">
        <f>_xlfn.CONCAT("        Wands = """, O103, """,")</f>
        <v xml:space="preserve">        Wands = "Жезлы",</v>
      </c>
      <c r="Q103" s="19" t="str">
        <f>Wand!R4</f>
        <v>ไม้กายสิทธิ์</v>
      </c>
      <c r="R103" s="11" t="str">
        <f>_xlfn.CONCAT("        Wands = """, Q103, """,")</f>
        <v xml:space="preserve">        Wands = "ไม้กายสิทธิ์",</v>
      </c>
      <c r="S103" s="19" t="s">
        <v>7979</v>
      </c>
      <c r="T103" s="11" t="str">
        <f>_xlfn.CONCAT("        Wands = """, S103, """,")</f>
        <v xml:space="preserve">        Wands = "法杖",</v>
      </c>
      <c r="V103" s="1" t="s">
        <v>530</v>
      </c>
    </row>
    <row r="104" spans="1:22" ht="15.95" customHeight="1" x14ac:dyDescent="0.25">
      <c r="A104" s="19" t="str">
        <f>'1H Sword'!B4</f>
        <v>One Hand Swords</v>
      </c>
      <c r="B104" s="11" t="str">
        <f>_xlfn.CONCAT("        OneHandSwords = """, A104, """,")</f>
        <v xml:space="preserve">        OneHandSwords = "One Hand Swords",</v>
      </c>
      <c r="C104" s="19" t="str">
        <f>'1H Sword'!D4</f>
        <v>Einhandschwerter</v>
      </c>
      <c r="D104" s="11" t="str">
        <f>_xlfn.CONCAT("        OneHandSwords = """, C104, """,")</f>
        <v xml:space="preserve">        OneHandSwords = "Einhandschwerter",</v>
      </c>
      <c r="E104" s="19" t="str">
        <f>'1H Sword'!F4</f>
        <v>Espadas a una mano</v>
      </c>
      <c r="F104" s="11" t="str">
        <f>_xlfn.CONCAT("        OneHandSwords = """, E104, """,")</f>
        <v xml:space="preserve">        OneHandSwords = "Espadas a una mano",</v>
      </c>
      <c r="G104" s="19" t="str">
        <f>'1H Sword'!H4</f>
        <v>Épées à une main</v>
      </c>
      <c r="H104" s="11" t="str">
        <f>_xlfn.CONCAT("        OneHandSwords = """, G104, """,")</f>
        <v xml:space="preserve">        OneHandSwords = "Épées à une main",</v>
      </c>
      <c r="I104" s="19" t="str">
        <f>'1H Sword'!J4</f>
        <v>片手剣</v>
      </c>
      <c r="J104" s="11" t="str">
        <f>_xlfn.CONCAT("        OneHandSwords = """, I104, """,")</f>
        <v xml:space="preserve">        OneHandSwords = "片手剣",</v>
      </c>
      <c r="K104" s="19" t="str">
        <f>'1H Sword'!L4</f>
        <v>한손 검</v>
      </c>
      <c r="L104" s="11" t="str">
        <f>_xlfn.CONCAT("        OneHandSwords = """, K104, """,")</f>
        <v xml:space="preserve">        OneHandSwords = "한손 검",</v>
      </c>
      <c r="M104" s="19" t="str">
        <f>'1H Sword'!N4</f>
        <v>Espadas de Uma Mão</v>
      </c>
      <c r="N104" s="11" t="str">
        <f>_xlfn.CONCAT("        OneHandSwords = """, M104, """,")</f>
        <v xml:space="preserve">        OneHandSwords = "Espadas de Uma Mão",</v>
      </c>
      <c r="O104" s="19" t="str">
        <f>'1H Sword'!P4</f>
        <v>Одноручные мечи</v>
      </c>
      <c r="P104" s="11" t="str">
        <f>_xlfn.CONCAT("        OneHandSwords = """, O104, """,")</f>
        <v xml:space="preserve">        OneHandSwords = "Одноручные мечи",</v>
      </c>
      <c r="Q104" s="19" t="str">
        <f>'1H Sword'!R4</f>
        <v>ดาบมือเดียว</v>
      </c>
      <c r="R104" s="11" t="str">
        <f>_xlfn.CONCAT("        OneHandSwords = """, Q104, """,")</f>
        <v xml:space="preserve">        OneHandSwords = "ดาบมือเดียว",</v>
      </c>
      <c r="S104" s="19" t="s">
        <v>7980</v>
      </c>
      <c r="T104" s="11" t="str">
        <f>_xlfn.CONCAT("        OneHandSwords = """, S104, """,")</f>
        <v xml:space="preserve">        OneHandSwords = "單手劍",</v>
      </c>
      <c r="V104" s="1" t="s">
        <v>531</v>
      </c>
    </row>
    <row r="105" spans="1:22" ht="15.95" customHeight="1" x14ac:dyDescent="0.25">
      <c r="A105" s="19" t="str">
        <f>'1H Thrusting Sword'!B4</f>
        <v>Thrusting One Hand Swords</v>
      </c>
      <c r="B105" s="11" t="str">
        <f>_xlfn.CONCAT("        ThrustingOneHandSwords = """, A105, """,")</f>
        <v xml:space="preserve">        ThrustingOneHandSwords = "Thrusting One Hand Swords",</v>
      </c>
      <c r="C105" s="19" t="str">
        <f>'1H Thrusting Sword'!D4</f>
        <v>Einhandstichschwerter</v>
      </c>
      <c r="D105" s="11" t="str">
        <f>_xlfn.CONCAT("        ThrustingOneHandSwords = """, C105, """,")</f>
        <v xml:space="preserve">        ThrustingOneHandSwords = "Einhandstichschwerter",</v>
      </c>
      <c r="E105" s="19" t="str">
        <f>'1H Thrusting Sword'!F4</f>
        <v>Espadas agresivas a una mano</v>
      </c>
      <c r="F105" s="11" t="str">
        <f>_xlfn.CONCAT("        ThrustingOneHandSwords = """, E105, """,")</f>
        <v xml:space="preserve">        ThrustingOneHandSwords = "Espadas agresivas a una mano",</v>
      </c>
      <c r="G105" s="19" t="str">
        <f>'1H Thrusting Sword'!H4</f>
        <v>Épées d'estoc à une main</v>
      </c>
      <c r="H105" s="11" t="str">
        <f>_xlfn.CONCAT("        ThrustingOneHandSwords = """, G105, """,")</f>
        <v xml:space="preserve">        ThrustingOneHandSwords = "Épées d'estoc à une main",</v>
      </c>
      <c r="I105" s="19" t="str">
        <f>'1H Thrusting Sword'!J4</f>
        <v>刺突剣</v>
      </c>
      <c r="J105" s="11" t="str">
        <f>_xlfn.CONCAT("        ThrustingOneHandSwords = """, I105, """,")</f>
        <v xml:space="preserve">        ThrustingOneHandSwords = "刺突剣",</v>
      </c>
      <c r="K105" s="19" t="str">
        <f>'1H Thrusting Sword'!L4</f>
        <v>날카로운 한손 검</v>
      </c>
      <c r="L105" s="11" t="str">
        <f>_xlfn.CONCAT("        ThrustingOneHandSwords = """, K105, """,")</f>
        <v xml:space="preserve">        ThrustingOneHandSwords = "날카로운 한손 검",</v>
      </c>
      <c r="M105" s="19" t="str">
        <f>'1H Thrusting Sword'!N4</f>
        <v>Espadas de Estocada de Uma Mão</v>
      </c>
      <c r="N105" s="11" t="str">
        <f>_xlfn.CONCAT("        ThrustingOneHandSwords = """, M105, """,")</f>
        <v xml:space="preserve">        ThrustingOneHandSwords = "Espadas de Estocada de Uma Mão",</v>
      </c>
      <c r="O105" s="19" t="str">
        <f>'1H Thrusting Sword'!P4</f>
        <v>Шпаги</v>
      </c>
      <c r="P105" s="11" t="str">
        <f>_xlfn.CONCAT("        ThrustingOneHandSwords = """, O105, """,")</f>
        <v xml:space="preserve">        ThrustingOneHandSwords = "Шпаги",</v>
      </c>
      <c r="Q105" s="19" t="str">
        <f>'1H Thrusting Sword'!R4</f>
        <v>ดาบแทง</v>
      </c>
      <c r="R105" s="11" t="str">
        <f>_xlfn.CONCAT("        ThrustingOneHandSwords = """, Q105, """,")</f>
        <v xml:space="preserve">        ThrustingOneHandSwords = "ดาบแทง",</v>
      </c>
      <c r="S105" s="19" t="s">
        <v>7981</v>
      </c>
      <c r="T105" s="11" t="str">
        <f>_xlfn.CONCAT("        ThrustingOneHandSwords = """, S105, """,")</f>
        <v xml:space="preserve">        ThrustingOneHandSwords = "細劍",</v>
      </c>
      <c r="V105" s="1" t="s">
        <v>532</v>
      </c>
    </row>
    <row r="106" spans="1:22" ht="15.95" customHeight="1" x14ac:dyDescent="0.25">
      <c r="A106" s="19" t="str">
        <f>'1H Axe'!B4</f>
        <v>One Hand Axes</v>
      </c>
      <c r="B106" s="11" t="str">
        <f>_xlfn.CONCAT("        OneHandAxes = """, A106, """,")</f>
        <v xml:space="preserve">        OneHandAxes = "One Hand Axes",</v>
      </c>
      <c r="C106" s="19" t="str">
        <f>'1H Axe'!D4</f>
        <v>Einhandäxte</v>
      </c>
      <c r="D106" s="11" t="str">
        <f>_xlfn.CONCAT("        OneHandAxes = """, C106, """,")</f>
        <v xml:space="preserve">        OneHandAxes = "Einhandäxte",</v>
      </c>
      <c r="E106" s="19" t="str">
        <f>'1H Axe'!F4</f>
        <v>Hachas a una mano</v>
      </c>
      <c r="F106" s="11" t="str">
        <f>_xlfn.CONCAT("        OneHandAxes = """, E106, """,")</f>
        <v xml:space="preserve">        OneHandAxes = "Hachas a una mano",</v>
      </c>
      <c r="G106" s="19" t="str">
        <f>'1H Axe'!H4</f>
        <v>Haches à une main</v>
      </c>
      <c r="H106" s="11" t="str">
        <f>_xlfn.CONCAT("        OneHandAxes = """, G106, """,")</f>
        <v xml:space="preserve">        OneHandAxes = "Haches à une main",</v>
      </c>
      <c r="I106" s="19" t="str">
        <f>'1H Axe'!J4</f>
        <v>片手斧</v>
      </c>
      <c r="J106" s="11" t="str">
        <f>_xlfn.CONCAT("        OneHandAxes = """, I106, """,")</f>
        <v xml:space="preserve">        OneHandAxes = "片手斧",</v>
      </c>
      <c r="K106" s="19" t="str">
        <f>'1H Axe'!L4</f>
        <v>한손 도끼</v>
      </c>
      <c r="L106" s="11" t="str">
        <f>_xlfn.CONCAT("        OneHandAxes = """, K106, """,")</f>
        <v xml:space="preserve">        OneHandAxes = "한손 도끼",</v>
      </c>
      <c r="M106" s="19" t="str">
        <f>'1H Axe'!N4</f>
        <v>Machados de Uma Mão</v>
      </c>
      <c r="N106" s="11" t="str">
        <f>_xlfn.CONCAT("        OneHandAxes = """, M106, """,")</f>
        <v xml:space="preserve">        OneHandAxes = "Machados de Uma Mão",</v>
      </c>
      <c r="O106" s="19" t="str">
        <f>'1H Axe'!P4</f>
        <v>Одноручные топоры</v>
      </c>
      <c r="P106" s="11" t="str">
        <f>_xlfn.CONCAT("        OneHandAxes = """, O106, """,")</f>
        <v xml:space="preserve">        OneHandAxes = "Одноручные топоры",</v>
      </c>
      <c r="Q106" s="19" t="str">
        <f>'1H Axe'!R4</f>
        <v>ขวานมือเดียว</v>
      </c>
      <c r="R106" s="11" t="str">
        <f>_xlfn.CONCAT("        OneHandAxes = """, Q106, """,")</f>
        <v xml:space="preserve">        OneHandAxes = "ขวานมือเดียว",</v>
      </c>
      <c r="S106" s="19" t="s">
        <v>7982</v>
      </c>
      <c r="T106" s="11" t="str">
        <f>_xlfn.CONCAT("        OneHandAxes = """, S106, """,")</f>
        <v xml:space="preserve">        OneHandAxes = "單手斧",</v>
      </c>
      <c r="V106" s="1" t="s">
        <v>533</v>
      </c>
    </row>
    <row r="107" spans="1:22" ht="15.95" customHeight="1" x14ac:dyDescent="0.25">
      <c r="A107" s="19" t="str">
        <f>'1H Mace'!B4</f>
        <v>One Hand Maces</v>
      </c>
      <c r="B107" s="11" t="str">
        <f>_xlfn.CONCAT("        OneHandMaces = """, A107, """,")</f>
        <v xml:space="preserve">        OneHandMaces = "One Hand Maces",</v>
      </c>
      <c r="C107" s="19" t="str">
        <f>'1H Mace'!D4</f>
        <v>Einhandstreitkolben</v>
      </c>
      <c r="D107" s="11" t="str">
        <f>_xlfn.CONCAT("        OneHandMaces = """, C107, """,")</f>
        <v xml:space="preserve">        OneHandMaces = "Einhandstreitkolben",</v>
      </c>
      <c r="E107" s="19" t="str">
        <f>'1H Mace'!F4</f>
        <v>Mazas a una mano</v>
      </c>
      <c r="F107" s="11" t="str">
        <f>_xlfn.CONCAT("        OneHandMaces = """, E107, """,")</f>
        <v xml:space="preserve">        OneHandMaces = "Mazas a una mano",</v>
      </c>
      <c r="G107" s="19" t="str">
        <f>'1H Mace'!H4</f>
        <v>Masses à une main</v>
      </c>
      <c r="H107" s="11" t="str">
        <f>_xlfn.CONCAT("        OneHandMaces = """, G107, """,")</f>
        <v xml:space="preserve">        OneHandMaces = "Masses à une main",</v>
      </c>
      <c r="I107" s="19" t="str">
        <f>'1H Mace'!J4</f>
        <v>片手メイス</v>
      </c>
      <c r="J107" s="11" t="str">
        <f>_xlfn.CONCAT("        OneHandMaces = """, I107, """,")</f>
        <v xml:space="preserve">        OneHandMaces = "片手メイス",</v>
      </c>
      <c r="K107" s="19" t="str">
        <f>'1H Mace'!L4</f>
        <v>한손 철퇴</v>
      </c>
      <c r="L107" s="11" t="str">
        <f>_xlfn.CONCAT("        OneHandMaces = """, K107, """,")</f>
        <v xml:space="preserve">        OneHandMaces = "한손 철퇴",</v>
      </c>
      <c r="M107" s="19" t="str">
        <f>'1H Mace'!N4</f>
        <v>Maças de Uma Mão</v>
      </c>
      <c r="N107" s="11" t="str">
        <f>_xlfn.CONCAT("        OneHandMaces = """, M107, """,")</f>
        <v xml:space="preserve">        OneHandMaces = "Maças de Uma Mão",</v>
      </c>
      <c r="O107" s="19" t="str">
        <f>'1H Mace'!P4</f>
        <v>Одноручные булавы</v>
      </c>
      <c r="P107" s="11" t="str">
        <f>_xlfn.CONCAT("        OneHandMaces = """, O107, """,")</f>
        <v xml:space="preserve">        OneHandMaces = "Одноручные булавы",</v>
      </c>
      <c r="Q107" s="19" t="str">
        <f>'1H Mace'!R4</f>
        <v>กระบองมือเดียว</v>
      </c>
      <c r="R107" s="11" t="str">
        <f>_xlfn.CONCAT("        OneHandMaces = """, Q107, """,")</f>
        <v xml:space="preserve">        OneHandMaces = "กระบองมือเดียว",</v>
      </c>
      <c r="S107" s="19" t="s">
        <v>7983</v>
      </c>
      <c r="T107" s="11" t="str">
        <f>_xlfn.CONCAT("        OneHandMaces = """, S107, """,")</f>
        <v xml:space="preserve">        OneHandMaces = "單手錘",</v>
      </c>
      <c r="V107" s="1" t="s">
        <v>534</v>
      </c>
    </row>
    <row r="108" spans="1:22" ht="15.95" customHeight="1" x14ac:dyDescent="0.25">
      <c r="A108" s="19" t="str">
        <f>Bow!B4</f>
        <v>Bows</v>
      </c>
      <c r="B108" s="11" t="str">
        <f>_xlfn.CONCAT("        Bows = """, A108, """,")</f>
        <v xml:space="preserve">        Bows = "Bows",</v>
      </c>
      <c r="C108" s="19" t="str">
        <f>Bow!D4</f>
        <v>Bögen</v>
      </c>
      <c r="D108" s="11" t="str">
        <f>_xlfn.CONCAT("        Bows = """, C108, """,")</f>
        <v xml:space="preserve">        Bows = "Bögen",</v>
      </c>
      <c r="E108" s="19" t="str">
        <f>Bow!F4</f>
        <v>Arcos</v>
      </c>
      <c r="F108" s="11" t="str">
        <f>_xlfn.CONCAT("        Bows = """, E108, """,")</f>
        <v xml:space="preserve">        Bows = "Arcos",</v>
      </c>
      <c r="G108" s="19" t="str">
        <f>Bow!H4</f>
        <v>Arcs</v>
      </c>
      <c r="H108" s="11" t="str">
        <f>_xlfn.CONCAT("        Bows = """, G108, """,")</f>
        <v xml:space="preserve">        Bows = "Arcs",</v>
      </c>
      <c r="I108" s="19" t="str">
        <f>Bow!J4</f>
        <v>弓</v>
      </c>
      <c r="J108" s="11" t="str">
        <f>_xlfn.CONCAT("        Bows = """, I108, """,")</f>
        <v xml:space="preserve">        Bows = "弓",</v>
      </c>
      <c r="K108" s="19" t="str">
        <f>Bow!L4</f>
        <v>활</v>
      </c>
      <c r="L108" s="11" t="str">
        <f>_xlfn.CONCAT("        Bows = """, K108, """,")</f>
        <v xml:space="preserve">        Bows = "활",</v>
      </c>
      <c r="M108" s="19" t="str">
        <f>Bow!N4</f>
        <v>Arcos</v>
      </c>
      <c r="N108" s="11" t="str">
        <f>_xlfn.CONCAT("        Bows = """, M108, """,")</f>
        <v xml:space="preserve">        Bows = "Arcos",</v>
      </c>
      <c r="O108" s="19" t="str">
        <f>Bow!P4</f>
        <v>Луки</v>
      </c>
      <c r="P108" s="11" t="str">
        <f>_xlfn.CONCAT("        Bows = """, O108, """,")</f>
        <v xml:space="preserve">        Bows = "Луки",</v>
      </c>
      <c r="Q108" s="19" t="str">
        <f>Bow!R4</f>
        <v>ธนู</v>
      </c>
      <c r="R108" s="11" t="str">
        <f>_xlfn.CONCAT("        Bows = """, Q108, """,")</f>
        <v xml:space="preserve">        Bows = "ธนู",</v>
      </c>
      <c r="S108" s="19" t="s">
        <v>3412</v>
      </c>
      <c r="T108" s="11" t="str">
        <f>_xlfn.CONCAT("        Bows = """, S108, """,")</f>
        <v xml:space="preserve">        Bows = "弓",</v>
      </c>
      <c r="V108" s="1" t="s">
        <v>535</v>
      </c>
    </row>
    <row r="109" spans="1:22" ht="15.95" customHeight="1" x14ac:dyDescent="0.25">
      <c r="A109" s="19" t="str">
        <f>Crossbow!B4</f>
        <v>Crossbows</v>
      </c>
      <c r="B109" s="11" t="str">
        <f>_xlfn.CONCAT("        Crossbows = """, A109, """,")</f>
        <v xml:space="preserve">        Crossbows = "Crossbows",</v>
      </c>
      <c r="C109" s="19" t="str">
        <f>Crossbow!D4</f>
        <v>Armbrüste</v>
      </c>
      <c r="D109" s="11" t="str">
        <f>_xlfn.CONCAT("        Crossbows = """, C109, """,")</f>
        <v xml:space="preserve">        Crossbows = "Armbrüste",</v>
      </c>
      <c r="E109" s="19" t="str">
        <f>Crossbow!F4</f>
        <v>Ballestas</v>
      </c>
      <c r="F109" s="11" t="str">
        <f>_xlfn.CONCAT("        Crossbows = """, E109, """,")</f>
        <v xml:space="preserve">        Crossbows = "Ballestas",</v>
      </c>
      <c r="G109" s="19" t="str">
        <f>Crossbow!H4</f>
        <v>Arbalètes</v>
      </c>
      <c r="H109" s="11" t="str">
        <f>_xlfn.CONCAT("        Crossbows = """, G109, """,")</f>
        <v xml:space="preserve">        Crossbows = "Arbalètes",</v>
      </c>
      <c r="I109" s="19" t="str">
        <f>Crossbow!J4</f>
        <v>クロスボウ</v>
      </c>
      <c r="J109" s="11" t="str">
        <f>_xlfn.CONCAT("        Crossbows = """, I109, """,")</f>
        <v xml:space="preserve">        Crossbows = "クロスボウ",</v>
      </c>
      <c r="K109" s="19" t="str">
        <f>Crossbow!L4</f>
        <v>쇠뇌</v>
      </c>
      <c r="L109" s="11" t="str">
        <f>_xlfn.CONCAT("        Crossbows = """, K109, """,")</f>
        <v xml:space="preserve">        Crossbows = "쇠뇌",</v>
      </c>
      <c r="M109" s="19" t="str">
        <f>Crossbow!N4</f>
        <v>Bestas</v>
      </c>
      <c r="N109" s="11" t="str">
        <f>_xlfn.CONCAT("        Crossbows = """, M109, """,")</f>
        <v xml:space="preserve">        Crossbows = "Bestas",</v>
      </c>
      <c r="O109" s="19" t="str">
        <f>Crossbow!P4</f>
        <v>Самострелы</v>
      </c>
      <c r="P109" s="11" t="str">
        <f>_xlfn.CONCAT("        Crossbows = """, O109, """,")</f>
        <v xml:space="preserve">        Crossbows = "Самострелы",</v>
      </c>
      <c r="Q109" s="19" t="str">
        <f>Crossbow!R4</f>
        <v>หน้าไม้</v>
      </c>
      <c r="R109" s="11" t="str">
        <f>_xlfn.CONCAT("        Crossbows = """, Q109, """,")</f>
        <v xml:space="preserve">        Crossbows = "หน้าไม้",</v>
      </c>
      <c r="S109" s="19" t="str">
        <f>Crossbow!T4</f>
        <v>十字弓</v>
      </c>
      <c r="T109" s="11" t="str">
        <f>_xlfn.CONCAT("        Crossbows = """, S109, """,")</f>
        <v xml:space="preserve">        Crossbows = "十字弓",</v>
      </c>
      <c r="V109" s="1" t="s">
        <v>7050</v>
      </c>
    </row>
    <row r="110" spans="1:22" ht="15.95" customHeight="1" x14ac:dyDescent="0.25">
      <c r="A110" s="19" t="str">
        <f>Staff!B4</f>
        <v>Staves</v>
      </c>
      <c r="B110" s="11" t="str">
        <f>_xlfn.CONCAT("        Staves = """, A110, """,")</f>
        <v xml:space="preserve">        Staves = "Staves",</v>
      </c>
      <c r="C110" s="19" t="str">
        <f>Staff!D4</f>
        <v>Stäbe</v>
      </c>
      <c r="D110" s="11" t="str">
        <f>_xlfn.CONCAT("        Staves = """, C110, """,")</f>
        <v xml:space="preserve">        Staves = "Stäbe",</v>
      </c>
      <c r="E110" s="19" t="str">
        <f>Staff!F4</f>
        <v>Báculos</v>
      </c>
      <c r="F110" s="11" t="str">
        <f>_xlfn.CONCAT("        Staves = """, E110, """,")</f>
        <v xml:space="preserve">        Staves = "Báculos",</v>
      </c>
      <c r="G110" s="19" t="str">
        <f>Staff!H4</f>
        <v>Bâtons</v>
      </c>
      <c r="H110" s="11" t="str">
        <f>_xlfn.CONCAT("        Staves = """, G110, """,")</f>
        <v xml:space="preserve">        Staves = "Bâtons",</v>
      </c>
      <c r="I110" s="19" t="str">
        <f>Staff!J4</f>
        <v>スタッフ</v>
      </c>
      <c r="J110" s="11" t="str">
        <f>_xlfn.CONCAT("        Staves = """, I110, """,")</f>
        <v xml:space="preserve">        Staves = "スタッフ",</v>
      </c>
      <c r="K110" s="19" t="str">
        <f>Staff!L4</f>
        <v>지팡이</v>
      </c>
      <c r="L110" s="11" t="str">
        <f>_xlfn.CONCAT("        Staves = """, K110, """,")</f>
        <v xml:space="preserve">        Staves = "지팡이",</v>
      </c>
      <c r="M110" s="19" t="str">
        <f>Staff!N4</f>
        <v>Cajados</v>
      </c>
      <c r="N110" s="11" t="str">
        <f>_xlfn.CONCAT("        Staves = """, M110, """,")</f>
        <v xml:space="preserve">        Staves = "Cajados",</v>
      </c>
      <c r="O110" s="19" t="str">
        <f>Staff!P4</f>
        <v>Посохи</v>
      </c>
      <c r="P110" s="11" t="str">
        <f>_xlfn.CONCAT("        Staves = """, O110, """,")</f>
        <v xml:space="preserve">        Staves = "Посохи",</v>
      </c>
      <c r="Q110" s="19" t="str">
        <f>Staff!R4</f>
        <v>ไม้พลอง</v>
      </c>
      <c r="R110" s="11" t="str">
        <f>_xlfn.CONCAT("        Staves = """, Q110, """,")</f>
        <v xml:space="preserve">        Staves = "ไม้พลอง",</v>
      </c>
      <c r="S110" s="19" t="s">
        <v>7984</v>
      </c>
      <c r="T110" s="11" t="str">
        <f>_xlfn.CONCAT("        Staves = """, S110, """,")</f>
        <v xml:space="preserve">        Staves = "長杖",</v>
      </c>
      <c r="V110" s="1" t="s">
        <v>536</v>
      </c>
    </row>
    <row r="111" spans="1:22" ht="15.95" customHeight="1" x14ac:dyDescent="0.25">
      <c r="A111" s="19" t="str">
        <f>'2H Sword'!B4</f>
        <v>Two Hand Swords</v>
      </c>
      <c r="B111" s="11" t="str">
        <f>_xlfn.CONCAT("        TwoHandSwords = """, A111, """,")</f>
        <v xml:space="preserve">        TwoHandSwords = "Two Hand Swords",</v>
      </c>
      <c r="C111" s="19" t="str">
        <f>'2H Sword'!D4</f>
        <v>Zweihandschwerter</v>
      </c>
      <c r="D111" s="11" t="str">
        <f>_xlfn.CONCAT("        TwoHandSwords = """, C111, """,")</f>
        <v xml:space="preserve">        TwoHandSwords = "Zweihandschwerter",</v>
      </c>
      <c r="E111" s="19" t="str">
        <f>'2H Sword'!F4</f>
        <v>Espadas a dos manos</v>
      </c>
      <c r="F111" s="11" t="str">
        <f>_xlfn.CONCAT("        TwoHandSwords = """, E111, """,")</f>
        <v xml:space="preserve">        TwoHandSwords = "Espadas a dos manos",</v>
      </c>
      <c r="G111" s="19" t="str">
        <f>'2H Sword'!H4</f>
        <v>Épées à deux mains</v>
      </c>
      <c r="H111" s="11" t="str">
        <f>_xlfn.CONCAT("        TwoHandSwords = """, G111, """,")</f>
        <v xml:space="preserve">        TwoHandSwords = "Épées à deux mains",</v>
      </c>
      <c r="I111" s="19" t="str">
        <f>'2H Sword'!J4</f>
        <v>両手剣</v>
      </c>
      <c r="J111" s="11" t="str">
        <f>_xlfn.CONCAT("        TwoHandSwords = """, I111, """,")</f>
        <v xml:space="preserve">        TwoHandSwords = "両手剣",</v>
      </c>
      <c r="K111" s="19" t="str">
        <f>'2H Sword'!L4</f>
        <v>양손 검</v>
      </c>
      <c r="L111" s="11" t="str">
        <f>_xlfn.CONCAT("        TwoHandSwords = """, K111, """,")</f>
        <v xml:space="preserve">        TwoHandSwords = "양손 검",</v>
      </c>
      <c r="M111" s="19" t="str">
        <f>'2H Sword'!N4</f>
        <v>Espadas de Duas Mãos</v>
      </c>
      <c r="N111" s="11" t="str">
        <f>_xlfn.CONCAT("        TwoHandSwords = """, M111, """,")</f>
        <v xml:space="preserve">        TwoHandSwords = "Espadas de Duas Mãos",</v>
      </c>
      <c r="O111" s="19" t="str">
        <f>'2H Sword'!P4</f>
        <v>Двуручные мечи</v>
      </c>
      <c r="P111" s="11" t="str">
        <f>_xlfn.CONCAT("        TwoHandSwords = """, O111, """,")</f>
        <v xml:space="preserve">        TwoHandSwords = "Двуручные мечи",</v>
      </c>
      <c r="Q111" s="19" t="str">
        <f>'2H Sword'!R4</f>
        <v>ดาบสองมือ</v>
      </c>
      <c r="R111" s="11" t="str">
        <f>_xlfn.CONCAT("        TwoHandSwords = """, Q111, """,")</f>
        <v xml:space="preserve">        TwoHandSwords = "ดาบสองมือ",</v>
      </c>
      <c r="S111" s="19" t="s">
        <v>7985</v>
      </c>
      <c r="T111" s="11" t="str">
        <f>_xlfn.CONCAT("        TwoHandSwords = """, S111, """,")</f>
        <v xml:space="preserve">        TwoHandSwords = "雙手劍",</v>
      </c>
      <c r="V111" s="1" t="s">
        <v>537</v>
      </c>
    </row>
    <row r="112" spans="1:22" ht="15.95" customHeight="1" x14ac:dyDescent="0.25">
      <c r="A112" s="19" t="str">
        <f>'2H Axe'!B4</f>
        <v>Two Hand Axes</v>
      </c>
      <c r="B112" s="11" t="str">
        <f>_xlfn.CONCAT("        TwoHandAxes = """, A112, """,")</f>
        <v xml:space="preserve">        TwoHandAxes = "Two Hand Axes",</v>
      </c>
      <c r="C112" s="19" t="str">
        <f>'2H Axe'!D4</f>
        <v>Zweihandäxte</v>
      </c>
      <c r="D112" s="11" t="str">
        <f>_xlfn.CONCAT("        TwoHandAxes = """, C112, """,")</f>
        <v xml:space="preserve">        TwoHandAxes = "Zweihandäxte",</v>
      </c>
      <c r="E112" s="19" t="str">
        <f>'2H Axe'!F4</f>
        <v>Hachas a dos manos</v>
      </c>
      <c r="F112" s="11" t="str">
        <f>_xlfn.CONCAT("        TwoHandAxes = """, E112, """,")</f>
        <v xml:space="preserve">        TwoHandAxes = "Hachas a dos manos",</v>
      </c>
      <c r="G112" s="19" t="str">
        <f>'2H Axe'!H4</f>
        <v>Haches à deux mains</v>
      </c>
      <c r="H112" s="11" t="str">
        <f>_xlfn.CONCAT("        TwoHandAxes = """, G112, """,")</f>
        <v xml:space="preserve">        TwoHandAxes = "Haches à deux mains",</v>
      </c>
      <c r="I112" s="19" t="str">
        <f>'2H Axe'!J4</f>
        <v>両手斧</v>
      </c>
      <c r="J112" s="11" t="str">
        <f>_xlfn.CONCAT("        TwoHandAxes = """, I112, """,")</f>
        <v xml:space="preserve">        TwoHandAxes = "両手斧",</v>
      </c>
      <c r="K112" s="19" t="str">
        <f>'2H Axe'!L4</f>
        <v>양손 도끼</v>
      </c>
      <c r="L112" s="11" t="str">
        <f>_xlfn.CONCAT("        TwoHandAxes = """, K112, """,")</f>
        <v xml:space="preserve">        TwoHandAxes = "양손 도끼",</v>
      </c>
      <c r="M112" s="19" t="str">
        <f>'2H Axe'!N4</f>
        <v>Machados de Duas Mãos</v>
      </c>
      <c r="N112" s="11" t="str">
        <f>_xlfn.CONCAT("        TwoHandAxes = """, M112, """,")</f>
        <v xml:space="preserve">        TwoHandAxes = "Machados de Duas Mãos",</v>
      </c>
      <c r="O112" s="19" t="str">
        <f>'2H Axe'!P4</f>
        <v>Двуручные топоры</v>
      </c>
      <c r="P112" s="11" t="str">
        <f>_xlfn.CONCAT("        TwoHandAxes = """, O112, """,")</f>
        <v xml:space="preserve">        TwoHandAxes = "Двуручные топоры",</v>
      </c>
      <c r="Q112" s="19" t="str">
        <f>'2H Axe'!R4</f>
        <v>ขวานสองมือ</v>
      </c>
      <c r="R112" s="11" t="str">
        <f>_xlfn.CONCAT("        TwoHandAxes = """, Q112, """,")</f>
        <v xml:space="preserve">        TwoHandAxes = "ขวานสองมือ",</v>
      </c>
      <c r="S112" s="19" t="s">
        <v>7986</v>
      </c>
      <c r="T112" s="11" t="str">
        <f>_xlfn.CONCAT("        TwoHandAxes = """, S112, """,")</f>
        <v xml:space="preserve">        TwoHandAxes = "雙手斧",</v>
      </c>
      <c r="V112" s="1" t="s">
        <v>538</v>
      </c>
    </row>
    <row r="113" spans="1:22" ht="15.95" customHeight="1" x14ac:dyDescent="0.25">
      <c r="A113" s="19" t="str">
        <f>'2H Mace'!B4</f>
        <v>Two Hand Maces</v>
      </c>
      <c r="B113" s="11" t="str">
        <f>_xlfn.CONCAT("        TwoHandMaces = """, A113, """,")</f>
        <v xml:space="preserve">        TwoHandMaces = "Two Hand Maces",</v>
      </c>
      <c r="C113" s="19" t="str">
        <f>'2H Mace'!D4</f>
        <v>Zweihandstreitkolben</v>
      </c>
      <c r="D113" s="11" t="str">
        <f>_xlfn.CONCAT("        TwoHandMaces = """, C113, """,")</f>
        <v xml:space="preserve">        TwoHandMaces = "Zweihandstreitkolben",</v>
      </c>
      <c r="E113" s="19" t="str">
        <f>'2H Mace'!F4</f>
        <v>Mazas a dos manos</v>
      </c>
      <c r="F113" s="11" t="str">
        <f>_xlfn.CONCAT("        TwoHandMaces = """, E113, """,")</f>
        <v xml:space="preserve">        TwoHandMaces = "Mazas a dos manos",</v>
      </c>
      <c r="G113" s="19" t="str">
        <f>'2H Mace'!H4</f>
        <v>Masses à deux mains</v>
      </c>
      <c r="H113" s="11" t="str">
        <f>_xlfn.CONCAT("        TwoHandMaces = """, G113, """,")</f>
        <v xml:space="preserve">        TwoHandMaces = "Masses à deux mains",</v>
      </c>
      <c r="I113" s="19" t="str">
        <f>'2H Mace'!J4</f>
        <v>両手メイス</v>
      </c>
      <c r="J113" s="11" t="str">
        <f>_xlfn.CONCAT("        TwoHandMaces = """, I113, """,")</f>
        <v xml:space="preserve">        TwoHandMaces = "両手メイス",</v>
      </c>
      <c r="K113" s="19" t="str">
        <f>'2H Mace'!L4</f>
        <v>양손 철퇴</v>
      </c>
      <c r="L113" s="11" t="str">
        <f>_xlfn.CONCAT("        TwoHandMaces = """, K113, """,")</f>
        <v xml:space="preserve">        TwoHandMaces = "양손 철퇴",</v>
      </c>
      <c r="M113" s="19" t="str">
        <f>'2H Mace'!N4</f>
        <v>Maças de Duas Mãos</v>
      </c>
      <c r="N113" s="11" t="str">
        <f>_xlfn.CONCAT("        TwoHandMaces = """, M113, """,")</f>
        <v xml:space="preserve">        TwoHandMaces = "Maças de Duas Mãos",</v>
      </c>
      <c r="O113" s="19" t="str">
        <f>'2H Mace'!P4</f>
        <v>Двуручные булавы</v>
      </c>
      <c r="P113" s="11" t="str">
        <f>_xlfn.CONCAT("        TwoHandMaces = """, O113, """,")</f>
        <v xml:space="preserve">        TwoHandMaces = "Двуручные булавы",</v>
      </c>
      <c r="Q113" s="19" t="str">
        <f>'2H Mace'!R4</f>
        <v>กระบองสองมือ</v>
      </c>
      <c r="R113" s="11" t="str">
        <f>_xlfn.CONCAT("        TwoHandMaces = """, Q113, """,")</f>
        <v xml:space="preserve">        TwoHandMaces = "กระบองสองมือ",</v>
      </c>
      <c r="S113" s="19" t="s">
        <v>7987</v>
      </c>
      <c r="T113" s="11" t="str">
        <f>_xlfn.CONCAT("        TwoHandMaces = """, S113, """,")</f>
        <v xml:space="preserve">        TwoHandMaces = "雙手錘",</v>
      </c>
      <c r="V113" s="1" t="s">
        <v>539</v>
      </c>
    </row>
    <row r="114" spans="1:22" ht="15.95" customHeight="1" x14ac:dyDescent="0.25">
      <c r="A114" s="19" t="str">
        <f>Sceptre!B4</f>
        <v>Sceptres</v>
      </c>
      <c r="B114" s="11" t="str">
        <f>_xlfn.CONCAT("        Sceptres = """, A114, """,")</f>
        <v xml:space="preserve">        Sceptres = "Sceptres",</v>
      </c>
      <c r="C114" s="19" t="str">
        <f>Sceptre!D4</f>
        <v>Zepter</v>
      </c>
      <c r="D114" s="11" t="str">
        <f>_xlfn.CONCAT("        Sceptres = """, C114, """,")</f>
        <v xml:space="preserve">        Sceptres = "Zepter",</v>
      </c>
      <c r="E114" s="19" t="str">
        <f>Sceptre!F4</f>
        <v>Cetros</v>
      </c>
      <c r="F114" s="11" t="str">
        <f>_xlfn.CONCAT("        Sceptres = """, E114, """,")</f>
        <v xml:space="preserve">        Sceptres = "Cetros",</v>
      </c>
      <c r="G114" s="19" t="str">
        <f>Sceptre!H4</f>
        <v>Sceptres</v>
      </c>
      <c r="H114" s="11" t="str">
        <f>_xlfn.CONCAT("        Sceptres = """, G114, """,")</f>
        <v xml:space="preserve">        Sceptres = "Sceptres",</v>
      </c>
      <c r="I114" s="19" t="str">
        <f>Sceptre!J4</f>
        <v>セプター</v>
      </c>
      <c r="J114" s="11" t="str">
        <f>_xlfn.CONCAT("        Sceptres = """, I114, """,")</f>
        <v xml:space="preserve">        Sceptres = "セプター",</v>
      </c>
      <c r="K114" s="19" t="str">
        <f>Sceptre!L4</f>
        <v>셉터</v>
      </c>
      <c r="L114" s="11" t="str">
        <f>_xlfn.CONCAT("        Sceptres = """, K114, """,")</f>
        <v xml:space="preserve">        Sceptres = "셉터",</v>
      </c>
      <c r="M114" s="19" t="str">
        <f>Sceptre!N4</f>
        <v>Cetros</v>
      </c>
      <c r="N114" s="11" t="str">
        <f>_xlfn.CONCAT("        Sceptres = """, M114, """,")</f>
        <v xml:space="preserve">        Sceptres = "Cetros",</v>
      </c>
      <c r="O114" s="19" t="str">
        <f>Sceptre!P4</f>
        <v>Скипетры</v>
      </c>
      <c r="P114" s="11" t="str">
        <f>_xlfn.CONCAT("        Sceptres = """, O114, """,")</f>
        <v xml:space="preserve">        Sceptres = "Скипетры",</v>
      </c>
      <c r="Q114" s="19" t="str">
        <f>Sceptre!R4</f>
        <v>คทา</v>
      </c>
      <c r="R114" s="11" t="str">
        <f>_xlfn.CONCAT("        Sceptres = """, Q114, """,")</f>
        <v xml:space="preserve">        Sceptres = "คทา",</v>
      </c>
      <c r="S114" s="19" t="s">
        <v>7988</v>
      </c>
      <c r="T114" s="11" t="str">
        <f>_xlfn.CONCAT("        Sceptres = """, S114, """,")</f>
        <v xml:space="preserve">        Sceptres = "權杖",</v>
      </c>
      <c r="V114" s="1" t="s">
        <v>540</v>
      </c>
    </row>
    <row r="115" spans="1:22" ht="15.95" customHeight="1" x14ac:dyDescent="0.25">
      <c r="A115" s="19" t="str">
        <f>'White Wind'!B4</f>
        <v>Rune Daggers</v>
      </c>
      <c r="B115" s="11" t="str">
        <f>_xlfn.CONCAT("        RuneDaggers = """, A115, """,")</f>
        <v xml:space="preserve">        RuneDaggers = "Rune Daggers",</v>
      </c>
      <c r="C115" s="19" t="str">
        <f>'White Wind'!D4</f>
        <v>Runendolche</v>
      </c>
      <c r="D115" s="11" t="str">
        <f>_xlfn.CONCAT("        RuneDaggers = """, C115, """,")</f>
        <v xml:space="preserve">        RuneDaggers = "Runendolche",</v>
      </c>
      <c r="E115" s="19" t="str">
        <f>'White Wind'!F4</f>
        <v>Dagas rúnicas</v>
      </c>
      <c r="F115" s="11" t="str">
        <f>_xlfn.CONCAT("        RuneDaggers = """, E115, """,")</f>
        <v xml:space="preserve">        RuneDaggers = "Dagas rúnicas",</v>
      </c>
      <c r="G115" s="19" t="str">
        <f>'White Wind'!H4</f>
        <v>Dagues runiques</v>
      </c>
      <c r="H115" s="11" t="str">
        <f>_xlfn.CONCAT("        RuneDaggers = """, G115, """,")</f>
        <v xml:space="preserve">        RuneDaggers = "Dagues runiques",</v>
      </c>
      <c r="I115" s="19" t="str">
        <f>'White Wind'!J4</f>
        <v>ルーンの短剣</v>
      </c>
      <c r="J115" s="11" t="str">
        <f>_xlfn.CONCAT("        RuneDaggers = """, I115, """,")</f>
        <v xml:space="preserve">        RuneDaggers = "ルーンの短剣",</v>
      </c>
      <c r="K115" s="19" t="str">
        <f>'White Wind'!L4</f>
        <v>룬 단검</v>
      </c>
      <c r="L115" s="11" t="str">
        <f>_xlfn.CONCAT("        RuneDaggers = """, K115, """,")</f>
        <v xml:space="preserve">        RuneDaggers = "룬 단검",</v>
      </c>
      <c r="M115" s="19" t="str">
        <f>'White Wind'!N4</f>
        <v>Adagas Rúnicas</v>
      </c>
      <c r="N115" s="11" t="str">
        <f>_xlfn.CONCAT("        RuneDaggers = """, M115, """,")</f>
        <v xml:space="preserve">        RuneDaggers = "Adagas Rúnicas",</v>
      </c>
      <c r="O115" s="19" t="str">
        <f>'White Wind'!P4</f>
        <v>Рунические кинжалы</v>
      </c>
      <c r="P115" s="11" t="str">
        <f>_xlfn.CONCAT("        RuneDaggers = """, O115, """,")</f>
        <v xml:space="preserve">        RuneDaggers = "Рунические кинжалы",</v>
      </c>
      <c r="Q115" s="19" t="str">
        <f>'White Wind'!R4</f>
        <v>มีดอาคม</v>
      </c>
      <c r="R115" s="11" t="str">
        <f>_xlfn.CONCAT("        RuneDaggers = """, Q115, """,")</f>
        <v xml:space="preserve">        RuneDaggers = "มีดอาคม",</v>
      </c>
      <c r="S115" s="19" t="s">
        <v>7989</v>
      </c>
      <c r="T115" s="11" t="str">
        <f>_xlfn.CONCAT("        RuneDaggers = """, S115, """,")</f>
        <v xml:space="preserve">        RuneDaggers = "符紋匕首",</v>
      </c>
      <c r="V115" s="1" t="s">
        <v>541</v>
      </c>
    </row>
    <row r="116" spans="1:22" ht="15.95" customHeight="1" x14ac:dyDescent="0.25">
      <c r="A116" s="19" t="str">
        <f>Warstaff!B4</f>
        <v>Warstaves</v>
      </c>
      <c r="B116" s="11" t="str">
        <f>_xlfn.CONCAT("        Warstaves = """, A116, """,")</f>
        <v xml:space="preserve">        Warstaves = "Warstaves",</v>
      </c>
      <c r="C116" s="19" t="str">
        <f>Warstaff!D4</f>
        <v>Kriegsstäbe</v>
      </c>
      <c r="D116" s="11" t="str">
        <f>_xlfn.CONCAT("        Warstaves = """, C116, """,")</f>
        <v xml:space="preserve">        Warstaves = "Kriegsstäbe",</v>
      </c>
      <c r="E116" s="19" t="str">
        <f>Warstaff!F4</f>
        <v>Báculos de guerra</v>
      </c>
      <c r="F116" s="11" t="str">
        <f>_xlfn.CONCAT("        Warstaves = """, E116, """,")</f>
        <v xml:space="preserve">        Warstaves = "Báculos de guerra",</v>
      </c>
      <c r="G116" s="19" t="str">
        <f>Warstaff!H4</f>
        <v>Bâtons de guerre</v>
      </c>
      <c r="H116" s="11" t="str">
        <f>_xlfn.CONCAT("        Warstaves = """, G116, """,")</f>
        <v xml:space="preserve">        Warstaves = "Bâtons de guerre",</v>
      </c>
      <c r="I116" s="19" t="str">
        <f>Warstaff!J4</f>
        <v>ウォースタッフ</v>
      </c>
      <c r="J116" s="11" t="str">
        <f>_xlfn.CONCAT("        Warstaves = """, I116, """,")</f>
        <v xml:space="preserve">        Warstaves = "ウォースタッフ",</v>
      </c>
      <c r="K116" s="19" t="str">
        <f>Warstaff!L4</f>
        <v>전쟁지팡이</v>
      </c>
      <c r="L116" s="11" t="str">
        <f>_xlfn.CONCAT("        Warstaves = """, K116, """,")</f>
        <v xml:space="preserve">        Warstaves = "전쟁지팡이",</v>
      </c>
      <c r="M116" s="19" t="str">
        <f>Warstaff!N4</f>
        <v>Cajados de Guerra</v>
      </c>
      <c r="N116" s="11" t="str">
        <f>_xlfn.CONCAT("        Warstaves = """, M116, """,")</f>
        <v xml:space="preserve">        Warstaves = "Cajados de Guerra",</v>
      </c>
      <c r="O116" s="19" t="str">
        <f>Warstaff!P4</f>
        <v>Воинские посохи</v>
      </c>
      <c r="P116" s="11" t="str">
        <f>_xlfn.CONCAT("        Warstaves = """, O116, """,")</f>
        <v xml:space="preserve">        Warstaves = "Воинские посохи",</v>
      </c>
      <c r="Q116" s="19" t="str">
        <f>Warstaff!R4</f>
        <v>ไม้พลองสงคราม</v>
      </c>
      <c r="R116" s="11" t="str">
        <f>_xlfn.CONCAT("        Warstaves = """, Q116, """,")</f>
        <v xml:space="preserve">        Warstaves = "ไม้พลองสงคราม",</v>
      </c>
      <c r="S116" s="19" t="s">
        <v>7990</v>
      </c>
      <c r="T116" s="11" t="str">
        <f>_xlfn.CONCAT("        Warstaves = """, S116, """,")</f>
        <v xml:space="preserve">        Warstaves = "征戰長杖",</v>
      </c>
      <c r="V116" s="1" t="s">
        <v>542</v>
      </c>
    </row>
    <row r="117" spans="1:22" ht="15.95" customHeight="1" x14ac:dyDescent="0.25">
      <c r="A117" s="19" t="str">
        <f>'Fishing Rod'!B4</f>
        <v>Fishing Rods</v>
      </c>
      <c r="B117" s="11" t="str">
        <f>_xlfn.CONCAT("        FishingRods = """, A117, """,")</f>
        <v xml:space="preserve">        FishingRods = "Fishing Rods",</v>
      </c>
      <c r="C117" s="19" t="str">
        <f>'Fishing Rod'!D4</f>
        <v>Angelruten</v>
      </c>
      <c r="D117" s="11" t="str">
        <f>_xlfn.CONCAT("        FishingRods = """, C117, """,")</f>
        <v xml:space="preserve">        FishingRods = "Angelruten",</v>
      </c>
      <c r="E117" s="19" t="str">
        <f>'Fishing Rod'!F4</f>
        <v>Cañas de pescar</v>
      </c>
      <c r="F117" s="11" t="str">
        <f>_xlfn.CONCAT("        FishingRods = """, E117, """,")</f>
        <v xml:space="preserve">        FishingRods = "Cañas de pescar",</v>
      </c>
      <c r="G117" s="19" t="str">
        <f>'Fishing Rod'!H4</f>
        <v>Cannes à pêche</v>
      </c>
      <c r="H117" s="11" t="str">
        <f>_xlfn.CONCAT("        FishingRods = """, G117, """,")</f>
        <v xml:space="preserve">        FishingRods = "Cannes à pêche",</v>
      </c>
      <c r="I117" s="19" t="str">
        <f>'Fishing Rod'!J4</f>
        <v>釣り竿</v>
      </c>
      <c r="J117" s="11" t="str">
        <f>_xlfn.CONCAT("        FishingRods = """, I117, """,")</f>
        <v xml:space="preserve">        FishingRods = "釣り竿",</v>
      </c>
      <c r="K117" s="19" t="str">
        <f>'Fishing Rod'!L4</f>
        <v>낚싯대</v>
      </c>
      <c r="L117" s="11" t="str">
        <f>_xlfn.CONCAT("        FishingRods = """, K117, """,")</f>
        <v xml:space="preserve">        FishingRods = "낚싯대",</v>
      </c>
      <c r="M117" s="19" t="str">
        <f>'Fishing Rod'!N4</f>
        <v>Varas de Pescar</v>
      </c>
      <c r="N117" s="11" t="str">
        <f>_xlfn.CONCAT("        FishingRods = """, M117, """,")</f>
        <v xml:space="preserve">        FishingRods = "Varas de Pescar",</v>
      </c>
      <c r="O117" s="19" t="str">
        <f>'Fishing Rod'!P4</f>
        <v>Удочки</v>
      </c>
      <c r="P117" s="11" t="str">
        <f>_xlfn.CONCAT("        FishingRods = """, O117, """,")</f>
        <v xml:space="preserve">        FishingRods = "Удочки",</v>
      </c>
      <c r="Q117" s="19" t="str">
        <f>'Fishing Rod'!R4</f>
        <v>เบ็ดตกปลา</v>
      </c>
      <c r="R117" s="11" t="str">
        <f>_xlfn.CONCAT("        FishingRods = """, Q117, """,")</f>
        <v xml:space="preserve">        FishingRods = "เบ็ดตกปลา",</v>
      </c>
      <c r="S117" s="19" t="s">
        <v>7991</v>
      </c>
      <c r="T117" s="11" t="str">
        <f>_xlfn.CONCAT("        FishingRods = """, S117, """,")</f>
        <v xml:space="preserve">        FishingRods = "魚竿",</v>
      </c>
      <c r="V117" s="1" t="s">
        <v>1525</v>
      </c>
    </row>
    <row r="118" spans="1:22" ht="15.95" customHeight="1" x14ac:dyDescent="0.25">
      <c r="A118" s="19" t="str">
        <f>'Heist Gear'!B4</f>
        <v>Heist Gear</v>
      </c>
      <c r="B118" s="11" t="str">
        <f>_xlfn.CONCAT("        HeistGear = """, A118, """,")</f>
        <v xml:space="preserve">        HeistGear = "Heist Gear",</v>
      </c>
      <c r="C118" s="19" t="str">
        <f>'Heist Gear'!D4</f>
        <v>Heist-Ausrüstung</v>
      </c>
      <c r="D118" s="11" t="str">
        <f>_xlfn.CONCAT("        HeistGear = """, C118, """,")</f>
        <v xml:space="preserve">        HeistGear = "Heist-Ausrüstung",</v>
      </c>
      <c r="E118" s="19" t="str">
        <f>'Heist Gear'!F4</f>
        <v>Accesorio de Heist</v>
      </c>
      <c r="F118" s="11" t="str">
        <f>_xlfn.CONCAT("        HeistGear = """, E118, """,")</f>
        <v xml:space="preserve">        HeistGear = "Accesorio de Heist",</v>
      </c>
      <c r="G118" s="19" t="str">
        <f>'Heist Gear'!H4</f>
        <v>Équipements de Malfaiteur</v>
      </c>
      <c r="H118" s="11" t="str">
        <f>_xlfn.CONCAT("        HeistGear = """, G118, """,")</f>
        <v xml:space="preserve">        HeistGear = "Équipements de Malfaiteur",</v>
      </c>
      <c r="I118" s="19" t="str">
        <f>'Heist Gear'!J4</f>
        <v>ハイストギア</v>
      </c>
      <c r="J118" s="11" t="str">
        <f>_xlfn.CONCAT("        HeistGear = """, I118, """,")</f>
        <v xml:space="preserve">        HeistGear = "ハイストギア",</v>
      </c>
      <c r="K118" s="19" t="str">
        <f>'Heist Gear'!L4</f>
        <v>강탈 장비</v>
      </c>
      <c r="L118" s="11" t="str">
        <f>_xlfn.CONCAT("        HeistGear = """, K118, """,")</f>
        <v xml:space="preserve">        HeistGear = "강탈 장비",</v>
      </c>
      <c r="M118" s="19" t="str">
        <f>'Heist Gear'!N4</f>
        <v>Equipamento Heist</v>
      </c>
      <c r="N118" s="11" t="str">
        <f>_xlfn.CONCAT("        HeistGear = """, M118, """,")</f>
        <v xml:space="preserve">        HeistGear = "Equipamento Heist",</v>
      </c>
      <c r="O118" s="19" t="str">
        <f>'Heist Gear'!P4</f>
        <v>Разбойничьи принадлежности</v>
      </c>
      <c r="P118" s="11" t="str">
        <f>_xlfn.CONCAT("        HeistGear = """, O118, """,")</f>
        <v xml:space="preserve">        HeistGear = "Разбойничьи принадлежности",</v>
      </c>
      <c r="Q118" s="19" t="str">
        <f>'Heist Gear'!R4</f>
        <v>อุปกรณ์สวมใส่กองโจร</v>
      </c>
      <c r="R118" s="11" t="str">
        <f>_xlfn.CONCAT("        HeistGear = """, Q118, """,")</f>
        <v xml:space="preserve">        HeistGear = "อุปกรณ์สวมใส่กองโจร",</v>
      </c>
      <c r="S118" s="19" t="s">
        <v>7992</v>
      </c>
      <c r="T118" s="11" t="str">
        <f>_xlfn.CONCAT("        HeistGear = """, S118, """,")</f>
        <v xml:space="preserve">        HeistGear = "劫盜裝備",</v>
      </c>
      <c r="V118" s="1" t="s">
        <v>756</v>
      </c>
    </row>
    <row r="119" spans="1:22" ht="15.95" customHeight="1" x14ac:dyDescent="0.25">
      <c r="A119" s="19" t="str">
        <f>'Heist Brooch'!B4</f>
        <v>Heist Brooches</v>
      </c>
      <c r="B119" s="11" t="str">
        <f>_xlfn.CONCAT("        HeistBrooch = """, A119, """,")</f>
        <v xml:space="preserve">        HeistBrooch = "Heist Brooches",</v>
      </c>
      <c r="C119" s="19" t="str">
        <f>'Heist Brooch'!D4</f>
        <v>Heist-Broschen</v>
      </c>
      <c r="D119" s="11" t="str">
        <f>_xlfn.CONCAT("        HeistBrooch = """, C119, """,")</f>
        <v xml:space="preserve">        HeistBrooch = "Heist-Broschen",</v>
      </c>
      <c r="E119" s="19" t="str">
        <f>'Heist Brooch'!F4</f>
        <v>Broches de Heist</v>
      </c>
      <c r="F119" s="11" t="str">
        <f>_xlfn.CONCAT("        HeistBrooch = """, E119, """,")</f>
        <v xml:space="preserve">        HeistBrooch = "Broches de Heist",</v>
      </c>
      <c r="G119" s="19" t="str">
        <f>'Heist Brooch'!H4</f>
        <v>Broches de Malfaiteur</v>
      </c>
      <c r="H119" s="11" t="str">
        <f>_xlfn.CONCAT("        HeistBrooch = """, G119, """,")</f>
        <v xml:space="preserve">        HeistBrooch = "Broches de Malfaiteur",</v>
      </c>
      <c r="I119" s="19" t="str">
        <f>'Heist Brooch'!J4</f>
        <v>ハイストブローチ</v>
      </c>
      <c r="J119" s="11" t="str">
        <f>_xlfn.CONCAT("        HeistBrooch = """, I119, """,")</f>
        <v xml:space="preserve">        HeistBrooch = "ハイストブローチ",</v>
      </c>
      <c r="K119" s="19" t="str">
        <f>'Heist Brooch'!L4</f>
        <v>강탈 브로치</v>
      </c>
      <c r="L119" s="11" t="str">
        <f>_xlfn.CONCAT("        HeistBrooch = """, K119, """,")</f>
        <v xml:space="preserve">        HeistBrooch = "강탈 브로치",</v>
      </c>
      <c r="M119" s="19" t="str">
        <f>'Heist Brooch'!N4</f>
        <v>Broches Heist</v>
      </c>
      <c r="N119" s="11" t="str">
        <f>_xlfn.CONCAT("        HeistBrooch = """, M119, """,")</f>
        <v xml:space="preserve">        HeistBrooch = "Broches Heist",</v>
      </c>
      <c r="O119" s="19" t="str">
        <f>'Heist Brooch'!P4</f>
        <v>Разбойничьи броши</v>
      </c>
      <c r="P119" s="11" t="str">
        <f>_xlfn.CONCAT("        HeistBrooch = """, O119, """,")</f>
        <v xml:space="preserve">        HeistBrooch = "Разбойничьи броши",</v>
      </c>
      <c r="Q119" s="19" t="str">
        <f>'Heist Brooch'!R4</f>
        <v>เข็มกลัดกองโจร</v>
      </c>
      <c r="R119" s="11" t="str">
        <f>_xlfn.CONCAT("        HeistBrooch = """, Q119, """,")</f>
        <v xml:space="preserve">        HeistBrooch = "เข็มกลัดกองโจร",</v>
      </c>
      <c r="S119" s="19" t="s">
        <v>7993</v>
      </c>
      <c r="T119" s="11" t="str">
        <f>_xlfn.CONCAT("        HeistBrooch = """, S119, """,")</f>
        <v xml:space="preserve">        HeistBrooch = "劫盜胸針",</v>
      </c>
      <c r="V119" s="1" t="s">
        <v>543</v>
      </c>
    </row>
    <row r="120" spans="1:22" ht="15.95" customHeight="1" x14ac:dyDescent="0.25">
      <c r="A120" s="19" t="str">
        <f>'Heist Target'!B4</f>
        <v>Heist Targets</v>
      </c>
      <c r="B120" s="11" t="str">
        <f>_xlfn.CONCAT("        HeistTarget = """, A120, """,")</f>
        <v xml:space="preserve">        HeistTarget = "Heist Targets",</v>
      </c>
      <c r="C120" s="19" t="str">
        <f>'Heist Target'!D4</f>
        <v>Auftragsziele</v>
      </c>
      <c r="D120" s="11" t="str">
        <f>_xlfn.CONCAT("        HeistTarget = """, C120, """,")</f>
        <v xml:space="preserve">        HeistTarget = "Auftragsziele",</v>
      </c>
      <c r="E120" s="19" t="str">
        <f>'Heist Target'!F4</f>
        <v>Objetivos de Heist</v>
      </c>
      <c r="F120" s="11" t="str">
        <f>_xlfn.CONCAT("        HeistTarget = """, E120, """,")</f>
        <v xml:space="preserve">        HeistTarget = "Objetivos de Heist",</v>
      </c>
      <c r="G120" s="19" t="str">
        <f>'Heist Target'!H4</f>
        <v>Objectifs de Casse</v>
      </c>
      <c r="H120" s="11" t="str">
        <f>_xlfn.CONCAT("        HeistTarget = """, G120, """,")</f>
        <v xml:space="preserve">        HeistTarget = "Objectifs de Casse",</v>
      </c>
      <c r="I120" s="19" t="str">
        <f>'Heist Target'!J4</f>
        <v>ハイストターゲット</v>
      </c>
      <c r="J120" s="11" t="str">
        <f>_xlfn.CONCAT("        HeistTarget = """, I120, """,")</f>
        <v xml:space="preserve">        HeistTarget = "ハイストターゲット",</v>
      </c>
      <c r="K120" s="19" t="str">
        <f>'Heist Target'!L4</f>
        <v>강탈 대상</v>
      </c>
      <c r="L120" s="11" t="str">
        <f>_xlfn.CONCAT("        HeistTarget = """, K120, """,")</f>
        <v xml:space="preserve">        HeistTarget = "강탈 대상",</v>
      </c>
      <c r="M120" s="19" t="str">
        <f>'Heist Target'!N4</f>
        <v>Alvos Heist</v>
      </c>
      <c r="N120" s="11" t="str">
        <f>_xlfn.CONCAT("        HeistTarget = """, M120, """,")</f>
        <v xml:space="preserve">        HeistTarget = "Alvos Heist",</v>
      </c>
      <c r="O120" s="19" t="str">
        <f>'Heist Target'!P4</f>
        <v>Предметы кражи</v>
      </c>
      <c r="P120" s="11" t="str">
        <f>_xlfn.CONCAT("        HeistTarget = """, O120, """,")</f>
        <v xml:space="preserve">        HeistTarget = "Предметы кражи",</v>
      </c>
      <c r="Q120" s="19" t="str">
        <f>'Heist Target'!R4</f>
        <v>เป้าหมายโจรกรรม</v>
      </c>
      <c r="R120" s="11" t="str">
        <f>_xlfn.CONCAT("        HeistTarget = """, Q120, """,")</f>
        <v xml:space="preserve">        HeistTarget = "เป้าหมายโจรกรรม",</v>
      </c>
      <c r="S120" s="19" t="s">
        <v>7994</v>
      </c>
      <c r="T120" s="11" t="str">
        <f>_xlfn.CONCAT("        HeistTarget = """, S120, """,")</f>
        <v xml:space="preserve">        HeistTarget = "劫盜目標",</v>
      </c>
      <c r="V120" s="1" t="s">
        <v>757</v>
      </c>
    </row>
    <row r="121" spans="1:22" ht="15.95" customHeight="1" x14ac:dyDescent="0.25">
      <c r="A121" s="19" t="str">
        <f>'Heist Cloak'!B4</f>
        <v>Heist Cloaks</v>
      </c>
      <c r="B121" s="11" t="str">
        <f>_xlfn.CONCAT("        HeistCloak = """, A121, """,")</f>
        <v xml:space="preserve">        HeistCloak = "Heist Cloaks",</v>
      </c>
      <c r="C121" s="19" t="str">
        <f>'Heist Cloak'!D4</f>
        <v>Heist-Umhänge</v>
      </c>
      <c r="D121" s="11" t="str">
        <f>_xlfn.CONCAT("        HeistCloak = """, C121, """,")</f>
        <v xml:space="preserve">        HeistCloak = "Heist-Umhänge",</v>
      </c>
      <c r="E121" s="19" t="str">
        <f>'Heist Cloak'!F4</f>
        <v>Capas de Heist</v>
      </c>
      <c r="F121" s="11" t="str">
        <f>_xlfn.CONCAT("        HeistCloak = """, E121, """,")</f>
        <v xml:space="preserve">        HeistCloak = "Capas de Heist",</v>
      </c>
      <c r="G121" s="19" t="str">
        <f>'Heist Cloak'!H4</f>
        <v>Capes de Malfaiteur</v>
      </c>
      <c r="H121" s="11" t="str">
        <f>_xlfn.CONCAT("        HeistCloak = """, G121, """,")</f>
        <v xml:space="preserve">        HeistCloak = "Capes de Malfaiteur",</v>
      </c>
      <c r="I121" s="19" t="str">
        <f>'Heist Cloak'!J4</f>
        <v>ハイストクローク</v>
      </c>
      <c r="J121" s="11" t="str">
        <f>_xlfn.CONCAT("        HeistCloak = """, I121, """,")</f>
        <v xml:space="preserve">        HeistCloak = "ハイストクローク",</v>
      </c>
      <c r="K121" s="19" t="str">
        <f>'Heist Cloak'!L4</f>
        <v>강탈 망토</v>
      </c>
      <c r="L121" s="11" t="str">
        <f>_xlfn.CONCAT("        HeistCloak = """, K121, """,")</f>
        <v xml:space="preserve">        HeistCloak = "강탈 망토",</v>
      </c>
      <c r="M121" s="19" t="str">
        <f>'Heist Cloak'!N4</f>
        <v>Capas Heist</v>
      </c>
      <c r="N121" s="11" t="str">
        <f>_xlfn.CONCAT("        HeistCloak = """, M121, """,")</f>
        <v xml:space="preserve">        HeistCloak = "Capas Heist",</v>
      </c>
      <c r="O121" s="19" t="str">
        <f>'Heist Cloak'!P4</f>
        <v>Разбойничьи накидки</v>
      </c>
      <c r="P121" s="11" t="str">
        <f>_xlfn.CONCAT("        HeistCloak = """, O121, """,")</f>
        <v xml:space="preserve">        HeistCloak = "Разбойничьи накидки",</v>
      </c>
      <c r="Q121" s="19" t="str">
        <f>'Heist Cloak'!R4</f>
        <v>ผ้าคลุมกองโจร</v>
      </c>
      <c r="R121" s="11" t="str">
        <f>_xlfn.CONCAT("        HeistCloak = """, Q121, """,")</f>
        <v xml:space="preserve">        HeistCloak = "ผ้าคลุมกองโจร",</v>
      </c>
      <c r="S121" s="19" t="s">
        <v>7995</v>
      </c>
      <c r="T121" s="11" t="str">
        <f>_xlfn.CONCAT("        HeistCloak = """, S121, """,")</f>
        <v xml:space="preserve">        HeistCloak = "劫盜披風",</v>
      </c>
      <c r="V121" s="1" t="s">
        <v>758</v>
      </c>
    </row>
    <row r="122" spans="1:22" ht="15.95" customHeight="1" x14ac:dyDescent="0.25">
      <c r="A122" s="19" t="str">
        <f>'Abyssal Jewel'!B4</f>
        <v>Abyss Jewels</v>
      </c>
      <c r="B122" s="11" t="str">
        <f>_xlfn.CONCAT("        AbyssJewel = """, A122, """,")</f>
        <v xml:space="preserve">        AbyssJewel = "Abyss Jewels",</v>
      </c>
      <c r="C122" s="19" t="str">
        <f>'Abyssal Jewel'!D4</f>
        <v>Abgrund-Juwelen</v>
      </c>
      <c r="D122" s="11" t="str">
        <f>_xlfn.CONCAT("        AbyssJewel = """, C122, """,")</f>
        <v xml:space="preserve">        AbyssJewel = "Abgrund-Juwelen",</v>
      </c>
      <c r="E122" s="19" t="str">
        <f>'Abyssal Jewel'!F4</f>
        <v>Joyas de abismo</v>
      </c>
      <c r="F122" s="11" t="str">
        <f>_xlfn.CONCAT("        AbyssJewel = """, E122, """,")</f>
        <v xml:space="preserve">        AbyssJewel = "Joyas de abismo",</v>
      </c>
      <c r="G122" s="19" t="str">
        <f>'Abyssal Jewel'!H4</f>
        <v>Joyaux abyssaux</v>
      </c>
      <c r="H122" s="11" t="str">
        <f>_xlfn.CONCAT("        AbyssJewel = """, G122, """,")</f>
        <v xml:space="preserve">        AbyssJewel = "Joyaux abyssaux",</v>
      </c>
      <c r="I122" s="19" t="str">
        <f>'Abyssal Jewel'!J4</f>
        <v>アビスジュエル</v>
      </c>
      <c r="J122" s="11" t="str">
        <f>_xlfn.CONCAT("        AbyssJewel = """, I122, """,")</f>
        <v xml:space="preserve">        AbyssJewel = "アビスジュエル",</v>
      </c>
      <c r="K122" s="19" t="str">
        <f>'Abyssal Jewel'!L4</f>
        <v>심연 주얼</v>
      </c>
      <c r="L122" s="11" t="str">
        <f>_xlfn.CONCAT("        AbyssJewel = """, K122, """,")</f>
        <v xml:space="preserve">        AbyssJewel = "심연 주얼",</v>
      </c>
      <c r="M122" s="19" t="str">
        <f>'Abyssal Jewel'!N4</f>
        <v>Joias Abissais</v>
      </c>
      <c r="N122" s="11" t="str">
        <f>_xlfn.CONCAT("        AbyssJewel = """, M122, """,")</f>
        <v xml:space="preserve">        AbyssJewel = "Joias Abissais",</v>
      </c>
      <c r="O122" s="19" t="str">
        <f>'Abyssal Jewel'!P4</f>
        <v>Самоцветы Бездны</v>
      </c>
      <c r="P122" s="11" t="str">
        <f>_xlfn.CONCAT("        AbyssJewel = """, O122, """,")</f>
        <v xml:space="preserve">        AbyssJewel = "Самоцветы Бездны",</v>
      </c>
      <c r="Q122" s="19" t="str">
        <f>'Abyssal Jewel'!R4</f>
        <v>จิวเวลอะบิส</v>
      </c>
      <c r="R122" s="11" t="str">
        <f>_xlfn.CONCAT("        AbyssJewel = """, Q122, """,")</f>
        <v xml:space="preserve">        AbyssJewel = "จิวเวลอะบิส",</v>
      </c>
      <c r="S122" s="19" t="s">
        <v>7996</v>
      </c>
      <c r="T122" s="11" t="str">
        <f>_xlfn.CONCAT("        AbyssJewel = """, S122, """,")</f>
        <v xml:space="preserve">        AbyssJewel = "深淵珠寶",</v>
      </c>
      <c r="V122" s="1" t="s">
        <v>844</v>
      </c>
    </row>
    <row r="123" spans="1:22" ht="15.95" customHeight="1" x14ac:dyDescent="0.25">
      <c r="A123" s="19" t="str">
        <f>'Heist Trinket'!B4</f>
        <v>Trinkets</v>
      </c>
      <c r="B123" s="11" t="str">
        <f>_xlfn.CONCAT("        Trinkets = """, A123, """,")</f>
        <v xml:space="preserve">        Trinkets = "Trinkets",</v>
      </c>
      <c r="C123" s="19" t="str">
        <f>'Heist Trinket'!D4</f>
        <v>Schmuckstücke</v>
      </c>
      <c r="D123" s="11" t="str">
        <f>_xlfn.CONCAT("        Trinkets = """, C123, """,")</f>
        <v xml:space="preserve">        Trinkets = "Schmuckstücke",</v>
      </c>
      <c r="E123" s="19" t="str">
        <f>'Heist Trinket'!F4</f>
        <v>Abalorios</v>
      </c>
      <c r="F123" s="11" t="str">
        <f>_xlfn.CONCAT("        Trinkets = """, E123, """,")</f>
        <v xml:space="preserve">        Trinkets = "Abalorios",</v>
      </c>
      <c r="G123" s="19" t="str">
        <f>'Heist Trinket'!H4</f>
        <v>Babioles</v>
      </c>
      <c r="H123" s="11" t="str">
        <f>_xlfn.CONCAT("        Trinkets = """, G123, """,")</f>
        <v xml:space="preserve">        Trinkets = "Babioles",</v>
      </c>
      <c r="I123" s="19" t="str">
        <f>'Heist Trinket'!J4</f>
        <v>トリンケット</v>
      </c>
      <c r="J123" s="11" t="str">
        <f>_xlfn.CONCAT("        Trinkets = """, I123, """,")</f>
        <v xml:space="preserve">        Trinkets = "トリンケット",</v>
      </c>
      <c r="K123" s="19" t="str">
        <f>'Heist Trinket'!L4</f>
        <v>장신구</v>
      </c>
      <c r="L123" s="11" t="str">
        <f>_xlfn.CONCAT("        Trinkets = """, K123, """,")</f>
        <v xml:space="preserve">        Trinkets = "장신구",</v>
      </c>
      <c r="M123" s="19" t="str">
        <f>'Heist Trinket'!N4</f>
        <v>Adornos</v>
      </c>
      <c r="N123" s="11" t="str">
        <f>_xlfn.CONCAT("        Trinkets = """, M123, """,")</f>
        <v xml:space="preserve">        Trinkets = "Adornos",</v>
      </c>
      <c r="O123" s="19" t="str">
        <f>'Heist Trinket'!P4</f>
        <v>Украшения</v>
      </c>
      <c r="P123" s="11" t="str">
        <f>_xlfn.CONCAT("        Trinkets = """, O123, """,")</f>
        <v xml:space="preserve">        Trinkets = "Украшения",</v>
      </c>
      <c r="Q123" s="19" t="str">
        <f>'Heist Trinket'!R4</f>
        <v>เครื่องประดับโจร</v>
      </c>
      <c r="R123" s="11" t="str">
        <f>_xlfn.CONCAT("        Trinkets = """, Q123, """,")</f>
        <v xml:space="preserve">        Trinkets = "เครื่องประดับโจร",</v>
      </c>
      <c r="S123" s="19" t="s">
        <v>7997</v>
      </c>
      <c r="T123" s="11" t="str">
        <f>_xlfn.CONCAT("        Trinkets = """, S123, """,")</f>
        <v xml:space="preserve">        Trinkets = "飾品",</v>
      </c>
      <c r="V123" s="1" t="s">
        <v>1524</v>
      </c>
    </row>
    <row r="124" spans="1:22" ht="15.95" customHeight="1" x14ac:dyDescent="0.25">
      <c r="A124" s="19" t="str">
        <f>Logbook!B4</f>
        <v>Expedition Logbooks</v>
      </c>
      <c r="B124" s="11" t="str">
        <f>_xlfn.CONCAT("        Logbooks = """, A124, """,")</f>
        <v xml:space="preserve">        Logbooks = "Expedition Logbooks",</v>
      </c>
      <c r="C124" s="19" t="str">
        <f>Logbook!D4</f>
        <v>Expeditions-Logbücher</v>
      </c>
      <c r="D124" s="11" t="str">
        <f>_xlfn.CONCAT("        Logbooks = """, C124, """,")</f>
        <v xml:space="preserve">        Logbooks = "Expeditions-Logbücher",</v>
      </c>
      <c r="E124" s="19" t="str">
        <f>Logbook!F4</f>
        <v>Registros de expedición</v>
      </c>
      <c r="F124" s="11" t="str">
        <f>_xlfn.CONCAT("        Logbooks = """, E124, """,")</f>
        <v xml:space="preserve">        Logbooks = "Registros de expedición",</v>
      </c>
      <c r="G124" s="19" t="str">
        <f>Logbook!H4</f>
        <v>Journaux de bord d'Expédition</v>
      </c>
      <c r="H124" s="11" t="str">
        <f>_xlfn.CONCAT("        Logbooks = """, G124, """,")</f>
        <v xml:space="preserve">        Logbooks = "Journaux de bord d'Expédition",</v>
      </c>
      <c r="I124" s="19" t="str">
        <f>Logbook!J4</f>
        <v>エクスペディションログブック</v>
      </c>
      <c r="J124" s="11" t="str">
        <f>_xlfn.CONCAT("        Logbooks = """, I124, """,")</f>
        <v xml:space="preserve">        Logbooks = "エクスペディションログブック",</v>
      </c>
      <c r="K124" s="19" t="str">
        <f>Logbook!L4</f>
        <v>탐험 일지</v>
      </c>
      <c r="L124" s="11" t="str">
        <f>_xlfn.CONCAT("        Logbooks = """, K124, """,")</f>
        <v xml:space="preserve">        Logbooks = "탐험 일지",</v>
      </c>
      <c r="M124" s="19" t="str">
        <f>Logbook!N4</f>
        <v>Diários de Bordo Expedition</v>
      </c>
      <c r="N124" s="11" t="str">
        <f>_xlfn.CONCAT("        Logbooks = """, M124, """,")</f>
        <v xml:space="preserve">        Logbooks = "Diários de Bordo Expedition",</v>
      </c>
      <c r="O124" s="19" t="str">
        <f>Logbook!P4</f>
        <v>Журналы экспедиции</v>
      </c>
      <c r="P124" s="11" t="str">
        <f>_xlfn.CONCAT("        Logbooks = """, O124, """,")</f>
        <v xml:space="preserve">        Logbooks = "Журналы экспедиции",</v>
      </c>
      <c r="Q124" s="19" t="str">
        <f>Logbook!R4</f>
        <v>สมุดปูมเดินทางกองสำรวจ</v>
      </c>
      <c r="R124" s="11" t="str">
        <f>_xlfn.CONCAT("        Logbooks = """, Q124, """,")</f>
        <v xml:space="preserve">        Logbooks = "สมุดปูมเดินทางกองสำรวจ",</v>
      </c>
      <c r="S124" s="19" t="s">
        <v>7998</v>
      </c>
      <c r="T124" s="11" t="str">
        <f>_xlfn.CONCAT("        Logbooks = """, S124, """,")</f>
        <v xml:space="preserve">        Logbooks = "探險日誌",</v>
      </c>
      <c r="V124" s="1" t="s">
        <v>759</v>
      </c>
    </row>
    <row r="125" spans="1:22" ht="15.95" customHeight="1" x14ac:dyDescent="0.25">
      <c r="A125" s="19" t="str">
        <f>Memory!B4</f>
        <v>Memories</v>
      </c>
      <c r="B125" s="11" t="str">
        <f>_xlfn.CONCAT("        MemoryLine = """, A125, """,")</f>
        <v xml:space="preserve">        MemoryLine = "Memories",</v>
      </c>
      <c r="C125" s="19" t="str">
        <f>Memory!D4</f>
        <v>Erinnerungen</v>
      </c>
      <c r="D125" s="11" t="str">
        <f>_xlfn.CONCAT("        MemoryLine = """, C125, """,")</f>
        <v xml:space="preserve">        MemoryLine = "Erinnerungen",</v>
      </c>
      <c r="E125" s="19" t="str">
        <f>Memory!F4</f>
        <v>Recuerdos</v>
      </c>
      <c r="F125" s="11" t="str">
        <f>_xlfn.CONCAT("        MemoryLine = """, E125, """,")</f>
        <v xml:space="preserve">        MemoryLine = "Recuerdos",</v>
      </c>
      <c r="G125" s="19" t="str">
        <f>Memory!H4</f>
        <v>Souvenirs</v>
      </c>
      <c r="H125" s="11" t="str">
        <f>_xlfn.CONCAT("        MemoryLine = """, G125, """,")</f>
        <v xml:space="preserve">        MemoryLine = "Souvenirs",</v>
      </c>
      <c r="I125" s="19" t="str">
        <f>Memory!J4</f>
        <v>記憶</v>
      </c>
      <c r="J125" s="11" t="str">
        <f>_xlfn.CONCAT("        MemoryLine = """, I125, """,")</f>
        <v xml:space="preserve">        MemoryLine = "記憶",</v>
      </c>
      <c r="K125" s="19" t="str">
        <f>Memory!L4</f>
        <v>기억</v>
      </c>
      <c r="L125" s="11" t="str">
        <f>_xlfn.CONCAT("        MemoryLine = """, K125, """,")</f>
        <v xml:space="preserve">        MemoryLine = "기억",</v>
      </c>
      <c r="M125" s="19" t="str">
        <f>Memory!N4</f>
        <v>Memórias</v>
      </c>
      <c r="N125" s="11" t="str">
        <f>_xlfn.CONCAT("        MemoryLine = """, M125, """,")</f>
        <v xml:space="preserve">        MemoryLine = "Memórias",</v>
      </c>
      <c r="O125" s="19" t="str">
        <f>Memory!P4</f>
        <v>Воспоминания</v>
      </c>
      <c r="P125" s="11" t="str">
        <f>_xlfn.CONCAT("        MemoryLine = """, O125, """,")</f>
        <v xml:space="preserve">        MemoryLine = "Воспоминания",</v>
      </c>
      <c r="Q125" s="19" t="str">
        <f>Memory!R4</f>
        <v>ความทรงจำ</v>
      </c>
      <c r="R125" s="11" t="str">
        <f>_xlfn.CONCAT("        MemoryLine = """, Q125, """,")</f>
        <v xml:space="preserve">        MemoryLine = "ความทรงจำ",</v>
      </c>
      <c r="S125" s="19" t="s">
        <v>7999</v>
      </c>
      <c r="T125" s="11" t="str">
        <f>_xlfn.CONCAT("        MemoryLine = """, S125, """,")</f>
        <v xml:space="preserve">        MemoryLine = "記憶",</v>
      </c>
      <c r="V125" s="1" t="s">
        <v>845</v>
      </c>
    </row>
    <row r="126" spans="1:22" ht="15.95" customHeight="1" x14ac:dyDescent="0.25">
      <c r="A126" s="19" t="str">
        <f>'Sanctum Relics'!B4</f>
        <v>Relics</v>
      </c>
      <c r="B126" s="11" t="str">
        <f>_xlfn.CONCAT("        SanctumRelics = """, A126, """,")</f>
        <v xml:space="preserve">        SanctumRelics = "Relics",</v>
      </c>
      <c r="C126" s="19" t="str">
        <f>'Sanctum Relics'!D4</f>
        <v>Relikte</v>
      </c>
      <c r="D126" s="11" t="str">
        <f>_xlfn.CONCAT("        SanctumRelics = """, C126, """,")</f>
        <v xml:space="preserve">        SanctumRelics = "Relikte",</v>
      </c>
      <c r="E126" s="19" t="str">
        <f>'Sanctum Relics'!F4</f>
        <v>Reliquias</v>
      </c>
      <c r="F126" s="11" t="str">
        <f>_xlfn.CONCAT("        SanctumRelics = """, E126, """,")</f>
        <v xml:space="preserve">        SanctumRelics = "Reliquias",</v>
      </c>
      <c r="G126" s="19" t="str">
        <f>'Sanctum Relics'!H4</f>
        <v>Reliques</v>
      </c>
      <c r="H126" s="11" t="str">
        <f>_xlfn.CONCAT("        SanctumRelics = """, G126, """,")</f>
        <v xml:space="preserve">        SanctumRelics = "Reliques",</v>
      </c>
      <c r="I126" s="19" t="str">
        <f>'Sanctum Relics'!J4</f>
        <v>レリック</v>
      </c>
      <c r="J126" s="11" t="str">
        <f>_xlfn.CONCAT("        SanctumRelics = """, I126, """,")</f>
        <v xml:space="preserve">        SanctumRelics = "レリック",</v>
      </c>
      <c r="K126" s="19" t="str">
        <f>'Sanctum Relics'!L4</f>
        <v>유물</v>
      </c>
      <c r="L126" s="11" t="str">
        <f>_xlfn.CONCAT("        SanctumRelics = """, K126, """,")</f>
        <v xml:space="preserve">        SanctumRelics = "유물",</v>
      </c>
      <c r="M126" s="19" t="str">
        <f>'Sanctum Relics'!N4</f>
        <v>Relíquias</v>
      </c>
      <c r="N126" s="11" t="str">
        <f>_xlfn.CONCAT("        SanctumRelics = """, M126, """,")</f>
        <v xml:space="preserve">        SanctumRelics = "Relíquias",</v>
      </c>
      <c r="O126" s="19" t="str">
        <f>'Sanctum Relics'!P4</f>
        <v>Реликвии</v>
      </c>
      <c r="P126" s="11" t="str">
        <f>_xlfn.CONCAT("        SanctumRelics = """, O126, """,")</f>
        <v xml:space="preserve">        SanctumRelics = "Реликвии",</v>
      </c>
      <c r="Q126" s="19" t="str">
        <f>'Sanctum Relics'!R4</f>
        <v>วัตถุตกทอด</v>
      </c>
      <c r="R126" s="11" t="str">
        <f>_xlfn.CONCAT("        SanctumRelics = """, Q126, """,")</f>
        <v xml:space="preserve">        SanctumRelics = "วัตถุตกทอด",</v>
      </c>
      <c r="S126" s="19" t="s">
        <v>8001</v>
      </c>
      <c r="T126" s="11" t="str">
        <f>_xlfn.CONCAT("        SanctumRelics = """, S126, """,")</f>
        <v xml:space="preserve">        SanctumRelics = "聖物",</v>
      </c>
      <c r="V126" s="1" t="s">
        <v>7049</v>
      </c>
    </row>
    <row r="127" spans="1:22" ht="15.95" customHeight="1" x14ac:dyDescent="0.25">
      <c r="A127" s="19" t="str">
        <f>Tinctures!B4</f>
        <v>Tinctures</v>
      </c>
      <c r="B127" s="11" t="str">
        <f>_xlfn.CONCAT("        Tinctures = """, A127, """,")</f>
        <v xml:space="preserve">        Tinctures = "Tinctures",</v>
      </c>
      <c r="C127" s="19" t="str">
        <f>Tinctures!D4</f>
        <v>Tinkturen</v>
      </c>
      <c r="D127" s="11" t="str">
        <f>_xlfn.CONCAT("        Tinctures = """, C127, """,")</f>
        <v xml:space="preserve">        Tinctures = "Tinkturen",</v>
      </c>
      <c r="E127" s="19" t="str">
        <f>Tinctures!F4</f>
        <v>Tinturas</v>
      </c>
      <c r="F127" s="11" t="str">
        <f>_xlfn.CONCAT("        Tinctures = """, E127, """,")</f>
        <v xml:space="preserve">        Tinctures = "Tinturas",</v>
      </c>
      <c r="G127" s="19" t="str">
        <f>Tinctures!H4</f>
        <v>Teintures</v>
      </c>
      <c r="H127" s="11" t="str">
        <f>_xlfn.CONCAT("        Tinctures = """, G127, """,")</f>
        <v xml:space="preserve">        Tinctures = "Teintures",</v>
      </c>
      <c r="I127" s="19" t="str">
        <f>Tinctures!J4</f>
        <v>チンキ</v>
      </c>
      <c r="J127" s="11" t="str">
        <f>_xlfn.CONCAT("        Tinctures = """, I127, """,")</f>
        <v xml:space="preserve">        Tinctures = "チンキ",</v>
      </c>
      <c r="K127" s="19" t="str">
        <f>Tinctures!L4</f>
        <v>팅크</v>
      </c>
      <c r="L127" s="11" t="str">
        <f>_xlfn.CONCAT("        Tinctures = """, K127, """,")</f>
        <v xml:space="preserve">        Tinctures = "팅크",</v>
      </c>
      <c r="M127" s="19" t="str">
        <f>Tinctures!N4</f>
        <v>Tintura</v>
      </c>
      <c r="N127" s="11" t="str">
        <f>_xlfn.CONCAT("        Tinctures = """, M127, """,")</f>
        <v xml:space="preserve">        Tinctures = "Tintura",</v>
      </c>
      <c r="O127" s="19" t="str">
        <f>Tinctures!P4</f>
        <v>Микстуры</v>
      </c>
      <c r="P127" s="11" t="str">
        <f>_xlfn.CONCAT("        Tinctures = """, O127, """,")</f>
        <v xml:space="preserve">        Tinctures = "Микстуры",</v>
      </c>
      <c r="Q127" s="19" t="str">
        <f>Tinctures!R4</f>
        <v>ยาเคลือบอาวุธ</v>
      </c>
      <c r="R127" s="11" t="str">
        <f>_xlfn.CONCAT("        Tinctures = """, Q127, """,")</f>
        <v xml:space="preserve">        Tinctures = "ยาเคลือบอาวุธ",</v>
      </c>
      <c r="S127" s="19" t="s">
        <v>8002</v>
      </c>
      <c r="T127" s="11" t="str">
        <f>_xlfn.CONCAT("        Tinctures = """, S127, """,")</f>
        <v xml:space="preserve">        Tinctures = "萃取物",</v>
      </c>
      <c r="V127" s="1" t="s">
        <v>7104</v>
      </c>
    </row>
    <row r="128" spans="1:22" ht="15.95" customHeight="1" x14ac:dyDescent="0.25">
      <c r="A128" s="19" t="str">
        <f>Corpses!B4</f>
        <v>Corpses</v>
      </c>
      <c r="B128" s="11" t="str">
        <f>_xlfn.CONCAT("        Corpses = """, A128, """,")</f>
        <v xml:space="preserve">        Corpses = "Corpses",</v>
      </c>
      <c r="C128" s="19" t="str">
        <f>Corpses!D4</f>
        <v>Leichen</v>
      </c>
      <c r="D128" s="11" t="str">
        <f>_xlfn.CONCAT("        Corpses = """, C128, """,")</f>
        <v xml:space="preserve">        Corpses = "Leichen",</v>
      </c>
      <c r="E128" s="19" t="str">
        <f>Corpses!F4</f>
        <v>Cadáveres</v>
      </c>
      <c r="F128" s="11" t="str">
        <f>_xlfn.CONCAT("        Corpses = """, E128, """,")</f>
        <v xml:space="preserve">        Corpses = "Cadáveres",</v>
      </c>
      <c r="G128" s="19" t="str">
        <f>Corpses!H4</f>
        <v>Cadavres</v>
      </c>
      <c r="H128" s="11" t="str">
        <f>_xlfn.CONCAT("        Corpses = """, G128, """,")</f>
        <v xml:space="preserve">        Corpses = "Cadavres",</v>
      </c>
      <c r="I128" s="19" t="str">
        <f>Corpses!J4</f>
        <v>死体</v>
      </c>
      <c r="J128" s="11" t="str">
        <f>_xlfn.CONCAT("        Corpses = """, I128, """,")</f>
        <v xml:space="preserve">        Corpses = "死体",</v>
      </c>
      <c r="K128" s="19" t="str">
        <f>Corpses!L4</f>
        <v>시신</v>
      </c>
      <c r="L128" s="11" t="str">
        <f>_xlfn.CONCAT("        Corpses = """, K128, """,")</f>
        <v xml:space="preserve">        Corpses = "시신",</v>
      </c>
      <c r="M128" s="19" t="str">
        <f>Corpses!N4</f>
        <v>Patuá</v>
      </c>
      <c r="N128" s="11" t="str">
        <f>_xlfn.CONCAT("        Corpses = """, M128, """,")</f>
        <v xml:space="preserve">        Corpses = "Patuá",</v>
      </c>
      <c r="O128" s="19" t="str">
        <f>Corpses!P4</f>
        <v>Трупы</v>
      </c>
      <c r="P128" s="11" t="str">
        <f>_xlfn.CONCAT("        Corpses = """, O128, """,")</f>
        <v xml:space="preserve">        Corpses = "Трупы",</v>
      </c>
      <c r="Q128" s="19" t="str">
        <f>Corpses!R4</f>
        <v>ศพ</v>
      </c>
      <c r="R128" s="11" t="str">
        <f>_xlfn.CONCAT("        Corpses = """, Q128, """,")</f>
        <v xml:space="preserve">        Corpses = "ศพ",</v>
      </c>
      <c r="S128" s="19" t="s">
        <v>8003</v>
      </c>
      <c r="T128" s="11" t="str">
        <f>_xlfn.CONCAT("        Corpses = """, S128, """,")</f>
        <v xml:space="preserve">        Corpses = "屍體",</v>
      </c>
      <c r="V128" s="1" t="s">
        <v>7103</v>
      </c>
    </row>
    <row r="129" spans="1:22" ht="15.95" customHeight="1" x14ac:dyDescent="0.25">
      <c r="A129" s="19" t="str">
        <f>Tome!B4</f>
        <v>Sanctum Research</v>
      </c>
      <c r="B129" s="11" t="str">
        <f>_xlfn.CONCAT("        SanctumResearch = """, A129, """,")</f>
        <v xml:space="preserve">        SanctumResearch = "Sanctum Research",</v>
      </c>
      <c r="C129" s="19" t="str">
        <f>Tome!D4</f>
        <v>Sanktum-Forschungsauftrag</v>
      </c>
      <c r="D129" s="11" t="str">
        <f>_xlfn.CONCAT("        SanctumResearch = """, C129, """,")</f>
        <v xml:space="preserve">        SanctumResearch = "Sanktum-Forschungsauftrag",</v>
      </c>
      <c r="E129" s="19" t="str">
        <f>Tome!F4</f>
        <v>Investigación del santuario</v>
      </c>
      <c r="F129" s="11" t="str">
        <f>_xlfn.CONCAT("        SanctumResearch = """, E129, """,")</f>
        <v xml:space="preserve">        SanctumResearch = "Investigación del santuario",</v>
      </c>
      <c r="G129" s="19" t="str">
        <f>Tome!H4</f>
        <v>Recherche du Sanctuaire</v>
      </c>
      <c r="H129" s="11" t="str">
        <f>_xlfn.CONCAT("        SanctumResearch = """, G129, """,")</f>
        <v xml:space="preserve">        SanctumResearch = "Recherche du Sanctuaire",</v>
      </c>
      <c r="I129" s="19" t="str">
        <f>Tome!J4</f>
        <v>サンクタム調査書</v>
      </c>
      <c r="J129" s="11" t="str">
        <f>_xlfn.CONCAT("        SanctumResearch = """, I129, """,")</f>
        <v xml:space="preserve">        SanctumResearch = "サンクタム調査書",</v>
      </c>
      <c r="K129" s="19" t="str">
        <f>Tome!L4</f>
        <v>성역 연구</v>
      </c>
      <c r="L129" s="11" t="str">
        <f>_xlfn.CONCAT("        SanctumResearch = """, K129, """,")</f>
        <v xml:space="preserve">        SanctumResearch = "성역 연구",</v>
      </c>
      <c r="M129" s="19" t="str">
        <f>Tome!N4</f>
        <v>Pesquisa Sanctum</v>
      </c>
      <c r="N129" s="11" t="str">
        <f>_xlfn.CONCAT("        SanctumResearch = """, M129, """,")</f>
        <v xml:space="preserve">        SanctumResearch = "Pesquisa Sanctum",</v>
      </c>
      <c r="O129" s="19" t="str">
        <f>Tome!P4</f>
        <v>Исследования Святилища</v>
      </c>
      <c r="P129" s="11" t="str">
        <f>_xlfn.CONCAT("        SanctumResearch = """, O129, """,")</f>
        <v xml:space="preserve">        SanctumResearch = "Исследования Святилища",</v>
      </c>
      <c r="Q129" s="19" t="str">
        <f>Tome!R4</f>
        <v>บทวิจัยเทวสถาน</v>
      </c>
      <c r="R129" s="11" t="str">
        <f>_xlfn.CONCAT("        SanctumResearch = """, Q129, """,")</f>
        <v xml:space="preserve">        SanctumResearch = "บทวิจัยเทวสถาน",</v>
      </c>
      <c r="S129" s="19" t="s">
        <v>8000</v>
      </c>
      <c r="T129" s="11" t="str">
        <f>_xlfn.CONCAT("        SanctumResearch = """, S129, """,")</f>
        <v xml:space="preserve">        SanctumResearch = "聖域研究",</v>
      </c>
      <c r="V129" s="1" t="s">
        <v>846</v>
      </c>
    </row>
    <row r="130" spans="1:22" ht="15.95" customHeight="1" x14ac:dyDescent="0.25">
      <c r="A130" s="12" t="s">
        <v>22</v>
      </c>
      <c r="B130" s="11" t="s">
        <v>6598</v>
      </c>
      <c r="C130" s="12" t="s">
        <v>22</v>
      </c>
      <c r="D130" s="11" t="s">
        <v>6598</v>
      </c>
      <c r="E130" s="12" t="s">
        <v>22</v>
      </c>
      <c r="F130" s="11" t="s">
        <v>6598</v>
      </c>
      <c r="G130" s="12" t="s">
        <v>22</v>
      </c>
      <c r="H130" s="11" t="s">
        <v>6598</v>
      </c>
      <c r="I130" s="12" t="s">
        <v>22</v>
      </c>
      <c r="J130" s="11" t="s">
        <v>6598</v>
      </c>
      <c r="K130" s="12" t="s">
        <v>22</v>
      </c>
      <c r="L130" s="11" t="s">
        <v>6598</v>
      </c>
      <c r="M130" s="12" t="s">
        <v>22</v>
      </c>
      <c r="N130" s="11" t="s">
        <v>6598</v>
      </c>
      <c r="O130" s="12" t="s">
        <v>22</v>
      </c>
      <c r="P130" s="11" t="s">
        <v>6598</v>
      </c>
      <c r="Q130" s="12" t="s">
        <v>22</v>
      </c>
      <c r="R130" s="11" t="s">
        <v>6598</v>
      </c>
      <c r="S130" s="12" t="s">
        <v>22</v>
      </c>
      <c r="T130" s="11" t="s">
        <v>6598</v>
      </c>
      <c r="V130" s="1" t="s">
        <v>22</v>
      </c>
    </row>
    <row r="131" spans="1:22" ht="15.95" customHeight="1" x14ac:dyDescent="0.25">
      <c r="A131" s="12" t="s">
        <v>22</v>
      </c>
      <c r="B131" s="11" t="s">
        <v>15</v>
      </c>
      <c r="C131" s="12" t="s">
        <v>22</v>
      </c>
      <c r="D131" s="11" t="s">
        <v>15</v>
      </c>
      <c r="E131" s="12" t="s">
        <v>22</v>
      </c>
      <c r="F131" s="11" t="s">
        <v>15</v>
      </c>
      <c r="G131" s="12" t="s">
        <v>22</v>
      </c>
      <c r="H131" s="11" t="s">
        <v>15</v>
      </c>
      <c r="I131" s="12" t="s">
        <v>22</v>
      </c>
      <c r="J131" s="11" t="s">
        <v>15</v>
      </c>
      <c r="K131" s="12" t="s">
        <v>22</v>
      </c>
      <c r="L131" s="11" t="s">
        <v>15</v>
      </c>
      <c r="M131" s="12" t="s">
        <v>22</v>
      </c>
      <c r="N131" s="11" t="s">
        <v>15</v>
      </c>
      <c r="O131" s="12" t="s">
        <v>22</v>
      </c>
      <c r="P131" s="11" t="s">
        <v>15</v>
      </c>
      <c r="Q131" s="12" t="s">
        <v>22</v>
      </c>
      <c r="R131" s="11" t="s">
        <v>15</v>
      </c>
      <c r="S131" s="12" t="s">
        <v>22</v>
      </c>
      <c r="T131" s="11" t="s">
        <v>15</v>
      </c>
      <c r="V131" s="1" t="s">
        <v>22</v>
      </c>
    </row>
    <row r="132" spans="1:22" ht="15.95" customHeight="1" x14ac:dyDescent="0.25">
      <c r="A132" s="12" t="s">
        <v>22</v>
      </c>
      <c r="B132" s="14"/>
      <c r="C132" s="12" t="s">
        <v>22</v>
      </c>
      <c r="D132" s="14"/>
      <c r="E132" s="12" t="s">
        <v>22</v>
      </c>
      <c r="F132" s="14"/>
      <c r="G132" s="12" t="s">
        <v>22</v>
      </c>
      <c r="H132" s="14"/>
      <c r="I132" s="12" t="s">
        <v>22</v>
      </c>
      <c r="J132" s="14"/>
      <c r="K132" s="12" t="s">
        <v>22</v>
      </c>
      <c r="L132" s="14"/>
      <c r="M132" s="12" t="s">
        <v>22</v>
      </c>
      <c r="N132" s="14"/>
      <c r="O132" s="12" t="s">
        <v>22</v>
      </c>
      <c r="P132" s="14"/>
      <c r="Q132" s="12" t="s">
        <v>22</v>
      </c>
      <c r="R132" s="14"/>
      <c r="S132" s="12" t="s">
        <v>22</v>
      </c>
      <c r="T132" s="14"/>
      <c r="V132" s="1" t="s">
        <v>22</v>
      </c>
    </row>
  </sheetData>
  <conditionalFormatting sqref="A2:T132">
    <cfRule type="containsErrors" dxfId="541" priority="5" stopIfTrue="1">
      <formula>ISERROR(A2)</formula>
    </cfRule>
    <cfRule type="containsBlanks" dxfId="540" priority="6" stopIfTrue="1">
      <formula>LEN(TRIM(A2))=0</formula>
    </cfRule>
    <cfRule type="cellIs" dxfId="539" priority="10" stopIfTrue="1" operator="equal">
      <formula>"-"</formula>
    </cfRule>
    <cfRule type="cellIs" dxfId="538" priority="11" operator="between">
      <formula>"(Lowest value)"</formula>
      <formula>0</formula>
    </cfRule>
    <cfRule type="notContainsBlanks" dxfId="537" priority="17">
      <formula>LEN(TRIM(A2))&gt;0</formula>
    </cfRule>
  </conditionalFormatting>
  <conditionalFormatting sqref="B2:B132 D2:D132 F2:F132 H2:H132 J2:J132 L2:L132 N2:N132 P2:P132 R2:R132 T2:T132">
    <cfRule type="notContainsErrors" dxfId="536" priority="2" stopIfTrue="1">
      <formula>NOT(ISERROR(B2))</formula>
    </cfRule>
  </conditionalFormatting>
  <conditionalFormatting sqref="V2:V132">
    <cfRule type="cellIs" dxfId="535" priority="7" operator="equal">
      <formula>A2</formula>
    </cfRule>
    <cfRule type="cellIs" dxfId="534" priority="8" operator="notEqual">
      <formula>A2</formula>
    </cfRule>
  </conditionalFormatting>
  <hyperlinks>
    <hyperlink ref="A11" r:id="rId1" xr:uid="{855ECDD4-C93A-4F1F-8713-0829BF813B5A}"/>
    <hyperlink ref="C7" r:id="rId2" xr:uid="{9CB2DD4D-0DF4-4E34-B1B1-204A40528956}"/>
    <hyperlink ref="E7" r:id="rId3" xr:uid="{FC5A23DB-A840-41F9-B413-9A9808466F4F}"/>
    <hyperlink ref="G7" r:id="rId4" xr:uid="{DC05ED76-EF52-4889-8DEF-AB332577F56E}"/>
    <hyperlink ref="I7" r:id="rId5" xr:uid="{70CEF80B-B23D-4E8C-88C3-C6CC4CA1406A}"/>
    <hyperlink ref="K7" r:id="rId6" xr:uid="{6418AA57-1A7F-48ED-9205-B0909C7C3B8C}"/>
    <hyperlink ref="M7" r:id="rId7" xr:uid="{09B08752-4570-4A22-9E71-21A38C911AA6}"/>
    <hyperlink ref="O7" r:id="rId8" xr:uid="{5B981E68-0FD8-4D3A-8351-C803E7205B69}"/>
    <hyperlink ref="Q7" r:id="rId9" xr:uid="{E8B2296A-9179-4A0E-8C1A-791E565B98B2}"/>
    <hyperlink ref="A7" r:id="rId10" xr:uid="{A6ED6838-C802-4BF7-A9E9-1D42003E022A}"/>
    <hyperlink ref="V7" r:id="rId11" xr:uid="{27E673D3-AFB1-43F4-996E-79C9551AAB33}"/>
    <hyperlink ref="V8" r:id="rId12" xr:uid="{0C841D1E-2F48-456E-AE8A-3FD22665AFB6}"/>
    <hyperlink ref="S7" r:id="rId13" xr:uid="{590D5010-3FA3-46E6-AC55-A5467123A6A0}"/>
    <hyperlink ref="S8" r:id="rId14" xr:uid="{CB5E9B18-0FA6-45BF-A546-F0D2315480D9}"/>
  </hyperlinks>
  <pageMargins left="0.7" right="0.7" top="0.75" bottom="0.75" header="0.3" footer="0.3"/>
  <pageSetup orientation="portrait" horizontalDpi="4294967293" verticalDpi="0" r:id="rId1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C8C20E-4A0C-4A8D-90F3-EB063DCBD0D3}">
  <sheetPr codeName="Sheet3"/>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8" t="s">
        <v>84</v>
      </c>
    </row>
    <row r="3" spans="1:20" ht="15.95" customHeight="1" x14ac:dyDescent="0.25">
      <c r="A3" s="17"/>
      <c r="B3" s="16" t="e">
        <f>TRIM(_xlfn.TEXTBEFORE(A3, ":"))</f>
        <v>#N/A</v>
      </c>
      <c r="C3" s="17"/>
      <c r="D3" s="16" t="e">
        <f>TRIM(_xlfn.TEXTBEFORE(C3, ":"))</f>
        <v>#N/A</v>
      </c>
      <c r="E3" s="17"/>
      <c r="F3" s="16" t="e">
        <f>TRIM(_xlfn.TEXTBEFORE(E3, ":"))</f>
        <v>#N/A</v>
      </c>
      <c r="G3" s="17"/>
      <c r="H3" s="16" t="e">
        <f>TRIM(_xlfn.TEXTBEFORE(G3, ":"))</f>
        <v>#N/A</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c r="B4" s="16" t="e">
        <f>TRIM(_xlfn.TEXTAFTER(A3, ":"))</f>
        <v>#N/A</v>
      </c>
      <c r="C4" s="18"/>
      <c r="D4" s="16" t="e">
        <f>TRIM(_xlfn.TEXTAFTER(C3, ":"))</f>
        <v>#N/A</v>
      </c>
      <c r="E4" s="18"/>
      <c r="F4" s="16" t="e">
        <f>TRIM(_xlfn.TEXTAFTER(E3, ":"))</f>
        <v>#N/A</v>
      </c>
      <c r="G4" s="18"/>
      <c r="H4" s="16" t="e">
        <f>TRIM(_xlfn.TEXTAFTER(G3, ":"))</f>
        <v>#N/A</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c r="B5" s="16" t="e">
        <f>TRIM(_xlfn.TEXTBEFORE(A4, ":"))</f>
        <v>#N/A</v>
      </c>
      <c r="C5" s="18"/>
      <c r="D5" s="16" t="e">
        <f>TRIM(_xlfn.TEXTBEFORE(C4, ":"))</f>
        <v>#N/A</v>
      </c>
      <c r="E5" s="18"/>
      <c r="F5" s="16" t="e">
        <f>TRIM(_xlfn.TEXTBEFORE(E4, ":"))</f>
        <v>#N/A</v>
      </c>
      <c r="G5" s="18"/>
      <c r="H5" s="16" t="e">
        <f>TRIM(_xlfn.TEXTBEFORE(G4, ":"))</f>
        <v>#N/A</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c r="B6" s="16" t="e">
        <f>TRIM(_xlfn.TEXTAFTER(A4,":"))</f>
        <v>#N/A</v>
      </c>
      <c r="C6" s="18"/>
      <c r="D6" s="16" t="e">
        <f>TRIM(_xlfn.TEXTAFTER(C4,":"))</f>
        <v>#N/A</v>
      </c>
      <c r="E6" s="18"/>
      <c r="F6" s="16" t="e">
        <f>TRIM(_xlfn.TEXTAFTER(E4,":"))</f>
        <v>#N/A</v>
      </c>
      <c r="G6" s="18"/>
      <c r="H6" s="16" t="e">
        <f>TRIM(_xlfn.TEXTAFTER(G4,":"))</f>
        <v>#N/A</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c r="B7" s="16"/>
      <c r="C7" s="18"/>
      <c r="D7" s="16"/>
      <c r="E7" s="18"/>
      <c r="F7" s="16"/>
      <c r="G7" s="18"/>
      <c r="H7" s="16"/>
      <c r="I7" s="18"/>
      <c r="J7" s="16"/>
      <c r="K7" s="18"/>
      <c r="L7" s="16"/>
      <c r="M7" s="18"/>
      <c r="N7" s="16"/>
      <c r="O7" s="18"/>
      <c r="P7" s="16"/>
      <c r="Q7" s="18"/>
      <c r="R7" s="16"/>
      <c r="S7" s="18"/>
      <c r="T7" s="20"/>
    </row>
    <row r="8" spans="1:20" ht="15.95" customHeight="1" x14ac:dyDescent="0.25">
      <c r="A8" s="18"/>
      <c r="B8" s="16"/>
      <c r="C8" s="18"/>
      <c r="D8" s="16"/>
      <c r="E8" s="18"/>
      <c r="F8" s="16"/>
      <c r="G8" s="18"/>
      <c r="H8" s="16"/>
      <c r="I8" s="18"/>
      <c r="J8" s="16"/>
      <c r="K8" s="18"/>
      <c r="L8" s="16"/>
      <c r="M8" s="18"/>
      <c r="N8" s="16"/>
      <c r="O8" s="18"/>
      <c r="P8" s="16"/>
      <c r="Q8" s="18"/>
      <c r="R8" s="16"/>
      <c r="S8" s="18"/>
      <c r="T8" s="20"/>
    </row>
    <row r="9" spans="1:20" ht="15.95" customHeight="1" x14ac:dyDescent="0.25">
      <c r="A9" s="18"/>
      <c r="B9" s="16"/>
      <c r="C9" s="18"/>
      <c r="D9" s="16"/>
      <c r="E9" s="18"/>
      <c r="F9" s="16"/>
      <c r="G9" s="18"/>
      <c r="H9" s="16"/>
      <c r="I9" s="18"/>
      <c r="J9" s="16"/>
      <c r="K9" s="18"/>
      <c r="L9" s="16"/>
      <c r="M9" s="18"/>
      <c r="N9" s="16"/>
      <c r="O9" s="18"/>
      <c r="P9" s="16"/>
      <c r="Q9" s="18"/>
      <c r="R9" s="16"/>
      <c r="S9" s="18"/>
      <c r="T9" s="20"/>
    </row>
    <row r="10" spans="1:20" ht="15.95" customHeight="1" x14ac:dyDescent="0.25">
      <c r="A10" s="18"/>
      <c r="B10" s="16"/>
      <c r="C10" s="18"/>
      <c r="D10" s="16"/>
      <c r="E10" s="18"/>
      <c r="F10" s="16"/>
      <c r="G10" s="18"/>
      <c r="H10" s="16"/>
      <c r="I10" s="18"/>
      <c r="J10" s="16"/>
      <c r="K10" s="18"/>
      <c r="L10" s="16"/>
      <c r="M10" s="18"/>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33" priority="2" stopIfTrue="1">
      <formula>NOT(ISERROR(A3))</formula>
    </cfRule>
  </conditionalFormatting>
  <conditionalFormatting sqref="A3:T51">
    <cfRule type="containsErrors" dxfId="532" priority="1" stopIfTrue="1">
      <formula>ISERROR(A3)</formula>
    </cfRule>
    <cfRule type="notContainsBlanks" dxfId="531" priority="3">
      <formula>LEN(TRIM(A3))&gt;0</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61EC6E-6C85-435B-ACAB-073E458B20F4}">
  <sheetPr codeName="Sheet4"/>
  <dimension ref="A1:T51"/>
  <sheetViews>
    <sheetView workbookViewId="0">
      <selection activeCell="Q3" sqref="Q3:Q2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8" t="s">
        <v>84</v>
      </c>
    </row>
    <row r="3" spans="1:20" ht="15.95" customHeight="1" x14ac:dyDescent="0.25">
      <c r="A3" s="17" t="s">
        <v>502</v>
      </c>
      <c r="B3" s="16" t="str">
        <f>TRIM(_xlfn.TEXTBEFORE(A3, ":"))</f>
        <v>Item Class</v>
      </c>
      <c r="C3" s="17" t="s">
        <v>1578</v>
      </c>
      <c r="D3" s="16" t="str">
        <f>TRIM(_xlfn.TEXTBEFORE(C3, ":"))</f>
        <v>Gegenstandsklasse</v>
      </c>
      <c r="E3" s="17" t="s">
        <v>2298</v>
      </c>
      <c r="F3" s="16" t="str">
        <f>TRIM(_xlfn.TEXTBEFORE(E3, ":"))</f>
        <v>Clase de objeto</v>
      </c>
      <c r="G3" s="17" t="s">
        <v>853</v>
      </c>
      <c r="H3" s="16" t="str">
        <f>TRIM(_xlfn.TEXTBEFORE(G3, ":"))</f>
        <v>Classe d'objet</v>
      </c>
      <c r="I3" s="17" t="s">
        <v>3008</v>
      </c>
      <c r="J3" s="16" t="str">
        <f>TRIM(_xlfn.TEXTBEFORE(I3, ":"))</f>
        <v>アイテムクラス</v>
      </c>
      <c r="K3" s="17" t="s">
        <v>3762</v>
      </c>
      <c r="L3" s="16" t="str">
        <f>TRIM(_xlfn.TEXTBEFORE(K3, ":"))</f>
        <v>아이템 종류</v>
      </c>
      <c r="M3" s="17" t="s">
        <v>4494</v>
      </c>
      <c r="N3" s="16" t="str">
        <f>TRIM(_xlfn.TEXTBEFORE(M3, ":"))</f>
        <v>Classe do Item</v>
      </c>
      <c r="O3" s="17" t="s">
        <v>5173</v>
      </c>
      <c r="P3" s="16" t="str">
        <f>TRIM(_xlfn.TEXTBEFORE(O3, ":"))</f>
        <v>Класс предмета</v>
      </c>
      <c r="Q3" s="17" t="s">
        <v>5918</v>
      </c>
      <c r="R3" s="16" t="str">
        <f>TRIM(_xlfn.TEXTBEFORE(Q3, ":"))</f>
        <v>ชนิดไอเทม</v>
      </c>
      <c r="S3" s="17"/>
      <c r="T3" s="20" t="e">
        <f>TRIM(_xlfn.TEXTBEFORE(S3, ":"))</f>
        <v>#N/A</v>
      </c>
    </row>
    <row r="4" spans="1:20" ht="15.95" customHeight="1" x14ac:dyDescent="0.25">
      <c r="A4" s="18" t="s">
        <v>503</v>
      </c>
      <c r="B4" s="16" t="str">
        <f>TRIM(_xlfn.TEXTAFTER(A3, ":"))</f>
        <v>Skill Gems</v>
      </c>
      <c r="C4" s="18" t="s">
        <v>1579</v>
      </c>
      <c r="D4" s="16" t="str">
        <f>TRIM(_xlfn.TEXTAFTER(C3, ":"))</f>
        <v>Fertigkeitengemmen</v>
      </c>
      <c r="E4" s="18" t="s">
        <v>2299</v>
      </c>
      <c r="F4" s="16" t="str">
        <f>TRIM(_xlfn.TEXTAFTER(E3, ":"))</f>
        <v>Gemas de habilidad</v>
      </c>
      <c r="G4" s="18" t="s">
        <v>854</v>
      </c>
      <c r="H4" s="16" t="str">
        <f>TRIM(_xlfn.TEXTAFTER(G3, ":"))</f>
        <v>Gemmes d'aptitude</v>
      </c>
      <c r="I4" s="18" t="s">
        <v>3009</v>
      </c>
      <c r="J4" s="16" t="str">
        <f>TRIM(_xlfn.TEXTAFTER(I3, ":"))</f>
        <v>スキルジェム</v>
      </c>
      <c r="K4" s="18" t="s">
        <v>3763</v>
      </c>
      <c r="L4" s="16" t="str">
        <f>TRIM(_xlfn.TEXTAFTER(K3, ":"))</f>
        <v>스킬 젬</v>
      </c>
      <c r="M4" s="18" t="s">
        <v>4495</v>
      </c>
      <c r="N4" s="16" t="str">
        <f>TRIM(_xlfn.TEXTAFTER(M3, ":"))</f>
        <v>Gemas de Habilidades</v>
      </c>
      <c r="O4" s="18" t="s">
        <v>5174</v>
      </c>
      <c r="P4" s="16" t="str">
        <f>TRIM(_xlfn.TEXTAFTER(O3, ":"))</f>
        <v>Камни умений</v>
      </c>
      <c r="Q4" s="18" t="s">
        <v>5919</v>
      </c>
      <c r="R4" s="16" t="str">
        <f>TRIM(_xlfn.TEXTAFTER(Q3, ":"))</f>
        <v>หินสกิล</v>
      </c>
      <c r="S4" s="18"/>
      <c r="T4" s="20" t="e">
        <f>TRIM(_xlfn.TEXTAFTER(S3, ":"))</f>
        <v>#N/A</v>
      </c>
    </row>
    <row r="5" spans="1:20" ht="15.95" customHeight="1" x14ac:dyDescent="0.25">
      <c r="A5" s="18" t="s">
        <v>596</v>
      </c>
      <c r="B5" s="16" t="str">
        <f>TRIM(_xlfn.TEXTBEFORE(A4, ":"))</f>
        <v>Rarity</v>
      </c>
      <c r="C5" s="18" t="s">
        <v>1599</v>
      </c>
      <c r="D5" s="16" t="str">
        <f>TRIM(_xlfn.TEXTBEFORE(C4, ":"))</f>
        <v>Seltenheit</v>
      </c>
      <c r="E5" s="18" t="s">
        <v>2300</v>
      </c>
      <c r="F5" s="16" t="str">
        <f>TRIM(_xlfn.TEXTBEFORE(E4, ":"))</f>
        <v>Rareza</v>
      </c>
      <c r="G5" s="18" t="s">
        <v>874</v>
      </c>
      <c r="H5" s="16" t="str">
        <f>TRIM(_xlfn.TEXTBEFORE(G4, ":"))</f>
        <v>Rareté</v>
      </c>
      <c r="I5" s="18" t="s">
        <v>3010</v>
      </c>
      <c r="J5" s="16" t="str">
        <f>TRIM(_xlfn.TEXTBEFORE(I4, ":"))</f>
        <v>レアリティ</v>
      </c>
      <c r="K5" s="18" t="s">
        <v>3764</v>
      </c>
      <c r="L5" s="16" t="str">
        <f>TRIM(_xlfn.TEXTBEFORE(K4, ":"))</f>
        <v>아이템 희귀도</v>
      </c>
      <c r="M5" s="18" t="s">
        <v>4496</v>
      </c>
      <c r="N5" s="16" t="str">
        <f>TRIM(_xlfn.TEXTBEFORE(M4, ":"))</f>
        <v>Raridade</v>
      </c>
      <c r="O5" s="18" t="s">
        <v>5175</v>
      </c>
      <c r="P5" s="16" t="str">
        <f>TRIM(_xlfn.TEXTBEFORE(O4, ":"))</f>
        <v>Редкость</v>
      </c>
      <c r="Q5" s="18" t="s">
        <v>5920</v>
      </c>
      <c r="R5" s="16" t="str">
        <f>TRIM(_xlfn.TEXTBEFORE(Q4, ":"))</f>
        <v>ความหายาก</v>
      </c>
      <c r="S5" s="18"/>
      <c r="T5" s="20" t="e">
        <f>TRIM(_xlfn.TEXTBEFORE(S4, ":"))</f>
        <v>#N/A</v>
      </c>
    </row>
    <row r="6" spans="1:20" ht="15.95" customHeight="1" x14ac:dyDescent="0.25">
      <c r="A6" s="18" t="s">
        <v>4</v>
      </c>
      <c r="B6" s="16" t="str">
        <f>TRIM(_xlfn.TEXTAFTER(A4,":"))</f>
        <v>Gem</v>
      </c>
      <c r="C6" s="18" t="s">
        <v>4</v>
      </c>
      <c r="D6" s="16" t="str">
        <f>TRIM(_xlfn.TEXTAFTER(C4,":"))</f>
        <v>Gemme</v>
      </c>
      <c r="E6" s="18" t="s">
        <v>4</v>
      </c>
      <c r="F6" s="16" t="str">
        <f>TRIM(_xlfn.TEXTAFTER(E4,":"))</f>
        <v>Gema</v>
      </c>
      <c r="G6" s="18" t="s">
        <v>4</v>
      </c>
      <c r="H6" s="16" t="str">
        <f>TRIM(_xlfn.TEXTAFTER(G4,":"))</f>
        <v>Gemme</v>
      </c>
      <c r="I6" s="18" t="s">
        <v>4</v>
      </c>
      <c r="J6" s="16" t="str">
        <f>TRIM(_xlfn.TEXTAFTER(I4,":"))</f>
        <v>ジェム</v>
      </c>
      <c r="K6" s="18" t="s">
        <v>4</v>
      </c>
      <c r="L6" s="16" t="str">
        <f>TRIM(_xlfn.TEXTAFTER(K4,":"))</f>
        <v>젬</v>
      </c>
      <c r="M6" s="18" t="s">
        <v>4</v>
      </c>
      <c r="N6" s="16" t="str">
        <f>TRIM(_xlfn.TEXTAFTER(M4,":"))</f>
        <v>Gema</v>
      </c>
      <c r="O6" s="18" t="s">
        <v>4</v>
      </c>
      <c r="P6" s="16" t="str">
        <f>TRIM(_xlfn.TEXTAFTER(O4,":"))</f>
        <v>Камень</v>
      </c>
      <c r="Q6" s="18" t="s">
        <v>4</v>
      </c>
      <c r="R6" s="16" t="str">
        <f>TRIM(_xlfn.TEXTAFTER(Q4,":"))</f>
        <v>หิน</v>
      </c>
      <c r="S6" s="18"/>
      <c r="T6" s="20" t="e">
        <f>TRIM(_xlfn.TEXTAFTER(S4,":"))</f>
        <v>#N/A</v>
      </c>
    </row>
    <row r="7" spans="1:20" ht="15.95" customHeight="1" x14ac:dyDescent="0.25">
      <c r="A7" s="18" t="s">
        <v>597</v>
      </c>
      <c r="B7" s="16" t="str">
        <f>TRIM(_xlfn.TEXTBEFORE(A5, " "))</f>
        <v>Anomalous</v>
      </c>
      <c r="C7" s="18" t="s">
        <v>1600</v>
      </c>
      <c r="D7" s="16" t="str">
        <f>TRIM(_xlfn.TEXTAFTER(C5, " ",-1 ))</f>
        <v>(anormal)</v>
      </c>
      <c r="E7" s="18" t="s">
        <v>2301</v>
      </c>
      <c r="F7" s="16" t="str">
        <f>TRIM(_xlfn.TEXTAFTER(E5, " ", -1))</f>
        <v>anómala</v>
      </c>
      <c r="G7" s="18" t="s">
        <v>875</v>
      </c>
      <c r="H7" s="16" t="s">
        <v>1576</v>
      </c>
      <c r="I7" s="18" t="s">
        <v>3011</v>
      </c>
      <c r="J7" s="16" t="s">
        <v>3027</v>
      </c>
      <c r="K7" s="18" t="s">
        <v>3765</v>
      </c>
      <c r="L7" s="16" t="s">
        <v>4491</v>
      </c>
      <c r="M7" s="18" t="s">
        <v>4497</v>
      </c>
      <c r="N7" s="16" t="str">
        <f>TRIM(_xlfn.TEXTBEFORE(M5, " "))</f>
        <v>Anômalo</v>
      </c>
      <c r="O7" s="18" t="s">
        <v>5176</v>
      </c>
      <c r="P7" s="16" t="str">
        <f>TRIM(_xlfn.TEXTBEFORE(O5, " "))</f>
        <v>Аномальный:</v>
      </c>
      <c r="Q7" s="18" t="s">
        <v>5921</v>
      </c>
      <c r="R7" s="16" t="str">
        <f>TRIM(_xlfn.TEXTBEFORE(Q5, " "))</f>
        <v>Anomalous</v>
      </c>
      <c r="S7" s="18"/>
      <c r="T7" s="20" t="e">
        <f>TRIM(_xlfn.TEXTBEFORE(S5, " "))</f>
        <v>#N/A</v>
      </c>
    </row>
    <row r="8" spans="1:20" ht="15.95" customHeight="1" x14ac:dyDescent="0.25">
      <c r="A8" s="18" t="s">
        <v>571</v>
      </c>
      <c r="B8" s="16"/>
      <c r="C8" s="18" t="s">
        <v>1601</v>
      </c>
      <c r="D8" s="16"/>
      <c r="E8" s="18" t="s">
        <v>2302</v>
      </c>
      <c r="F8" s="16"/>
      <c r="G8" s="18" t="s">
        <v>876</v>
      </c>
      <c r="H8" s="16"/>
      <c r="I8" s="18" t="s">
        <v>3012</v>
      </c>
      <c r="J8" s="16"/>
      <c r="K8" s="18" t="s">
        <v>3766</v>
      </c>
      <c r="L8" s="16"/>
      <c r="M8" s="18" t="s">
        <v>4498</v>
      </c>
      <c r="N8" s="16"/>
      <c r="O8" s="18" t="s">
        <v>5177</v>
      </c>
      <c r="P8" s="16"/>
      <c r="Q8" s="18" t="s">
        <v>5922</v>
      </c>
      <c r="R8" s="16"/>
      <c r="S8" s="18"/>
      <c r="T8" s="20"/>
    </row>
    <row r="9" spans="1:20" ht="15.95" customHeight="1" x14ac:dyDescent="0.25">
      <c r="A9" s="18" t="s">
        <v>598</v>
      </c>
      <c r="B9" s="16"/>
      <c r="C9" s="18" t="s">
        <v>1602</v>
      </c>
      <c r="D9" s="16"/>
      <c r="E9" s="18" t="s">
        <v>2303</v>
      </c>
      <c r="F9" s="16"/>
      <c r="G9" s="18" t="s">
        <v>877</v>
      </c>
      <c r="H9" s="16"/>
      <c r="I9" s="18" t="s">
        <v>3013</v>
      </c>
      <c r="J9" s="16"/>
      <c r="K9" s="18" t="s">
        <v>3767</v>
      </c>
      <c r="L9" s="16"/>
      <c r="M9" s="18" t="s">
        <v>4499</v>
      </c>
      <c r="N9" s="16"/>
      <c r="O9" s="18" t="s">
        <v>5178</v>
      </c>
      <c r="P9" s="16"/>
      <c r="Q9" s="18" t="s">
        <v>5923</v>
      </c>
      <c r="R9" s="16"/>
      <c r="S9" s="18"/>
      <c r="T9" s="20"/>
    </row>
    <row r="10" spans="1:20" ht="15.95" customHeight="1" x14ac:dyDescent="0.25">
      <c r="A10" s="18" t="s">
        <v>599</v>
      </c>
      <c r="B10" s="16"/>
      <c r="C10" s="18" t="s">
        <v>1603</v>
      </c>
      <c r="D10" s="16"/>
      <c r="E10" s="18" t="s">
        <v>2304</v>
      </c>
      <c r="F10" s="16"/>
      <c r="G10" s="18" t="s">
        <v>878</v>
      </c>
      <c r="H10" s="16"/>
      <c r="I10" s="18" t="s">
        <v>3014</v>
      </c>
      <c r="J10" s="16"/>
      <c r="K10" s="18" t="s">
        <v>3768</v>
      </c>
      <c r="L10" s="16"/>
      <c r="M10" s="18" t="s">
        <v>4500</v>
      </c>
      <c r="N10" s="16"/>
      <c r="O10" s="18" t="s">
        <v>5179</v>
      </c>
      <c r="P10" s="16"/>
      <c r="Q10" s="18" t="s">
        <v>5924</v>
      </c>
      <c r="R10" s="16"/>
      <c r="S10" s="18"/>
      <c r="T10" s="20"/>
    </row>
    <row r="11" spans="1:20" ht="15.95" customHeight="1" x14ac:dyDescent="0.25">
      <c r="A11" s="18" t="s">
        <v>600</v>
      </c>
      <c r="B11" s="16"/>
      <c r="C11" s="18" t="s">
        <v>1604</v>
      </c>
      <c r="D11" s="16"/>
      <c r="E11" s="18" t="s">
        <v>2305</v>
      </c>
      <c r="F11" s="16"/>
      <c r="G11" s="18" t="s">
        <v>879</v>
      </c>
      <c r="H11" s="16"/>
      <c r="I11" s="18" t="s">
        <v>3015</v>
      </c>
      <c r="J11" s="16"/>
      <c r="K11" s="18" t="s">
        <v>3769</v>
      </c>
      <c r="L11" s="16"/>
      <c r="M11" s="18" t="s">
        <v>4501</v>
      </c>
      <c r="N11" s="16"/>
      <c r="O11" s="18" t="s">
        <v>5180</v>
      </c>
      <c r="P11" s="16"/>
      <c r="Q11" s="18" t="s">
        <v>5925</v>
      </c>
      <c r="R11" s="16"/>
      <c r="S11" s="18"/>
      <c r="T11" s="20"/>
    </row>
    <row r="12" spans="1:20" ht="15.95" customHeight="1" x14ac:dyDescent="0.25">
      <c r="A12" s="18" t="s">
        <v>601</v>
      </c>
      <c r="B12" s="16"/>
      <c r="C12" s="18" t="s">
        <v>1587</v>
      </c>
      <c r="D12" s="16"/>
      <c r="E12" s="18" t="s">
        <v>2306</v>
      </c>
      <c r="F12" s="16"/>
      <c r="G12" s="18" t="s">
        <v>862</v>
      </c>
      <c r="H12" s="16"/>
      <c r="I12" s="18" t="s">
        <v>3016</v>
      </c>
      <c r="J12" s="16"/>
      <c r="K12" s="18" t="s">
        <v>3770</v>
      </c>
      <c r="L12" s="16"/>
      <c r="M12" s="18" t="s">
        <v>4502</v>
      </c>
      <c r="N12" s="16"/>
      <c r="O12" s="18" t="s">
        <v>5181</v>
      </c>
      <c r="P12" s="16"/>
      <c r="Q12" s="18" t="s">
        <v>5926</v>
      </c>
      <c r="R12" s="16"/>
      <c r="S12" s="18"/>
      <c r="T12" s="20"/>
    </row>
    <row r="13" spans="1:20" ht="15.95" customHeight="1" x14ac:dyDescent="0.25">
      <c r="A13" s="18" t="s">
        <v>572</v>
      </c>
      <c r="B13" s="16"/>
      <c r="C13" s="18" t="s">
        <v>1588</v>
      </c>
      <c r="D13" s="16"/>
      <c r="E13" s="18" t="s">
        <v>2307</v>
      </c>
      <c r="F13" s="16"/>
      <c r="G13" s="18" t="s">
        <v>863</v>
      </c>
      <c r="H13" s="16"/>
      <c r="I13" s="18" t="s">
        <v>3017</v>
      </c>
      <c r="J13" s="16"/>
      <c r="K13" s="18" t="s">
        <v>3771</v>
      </c>
      <c r="L13" s="16"/>
      <c r="M13" s="18" t="s">
        <v>4503</v>
      </c>
      <c r="N13" s="16"/>
      <c r="O13" s="18" t="s">
        <v>5182</v>
      </c>
      <c r="P13" s="16"/>
      <c r="Q13" s="18" t="s">
        <v>5927</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81</v>
      </c>
      <c r="B15" s="16"/>
      <c r="C15" s="18" t="s">
        <v>1589</v>
      </c>
      <c r="D15" s="16"/>
      <c r="E15" s="18" t="s">
        <v>2308</v>
      </c>
      <c r="F15" s="16"/>
      <c r="G15" s="18" t="s">
        <v>5</v>
      </c>
      <c r="H15" s="16"/>
      <c r="I15" s="18" t="s">
        <v>3018</v>
      </c>
      <c r="J15" s="16"/>
      <c r="K15" s="18" t="s">
        <v>3772</v>
      </c>
      <c r="L15" s="16"/>
      <c r="M15" s="18" t="s">
        <v>2308</v>
      </c>
      <c r="N15" s="16"/>
      <c r="O15" s="18" t="s">
        <v>5183</v>
      </c>
      <c r="P15" s="16"/>
      <c r="Q15" s="18" t="s">
        <v>5928</v>
      </c>
      <c r="R15" s="16"/>
      <c r="S15" s="18"/>
      <c r="T15" s="20"/>
    </row>
    <row r="16" spans="1:20" ht="15.95" customHeight="1" x14ac:dyDescent="0.25">
      <c r="A16" s="18" t="s">
        <v>573</v>
      </c>
      <c r="B16" s="16"/>
      <c r="C16" s="18" t="s">
        <v>1605</v>
      </c>
      <c r="D16" s="16"/>
      <c r="E16" s="18" t="s">
        <v>2309</v>
      </c>
      <c r="F16" s="16"/>
      <c r="G16" s="18" t="s">
        <v>880</v>
      </c>
      <c r="H16" s="16"/>
      <c r="I16" s="18" t="s">
        <v>3019</v>
      </c>
      <c r="J16" s="16"/>
      <c r="K16" s="18" t="s">
        <v>3773</v>
      </c>
      <c r="L16" s="16"/>
      <c r="M16" s="18" t="s">
        <v>4504</v>
      </c>
      <c r="N16" s="16"/>
      <c r="O16" s="18" t="s">
        <v>5184</v>
      </c>
      <c r="P16" s="16"/>
      <c r="Q16" s="18" t="s">
        <v>5929</v>
      </c>
      <c r="R16" s="16"/>
      <c r="S16" s="18"/>
      <c r="T16" s="20"/>
    </row>
    <row r="17" spans="1:20" ht="15.95" customHeight="1" x14ac:dyDescent="0.25">
      <c r="A17" s="18" t="s">
        <v>602</v>
      </c>
      <c r="B17" s="16"/>
      <c r="C17" s="18" t="s">
        <v>1606</v>
      </c>
      <c r="D17" s="16"/>
      <c r="E17" s="18" t="s">
        <v>2310</v>
      </c>
      <c r="F17" s="16"/>
      <c r="G17" s="18" t="s">
        <v>602</v>
      </c>
      <c r="H17" s="16"/>
      <c r="I17" s="18" t="s">
        <v>3020</v>
      </c>
      <c r="J17" s="16"/>
      <c r="K17" s="18" t="s">
        <v>3774</v>
      </c>
      <c r="L17" s="16"/>
      <c r="M17" s="18" t="s">
        <v>2310</v>
      </c>
      <c r="N17" s="16"/>
      <c r="O17" s="18" t="s">
        <v>5185</v>
      </c>
      <c r="P17" s="16"/>
      <c r="Q17" s="18" t="s">
        <v>602</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603</v>
      </c>
      <c r="B19" s="16"/>
      <c r="C19" s="18" t="s">
        <v>1607</v>
      </c>
      <c r="D19" s="16"/>
      <c r="E19" s="18" t="s">
        <v>2311</v>
      </c>
      <c r="F19" s="16"/>
      <c r="G19" s="18" t="s">
        <v>881</v>
      </c>
      <c r="H19" s="16"/>
      <c r="I19" s="18" t="s">
        <v>3021</v>
      </c>
      <c r="J19" s="16"/>
      <c r="K19" s="18" t="s">
        <v>3775</v>
      </c>
      <c r="L19" s="16"/>
      <c r="M19" s="18" t="s">
        <v>4505</v>
      </c>
      <c r="N19" s="16"/>
      <c r="O19" s="18" t="s">
        <v>5186</v>
      </c>
      <c r="P19" s="16"/>
      <c r="Q19" s="18" t="s">
        <v>5930</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604</v>
      </c>
      <c r="B21" s="16"/>
      <c r="C21" s="18" t="s">
        <v>1608</v>
      </c>
      <c r="D21" s="16"/>
      <c r="E21" s="18" t="s">
        <v>2312</v>
      </c>
      <c r="F21" s="16"/>
      <c r="G21" s="18" t="s">
        <v>882</v>
      </c>
      <c r="H21" s="16"/>
      <c r="I21" s="18" t="s">
        <v>3022</v>
      </c>
      <c r="J21" s="16"/>
      <c r="K21" s="18" t="s">
        <v>3776</v>
      </c>
      <c r="L21" s="16"/>
      <c r="M21" s="18" t="s">
        <v>4506</v>
      </c>
      <c r="N21" s="16"/>
      <c r="O21" s="18" t="s">
        <v>5187</v>
      </c>
      <c r="P21" s="16"/>
      <c r="Q21" s="18" t="s">
        <v>5931</v>
      </c>
      <c r="R21" s="16"/>
      <c r="S21" s="18"/>
      <c r="T21" s="20"/>
    </row>
    <row r="22" spans="1:20" ht="15.95" customHeight="1" x14ac:dyDescent="0.25">
      <c r="A22" s="18" t="s">
        <v>605</v>
      </c>
      <c r="B22" s="16"/>
      <c r="C22" s="18" t="s">
        <v>1609</v>
      </c>
      <c r="D22" s="16"/>
      <c r="E22" s="18" t="s">
        <v>2313</v>
      </c>
      <c r="F22" s="16"/>
      <c r="G22" s="18" t="s">
        <v>883</v>
      </c>
      <c r="H22" s="16"/>
      <c r="I22" s="18" t="s">
        <v>3023</v>
      </c>
      <c r="J22" s="16"/>
      <c r="K22" s="18" t="s">
        <v>3777</v>
      </c>
      <c r="L22" s="16"/>
      <c r="M22" s="18" t="s">
        <v>4507</v>
      </c>
      <c r="N22" s="16"/>
      <c r="O22" s="18" t="s">
        <v>5188</v>
      </c>
      <c r="P22" s="16"/>
      <c r="Q22" s="18" t="s">
        <v>5932</v>
      </c>
      <c r="R22" s="16"/>
      <c r="S22" s="18"/>
      <c r="T22" s="20"/>
    </row>
    <row r="23" spans="1:20" ht="15.95" customHeight="1" x14ac:dyDescent="0.25">
      <c r="A23" s="18" t="s">
        <v>606</v>
      </c>
      <c r="B23" s="16"/>
      <c r="C23" s="18" t="s">
        <v>1610</v>
      </c>
      <c r="D23" s="16"/>
      <c r="E23" s="18" t="s">
        <v>2314</v>
      </c>
      <c r="F23" s="16"/>
      <c r="G23" s="18" t="s">
        <v>884</v>
      </c>
      <c r="H23" s="16"/>
      <c r="I23" s="18" t="s">
        <v>3024</v>
      </c>
      <c r="J23" s="16"/>
      <c r="K23" s="18" t="s">
        <v>3778</v>
      </c>
      <c r="L23" s="16"/>
      <c r="M23" s="18" t="s">
        <v>4508</v>
      </c>
      <c r="N23" s="16"/>
      <c r="O23" s="18" t="s">
        <v>5189</v>
      </c>
      <c r="P23" s="16"/>
      <c r="Q23" s="18" t="s">
        <v>5933</v>
      </c>
      <c r="R23" s="16"/>
      <c r="S23" s="18"/>
      <c r="T23" s="20"/>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0"/>
    </row>
    <row r="25" spans="1:20" ht="15.95" customHeight="1" x14ac:dyDescent="0.25">
      <c r="A25" s="18" t="s">
        <v>504</v>
      </c>
      <c r="B25" s="16"/>
      <c r="C25" s="18" t="s">
        <v>1598</v>
      </c>
      <c r="D25" s="16"/>
      <c r="E25" s="18" t="s">
        <v>2315</v>
      </c>
      <c r="F25" s="16"/>
      <c r="G25" s="18" t="s">
        <v>873</v>
      </c>
      <c r="H25" s="16"/>
      <c r="I25" s="18" t="s">
        <v>3025</v>
      </c>
      <c r="J25" s="16"/>
      <c r="K25" s="18" t="s">
        <v>3779</v>
      </c>
      <c r="L25" s="16"/>
      <c r="M25" s="18" t="s">
        <v>4509</v>
      </c>
      <c r="N25" s="16"/>
      <c r="O25" s="18" t="s">
        <v>5190</v>
      </c>
      <c r="P25" s="16"/>
      <c r="Q25" s="18" t="s">
        <v>5934</v>
      </c>
      <c r="R25" s="16"/>
      <c r="S25" s="18"/>
      <c r="T25" s="20"/>
    </row>
    <row r="26" spans="1:20" ht="15.95" customHeight="1" x14ac:dyDescent="0.25">
      <c r="A26" s="18" t="s">
        <v>4</v>
      </c>
      <c r="B26" s="16"/>
      <c r="C26" s="18" t="s">
        <v>4</v>
      </c>
      <c r="D26" s="16"/>
      <c r="E26" s="18" t="s">
        <v>4</v>
      </c>
      <c r="F26" s="16"/>
      <c r="G26" s="18" t="s">
        <v>4</v>
      </c>
      <c r="H26" s="16"/>
      <c r="I26" s="18" t="s">
        <v>4</v>
      </c>
      <c r="J26" s="16"/>
      <c r="K26" s="18" t="s">
        <v>4</v>
      </c>
      <c r="L26" s="16"/>
      <c r="M26" s="18" t="s">
        <v>4</v>
      </c>
      <c r="N26" s="16"/>
      <c r="O26" s="18" t="s">
        <v>4</v>
      </c>
      <c r="P26" s="16"/>
      <c r="Q26" s="18" t="s">
        <v>4</v>
      </c>
      <c r="R26" s="16"/>
      <c r="S26" s="18"/>
      <c r="T26" s="20"/>
    </row>
    <row r="27" spans="1:20" ht="15.95" customHeight="1" x14ac:dyDescent="0.25">
      <c r="A27" s="18" t="s">
        <v>53</v>
      </c>
      <c r="B27" s="16" t="str">
        <f>A27</f>
        <v>Corrupted</v>
      </c>
      <c r="C27" s="18" t="s">
        <v>1611</v>
      </c>
      <c r="D27" s="16" t="str">
        <f>C27</f>
        <v>Verderbt</v>
      </c>
      <c r="E27" s="18" t="s">
        <v>2316</v>
      </c>
      <c r="F27" s="16" t="str">
        <f>E27</f>
        <v>Corrupto</v>
      </c>
      <c r="G27" s="18" t="s">
        <v>885</v>
      </c>
      <c r="H27" s="16" t="str">
        <f>G27</f>
        <v>Corrompu</v>
      </c>
      <c r="I27" s="18" t="s">
        <v>3026</v>
      </c>
      <c r="J27" s="16" t="str">
        <f t="shared" ref="J27" si="0">I27</f>
        <v>コラプト状態</v>
      </c>
      <c r="K27" s="18" t="s">
        <v>3780</v>
      </c>
      <c r="L27" s="16" t="str">
        <f>K27</f>
        <v>타락</v>
      </c>
      <c r="M27" s="18" t="s">
        <v>4510</v>
      </c>
      <c r="N27" s="16" t="str">
        <f>M27</f>
        <v>Corrompido</v>
      </c>
      <c r="O27" s="18" t="s">
        <v>5191</v>
      </c>
      <c r="P27" s="16" t="str">
        <f>O27</f>
        <v>Осквернено</v>
      </c>
      <c r="Q27" s="18" t="s">
        <v>5935</v>
      </c>
      <c r="R27" s="16" t="str">
        <f>Q27</f>
        <v>มีมลทิน</v>
      </c>
      <c r="S27" s="18"/>
      <c r="T27" s="20">
        <f>S27</f>
        <v>0</v>
      </c>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30" priority="64" stopIfTrue="1">
      <formula>NOT(ISERROR(A3))</formula>
    </cfRule>
  </conditionalFormatting>
  <conditionalFormatting sqref="A3:T6 A7 C7 E7 G7 I7 K7 M7 O7 Q7 S7 A8:T25 A26:I26 K26:T26 A27 C27 E27 G27 I27 K27 M27 O27 Q27 S27 A28:T51">
    <cfRule type="notContainsBlanks" dxfId="529" priority="65">
      <formula>LEN(TRIM(A3))&gt;0</formula>
    </cfRule>
  </conditionalFormatting>
  <conditionalFormatting sqref="A3:T51">
    <cfRule type="containsErrors" dxfId="528" priority="1" stopIfTrue="1">
      <formula>ISERROR(A3)</formula>
    </cfRule>
  </conditionalFormatting>
  <conditionalFormatting sqref="B7">
    <cfRule type="notContainsBlanks" dxfId="527" priority="62">
      <formula>LEN(TRIM(B7))&gt;0</formula>
    </cfRule>
  </conditionalFormatting>
  <conditionalFormatting sqref="B27">
    <cfRule type="notContainsBlanks" dxfId="526" priority="60">
      <formula>LEN(TRIM(B27))&gt;0</formula>
    </cfRule>
  </conditionalFormatting>
  <conditionalFormatting sqref="D7">
    <cfRule type="notContainsBlanks" dxfId="525" priority="40">
      <formula>LEN(TRIM(D7))&gt;0</formula>
    </cfRule>
  </conditionalFormatting>
  <conditionalFormatting sqref="D27">
    <cfRule type="notContainsBlanks" dxfId="524" priority="20">
      <formula>LEN(TRIM(D27))&gt;0</formula>
    </cfRule>
  </conditionalFormatting>
  <conditionalFormatting sqref="F7">
    <cfRule type="notContainsBlanks" dxfId="523" priority="38">
      <formula>LEN(TRIM(F7))&gt;0</formula>
    </cfRule>
  </conditionalFormatting>
  <conditionalFormatting sqref="F27">
    <cfRule type="notContainsBlanks" dxfId="522" priority="18">
      <formula>LEN(TRIM(F27))&gt;0</formula>
    </cfRule>
  </conditionalFormatting>
  <conditionalFormatting sqref="H7">
    <cfRule type="notContainsBlanks" dxfId="521" priority="2">
      <formula>LEN(TRIM(H7))&gt;0</formula>
    </cfRule>
  </conditionalFormatting>
  <conditionalFormatting sqref="H27">
    <cfRule type="notContainsBlanks" dxfId="520" priority="16">
      <formula>LEN(TRIM(H27))&gt;0</formula>
    </cfRule>
  </conditionalFormatting>
  <conditionalFormatting sqref="J7">
    <cfRule type="notContainsBlanks" dxfId="519" priority="34">
      <formula>LEN(TRIM(J7))&gt;0</formula>
    </cfRule>
  </conditionalFormatting>
  <conditionalFormatting sqref="J26:J27">
    <cfRule type="notContainsBlanks" dxfId="518" priority="14">
      <formula>LEN(TRIM(J26))&gt;0</formula>
    </cfRule>
  </conditionalFormatting>
  <conditionalFormatting sqref="L7">
    <cfRule type="notContainsBlanks" dxfId="517" priority="32">
      <formula>LEN(TRIM(L7))&gt;0</formula>
    </cfRule>
  </conditionalFormatting>
  <conditionalFormatting sqref="L27">
    <cfRule type="notContainsBlanks" dxfId="516" priority="12">
      <formula>LEN(TRIM(L27))&gt;0</formula>
    </cfRule>
  </conditionalFormatting>
  <conditionalFormatting sqref="N7">
    <cfRule type="notContainsBlanks" dxfId="515" priority="30">
      <formula>LEN(TRIM(N7))&gt;0</formula>
    </cfRule>
  </conditionalFormatting>
  <conditionalFormatting sqref="N27">
    <cfRule type="notContainsBlanks" dxfId="514" priority="10">
      <formula>LEN(TRIM(N27))&gt;0</formula>
    </cfRule>
  </conditionalFormatting>
  <conditionalFormatting sqref="P7">
    <cfRule type="notContainsBlanks" dxfId="513" priority="28">
      <formula>LEN(TRIM(P7))&gt;0</formula>
    </cfRule>
  </conditionalFormatting>
  <conditionalFormatting sqref="P27">
    <cfRule type="notContainsBlanks" dxfId="512" priority="8">
      <formula>LEN(TRIM(P27))&gt;0</formula>
    </cfRule>
  </conditionalFormatting>
  <conditionalFormatting sqref="R7">
    <cfRule type="notContainsBlanks" dxfId="511" priority="26">
      <formula>LEN(TRIM(R7))&gt;0</formula>
    </cfRule>
  </conditionalFormatting>
  <conditionalFormatting sqref="R27">
    <cfRule type="notContainsBlanks" dxfId="510" priority="6">
      <formula>LEN(TRIM(R27))&gt;0</formula>
    </cfRule>
  </conditionalFormatting>
  <conditionalFormatting sqref="T7">
    <cfRule type="notContainsBlanks" dxfId="509" priority="22">
      <formula>LEN(TRIM(T7))&gt;0</formula>
    </cfRule>
  </conditionalFormatting>
  <conditionalFormatting sqref="T27">
    <cfRule type="notContainsBlanks" dxfId="508" priority="4">
      <formula>LEN(TRIM(T27))&gt;0</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28012D-6808-40ED-823C-6FEB4AAFF296}">
  <sheetPr codeName="Sheet5"/>
  <dimension ref="A1:T51"/>
  <sheetViews>
    <sheetView workbookViewId="0">
      <selection activeCell="R7" sqref="R7"/>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9" t="s">
        <v>84</v>
      </c>
    </row>
    <row r="3" spans="1:20" ht="15.95" customHeight="1" x14ac:dyDescent="0.25">
      <c r="A3" s="17" t="s">
        <v>505</v>
      </c>
      <c r="B3" s="16" t="str">
        <f>TRIM(_xlfn.TEXTBEFORE(A3, ":"))</f>
        <v>Item Class</v>
      </c>
      <c r="C3" s="17" t="s">
        <v>1612</v>
      </c>
      <c r="D3" s="16" t="str">
        <f>TRIM(_xlfn.TEXTBEFORE(C3, ":"))</f>
        <v>Gegenstandsklasse</v>
      </c>
      <c r="E3" s="17" t="s">
        <v>2317</v>
      </c>
      <c r="F3" s="16" t="str">
        <f>TRIM(_xlfn.TEXTBEFORE(E3, ":"))</f>
        <v>Clase de objeto</v>
      </c>
      <c r="G3" s="17" t="s">
        <v>886</v>
      </c>
      <c r="H3" s="16" t="str">
        <f>TRIM(_xlfn.TEXTBEFORE(G3, ":"))</f>
        <v>Classe d'objet</v>
      </c>
      <c r="I3" s="17" t="s">
        <v>3028</v>
      </c>
      <c r="J3" s="16" t="str">
        <f>TRIM(_xlfn.TEXTBEFORE(I3, ":"))</f>
        <v>アイテムクラス</v>
      </c>
      <c r="K3" s="17" t="s">
        <v>3781</v>
      </c>
      <c r="L3" s="16" t="str">
        <f>TRIM(_xlfn.TEXTBEFORE(K3, ":"))</f>
        <v>아이템 종류</v>
      </c>
      <c r="M3" s="17" t="s">
        <v>4511</v>
      </c>
      <c r="N3" s="16" t="str">
        <f>TRIM(_xlfn.TEXTBEFORE(M3, ":"))</f>
        <v>Classe do Item</v>
      </c>
      <c r="O3" s="17" t="s">
        <v>5192</v>
      </c>
      <c r="P3" s="16" t="str">
        <f>TRIM(_xlfn.TEXTBEFORE(O3, ":"))</f>
        <v>Класс предмета</v>
      </c>
      <c r="Q3" s="17" t="s">
        <v>5936</v>
      </c>
      <c r="R3" s="16" t="str">
        <f>TRIM(_xlfn.TEXTBEFORE(Q3, ":"))</f>
        <v>ชนิดไอเทม</v>
      </c>
      <c r="S3" s="17"/>
      <c r="T3" s="16" t="e">
        <f>TRIM(_xlfn.TEXTBEFORE(S3, ":"))</f>
        <v>#N/A</v>
      </c>
    </row>
    <row r="4" spans="1:20" ht="15.95" customHeight="1" x14ac:dyDescent="0.25">
      <c r="A4" s="18" t="s">
        <v>503</v>
      </c>
      <c r="B4" s="16" t="str">
        <f>TRIM(_xlfn.TEXTAFTER(A3, ":"))</f>
        <v>Support Gems</v>
      </c>
      <c r="C4" s="18" t="s">
        <v>1579</v>
      </c>
      <c r="D4" s="16" t="str">
        <f>TRIM(_xlfn.TEXTAFTER(C3, ":"))</f>
        <v>Unterstützungsgemmen</v>
      </c>
      <c r="E4" s="18" t="s">
        <v>2299</v>
      </c>
      <c r="F4" s="16" t="str">
        <f>TRIM(_xlfn.TEXTAFTER(E3, ":"))</f>
        <v>Gemas de asistencia</v>
      </c>
      <c r="G4" s="18" t="s">
        <v>854</v>
      </c>
      <c r="H4" s="16" t="str">
        <f>TRIM(_xlfn.TEXTAFTER(G3, ":"))</f>
        <v>Gemmes de soutien</v>
      </c>
      <c r="I4" s="18" t="s">
        <v>3009</v>
      </c>
      <c r="J4" s="16" t="str">
        <f>TRIM(_xlfn.TEXTAFTER(I3, ":"))</f>
        <v>サポートジェム</v>
      </c>
      <c r="K4" s="18" t="s">
        <v>3763</v>
      </c>
      <c r="L4" s="16" t="str">
        <f>TRIM(_xlfn.TEXTAFTER(K3, ":"))</f>
        <v>보조 젬</v>
      </c>
      <c r="M4" s="18" t="s">
        <v>4495</v>
      </c>
      <c r="N4" s="16" t="str">
        <f>TRIM(_xlfn.TEXTAFTER(M3, ":"))</f>
        <v>Gemas de Suporte</v>
      </c>
      <c r="O4" s="18" t="s">
        <v>5174</v>
      </c>
      <c r="P4" s="16" t="str">
        <f>TRIM(_xlfn.TEXTAFTER(O3, ":"))</f>
        <v>Камни поддержки</v>
      </c>
      <c r="Q4" s="18" t="s">
        <v>5919</v>
      </c>
      <c r="R4" s="16" t="str">
        <f>TRIM(_xlfn.TEXTAFTER(Q3, ":"))</f>
        <v>หินเสริม</v>
      </c>
      <c r="S4" s="18"/>
      <c r="T4" s="16" t="e">
        <f>TRIM(_xlfn.TEXTAFTER(S3, ":"))</f>
        <v>#N/A</v>
      </c>
    </row>
    <row r="5" spans="1:20" ht="15.95" customHeight="1" x14ac:dyDescent="0.25">
      <c r="A5" s="18" t="s">
        <v>569</v>
      </c>
      <c r="B5" s="16" t="str">
        <f>TRIM(_xlfn.TEXTBEFORE(A4, ":"))</f>
        <v>Rarity</v>
      </c>
      <c r="C5" s="18" t="s">
        <v>1613</v>
      </c>
      <c r="D5" s="16" t="str">
        <f>TRIM(_xlfn.TEXTBEFORE(C4, ":"))</f>
        <v>Seltenheit</v>
      </c>
      <c r="E5" s="18" t="s">
        <v>2318</v>
      </c>
      <c r="F5" s="16" t="str">
        <f>TRIM(_xlfn.TEXTBEFORE(E4, ":"))</f>
        <v>Rareza</v>
      </c>
      <c r="G5" s="18" t="s">
        <v>887</v>
      </c>
      <c r="H5" s="16" t="str">
        <f>TRIM(_xlfn.TEXTBEFORE(G4, ":"))</f>
        <v>Rareté</v>
      </c>
      <c r="I5" s="18" t="s">
        <v>3029</v>
      </c>
      <c r="J5" s="16" t="str">
        <f>TRIM(_xlfn.TEXTBEFORE(I4, ":"))</f>
        <v>レアリティ</v>
      </c>
      <c r="K5" s="18" t="s">
        <v>3782</v>
      </c>
      <c r="L5" s="16" t="str">
        <f>TRIM(_xlfn.TEXTBEFORE(K4, ":"))</f>
        <v>아이템 희귀도</v>
      </c>
      <c r="M5" s="18" t="s">
        <v>4512</v>
      </c>
      <c r="N5" s="16" t="str">
        <f>TRIM(_xlfn.TEXTBEFORE(M4, ":"))</f>
        <v>Raridade</v>
      </c>
      <c r="O5" s="18" t="s">
        <v>5193</v>
      </c>
      <c r="P5" s="16" t="str">
        <f>TRIM(_xlfn.TEXTBEFORE(O4, ":"))</f>
        <v>Редкость</v>
      </c>
      <c r="Q5" s="18" t="s">
        <v>5937</v>
      </c>
      <c r="R5" s="16" t="str">
        <f>TRIM(_xlfn.TEXTBEFORE(Q4, ":"))</f>
        <v>ความหายาก</v>
      </c>
      <c r="S5" s="18"/>
      <c r="T5" s="16" t="e">
        <f>TRIM(_xlfn.TEXTBEFORE(S4, ":"))</f>
        <v>#N/A</v>
      </c>
    </row>
    <row r="6" spans="1:20" ht="15.95" customHeight="1" x14ac:dyDescent="0.25">
      <c r="A6" s="18" t="s">
        <v>4</v>
      </c>
      <c r="B6" s="16" t="str">
        <f>TRIM(_xlfn.TEXTAFTER(A4,":"))</f>
        <v>Gem</v>
      </c>
      <c r="C6" s="18" t="s">
        <v>4</v>
      </c>
      <c r="D6" s="16" t="str">
        <f>TRIM(_xlfn.TEXTAFTER(C4,":"))</f>
        <v>Gemme</v>
      </c>
      <c r="E6" s="18" t="s">
        <v>4</v>
      </c>
      <c r="F6" s="16" t="str">
        <f>TRIM(_xlfn.TEXTAFTER(E4,":"))</f>
        <v>Gema</v>
      </c>
      <c r="G6" s="18" t="s">
        <v>4</v>
      </c>
      <c r="H6" s="16" t="str">
        <f>TRIM(_xlfn.TEXTAFTER(G4,":"))</f>
        <v>Gemme</v>
      </c>
      <c r="I6" s="18" t="s">
        <v>4</v>
      </c>
      <c r="J6" s="16" t="str">
        <f>TRIM(_xlfn.TEXTAFTER(I4,":"))</f>
        <v>ジェム</v>
      </c>
      <c r="K6" s="18" t="s">
        <v>4</v>
      </c>
      <c r="L6" s="16" t="str">
        <f>TRIM(_xlfn.TEXTAFTER(K4,":"))</f>
        <v>젬</v>
      </c>
      <c r="M6" s="18" t="s">
        <v>4</v>
      </c>
      <c r="N6" s="16" t="str">
        <f>TRIM(_xlfn.TEXTAFTER(M4,":"))</f>
        <v>Gema</v>
      </c>
      <c r="O6" s="18" t="s">
        <v>4</v>
      </c>
      <c r="P6" s="16" t="str">
        <f>TRIM(_xlfn.TEXTAFTER(O4,":"))</f>
        <v>Камень</v>
      </c>
      <c r="Q6" s="18" t="s">
        <v>4</v>
      </c>
      <c r="R6" s="16" t="str">
        <f>TRIM(_xlfn.TEXTAFTER(Q4,":"))</f>
        <v>หิน</v>
      </c>
      <c r="S6" s="18"/>
      <c r="T6" s="16" t="e">
        <f>TRIM(_xlfn.TEXTAFTER(S4,":"))</f>
        <v>#N/A</v>
      </c>
    </row>
    <row r="7" spans="1:20" ht="15.95" customHeight="1" x14ac:dyDescent="0.25">
      <c r="A7" s="18" t="s">
        <v>570</v>
      </c>
      <c r="B7" s="16" t="str">
        <f>TRIM(_xlfn.TEXTBEFORE(A5, " "))</f>
        <v>Divergent</v>
      </c>
      <c r="C7" s="18" t="s">
        <v>1614</v>
      </c>
      <c r="D7" s="16" t="str">
        <f>TRIM(_xlfn.TEXTAFTER(C5, " ",-1 ))</f>
        <v>(abweichend)</v>
      </c>
      <c r="E7" s="18" t="s">
        <v>2319</v>
      </c>
      <c r="F7" s="16" t="str">
        <f>TRIM(_xlfn.TEXTAFTER(E5, " ", -1))</f>
        <v>divergente</v>
      </c>
      <c r="G7" s="18" t="s">
        <v>888</v>
      </c>
      <c r="H7" s="16" t="s">
        <v>1575</v>
      </c>
      <c r="I7" s="18" t="s">
        <v>3030</v>
      </c>
      <c r="J7" s="16" t="s">
        <v>3042</v>
      </c>
      <c r="K7" s="18" t="s">
        <v>3783</v>
      </c>
      <c r="L7" s="16" t="s">
        <v>4492</v>
      </c>
      <c r="M7" s="18" t="s">
        <v>4513</v>
      </c>
      <c r="N7" s="16" t="str">
        <f>TRIM(_xlfn.TEXTBEFORE(M5, " "))</f>
        <v>Divergente</v>
      </c>
      <c r="O7" s="18" t="s">
        <v>5194</v>
      </c>
      <c r="P7" s="16" t="str">
        <f>TRIM(_xlfn.TEXTBEFORE(O5, " "))</f>
        <v>Искривлённый:</v>
      </c>
      <c r="Q7" s="18" t="s">
        <v>5938</v>
      </c>
      <c r="R7" s="16" t="str">
        <f>TRIM(_xlfn.TEXTBEFORE(Q5, " "))</f>
        <v>Divergent</v>
      </c>
      <c r="S7" s="18"/>
      <c r="T7" s="16" t="e">
        <f>TRIM(_xlfn.TEXTBEFORE(S5, " "))</f>
        <v>#N/A</v>
      </c>
    </row>
    <row r="8" spans="1:20" ht="15.95" customHeight="1" x14ac:dyDescent="0.25">
      <c r="A8" s="18" t="s">
        <v>571</v>
      </c>
      <c r="B8" s="16"/>
      <c r="C8" s="18" t="s">
        <v>1601</v>
      </c>
      <c r="D8" s="16"/>
      <c r="E8" s="18" t="s">
        <v>2302</v>
      </c>
      <c r="F8" s="16"/>
      <c r="G8" s="18" t="s">
        <v>876</v>
      </c>
      <c r="H8" s="16"/>
      <c r="I8" s="18" t="s">
        <v>3012</v>
      </c>
      <c r="J8" s="16"/>
      <c r="K8" s="18" t="s">
        <v>3766</v>
      </c>
      <c r="L8" s="16"/>
      <c r="M8" s="18" t="s">
        <v>4498</v>
      </c>
      <c r="N8" s="16"/>
      <c r="O8" s="18" t="s">
        <v>5177</v>
      </c>
      <c r="P8" s="16"/>
      <c r="Q8" s="18" t="s">
        <v>5922</v>
      </c>
      <c r="R8" s="16"/>
      <c r="S8" s="18"/>
      <c r="T8" s="16"/>
    </row>
    <row r="9" spans="1:20" ht="15.95" customHeight="1" x14ac:dyDescent="0.25">
      <c r="A9" s="18" t="s">
        <v>471</v>
      </c>
      <c r="B9" s="16"/>
      <c r="C9" s="18" t="s">
        <v>1615</v>
      </c>
      <c r="D9" s="16"/>
      <c r="E9" s="18" t="s">
        <v>2320</v>
      </c>
      <c r="F9" s="16"/>
      <c r="G9" s="18" t="s">
        <v>889</v>
      </c>
      <c r="H9" s="16"/>
      <c r="I9" s="18" t="s">
        <v>3031</v>
      </c>
      <c r="J9" s="16"/>
      <c r="K9" s="18" t="s">
        <v>3784</v>
      </c>
      <c r="L9" s="16"/>
      <c r="M9" s="18" t="s">
        <v>4514</v>
      </c>
      <c r="N9" s="16"/>
      <c r="O9" s="18" t="s">
        <v>5195</v>
      </c>
      <c r="P9" s="16"/>
      <c r="Q9" s="18" t="s">
        <v>5939</v>
      </c>
      <c r="R9" s="16"/>
      <c r="S9" s="18"/>
      <c r="T9" s="16"/>
    </row>
    <row r="10" spans="1:20" ht="15.95" customHeight="1" x14ac:dyDescent="0.25">
      <c r="A10" s="18" t="s">
        <v>572</v>
      </c>
      <c r="B10" s="16" t="str">
        <f>A10</f>
        <v>Alternate Quality</v>
      </c>
      <c r="C10" s="18" t="s">
        <v>1588</v>
      </c>
      <c r="D10" s="16" t="str">
        <f>C10</f>
        <v>Alternative Qualität</v>
      </c>
      <c r="E10" s="18" t="s">
        <v>2307</v>
      </c>
      <c r="F10" s="16" t="str">
        <f>E10</f>
        <v>Calidad alternativa</v>
      </c>
      <c r="G10" s="18" t="s">
        <v>863</v>
      </c>
      <c r="H10" s="16" t="str">
        <f>G10</f>
        <v>Qualité alternative</v>
      </c>
      <c r="I10" s="18" t="s">
        <v>3017</v>
      </c>
      <c r="J10" s="16" t="str">
        <f>I10</f>
        <v>代替品質</v>
      </c>
      <c r="K10" s="18" t="s">
        <v>3771</v>
      </c>
      <c r="L10" s="16" t="str">
        <f>K10</f>
        <v>대체 퀄리티</v>
      </c>
      <c r="M10" s="18" t="s">
        <v>4503</v>
      </c>
      <c r="N10" s="16" t="str">
        <f>M10</f>
        <v>Qualidade Alternativa</v>
      </c>
      <c r="O10" s="18" t="s">
        <v>5182</v>
      </c>
      <c r="P10" s="16" t="str">
        <f>O10</f>
        <v>Изменённый эффект качества</v>
      </c>
      <c r="Q10" s="18" t="s">
        <v>5927</v>
      </c>
      <c r="R10" s="16" t="str">
        <f>Q10</f>
        <v>ค่าคุณภาพแบบพิเศษ</v>
      </c>
      <c r="S10" s="18"/>
      <c r="T10" s="16">
        <f>S10</f>
        <v>0</v>
      </c>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5.95" customHeight="1" x14ac:dyDescent="0.25">
      <c r="A12" s="18" t="s">
        <v>81</v>
      </c>
      <c r="B12" s="16"/>
      <c r="C12" s="18" t="s">
        <v>1589</v>
      </c>
      <c r="D12" s="16"/>
      <c r="E12" s="18" t="s">
        <v>2308</v>
      </c>
      <c r="F12" s="16"/>
      <c r="G12" s="18" t="s">
        <v>5</v>
      </c>
      <c r="H12" s="16"/>
      <c r="I12" s="18" t="s">
        <v>3018</v>
      </c>
      <c r="J12" s="16"/>
      <c r="K12" s="18" t="s">
        <v>3772</v>
      </c>
      <c r="L12" s="16"/>
      <c r="M12" s="18" t="s">
        <v>2308</v>
      </c>
      <c r="N12" s="16"/>
      <c r="O12" s="18" t="s">
        <v>5183</v>
      </c>
      <c r="P12" s="16"/>
      <c r="Q12" s="18" t="s">
        <v>5928</v>
      </c>
      <c r="R12" s="16"/>
      <c r="S12" s="18"/>
      <c r="T12" s="21"/>
    </row>
    <row r="13" spans="1:20" ht="15.95" customHeight="1" x14ac:dyDescent="0.25">
      <c r="A13" s="18" t="s">
        <v>573</v>
      </c>
      <c r="B13" s="16"/>
      <c r="C13" s="18" t="s">
        <v>1605</v>
      </c>
      <c r="D13" s="16"/>
      <c r="E13" s="18" t="s">
        <v>2309</v>
      </c>
      <c r="F13" s="16"/>
      <c r="G13" s="18" t="s">
        <v>880</v>
      </c>
      <c r="H13" s="16"/>
      <c r="I13" s="18" t="s">
        <v>3019</v>
      </c>
      <c r="J13" s="16"/>
      <c r="K13" s="18" t="s">
        <v>3773</v>
      </c>
      <c r="L13" s="16"/>
      <c r="M13" s="18" t="s">
        <v>4504</v>
      </c>
      <c r="N13" s="16"/>
      <c r="O13" s="18" t="s">
        <v>5184</v>
      </c>
      <c r="P13" s="16"/>
      <c r="Q13" s="18" t="s">
        <v>5929</v>
      </c>
      <c r="R13" s="16"/>
      <c r="S13" s="18"/>
      <c r="T13" s="21"/>
    </row>
    <row r="14" spans="1:20" ht="15.95" customHeight="1" x14ac:dyDescent="0.25">
      <c r="A14" s="18" t="s">
        <v>574</v>
      </c>
      <c r="B14" s="16"/>
      <c r="C14" s="18" t="s">
        <v>574</v>
      </c>
      <c r="D14" s="16"/>
      <c r="E14" s="18" t="s">
        <v>2321</v>
      </c>
      <c r="F14" s="16"/>
      <c r="G14" s="18" t="s">
        <v>890</v>
      </c>
      <c r="H14" s="16"/>
      <c r="I14" s="18" t="s">
        <v>3032</v>
      </c>
      <c r="J14" s="16"/>
      <c r="K14" s="18" t="s">
        <v>3785</v>
      </c>
      <c r="L14" s="16"/>
      <c r="M14" s="18" t="s">
        <v>890</v>
      </c>
      <c r="N14" s="16"/>
      <c r="O14" s="18" t="s">
        <v>5196</v>
      </c>
      <c r="P14" s="16"/>
      <c r="Q14" s="18" t="s">
        <v>574</v>
      </c>
      <c r="R14" s="16"/>
      <c r="S14" s="18"/>
      <c r="T14" s="21"/>
    </row>
    <row r="15" spans="1:20" ht="15.95" customHeight="1" x14ac:dyDescent="0.25">
      <c r="A15" s="18" t="s">
        <v>575</v>
      </c>
      <c r="B15" s="16"/>
      <c r="C15" s="18" t="s">
        <v>575</v>
      </c>
      <c r="D15" s="16"/>
      <c r="E15" s="18" t="s">
        <v>575</v>
      </c>
      <c r="F15" s="16"/>
      <c r="G15" s="18" t="s">
        <v>575</v>
      </c>
      <c r="H15" s="16"/>
      <c r="I15" s="18" t="s">
        <v>3033</v>
      </c>
      <c r="J15" s="16"/>
      <c r="K15" s="18" t="s">
        <v>3786</v>
      </c>
      <c r="L15" s="16"/>
      <c r="M15" s="18" t="s">
        <v>575</v>
      </c>
      <c r="N15" s="16"/>
      <c r="O15" s="18" t="s">
        <v>5197</v>
      </c>
      <c r="P15" s="16"/>
      <c r="Q15" s="18" t="s">
        <v>575</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576</v>
      </c>
      <c r="B17" s="16"/>
      <c r="C17" s="18" t="s">
        <v>1616</v>
      </c>
      <c r="D17" s="16"/>
      <c r="E17" s="18" t="s">
        <v>2322</v>
      </c>
      <c r="F17" s="16"/>
      <c r="G17" s="18" t="s">
        <v>891</v>
      </c>
      <c r="H17" s="16"/>
      <c r="I17" s="18" t="s">
        <v>3034</v>
      </c>
      <c r="J17" s="16"/>
      <c r="K17" s="18" t="s">
        <v>3787</v>
      </c>
      <c r="L17" s="16"/>
      <c r="M17" s="18" t="s">
        <v>4515</v>
      </c>
      <c r="N17" s="16"/>
      <c r="O17" s="18" t="s">
        <v>5198</v>
      </c>
      <c r="P17" s="16"/>
      <c r="Q17" s="18" t="s">
        <v>5940</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577</v>
      </c>
      <c r="B19" s="16"/>
      <c r="C19" s="18" t="s">
        <v>1617</v>
      </c>
      <c r="D19" s="16"/>
      <c r="E19" s="18" t="s">
        <v>2323</v>
      </c>
      <c r="F19" s="16"/>
      <c r="G19" s="18" t="s">
        <v>892</v>
      </c>
      <c r="H19" s="16"/>
      <c r="I19" s="18" t="s">
        <v>3035</v>
      </c>
      <c r="J19" s="16"/>
      <c r="K19" s="18" t="s">
        <v>3788</v>
      </c>
      <c r="L19" s="16"/>
      <c r="M19" s="18" t="s">
        <v>4516</v>
      </c>
      <c r="N19" s="16"/>
      <c r="O19" s="18" t="s">
        <v>5199</v>
      </c>
      <c r="P19" s="16"/>
      <c r="Q19" s="18" t="s">
        <v>5941</v>
      </c>
      <c r="R19" s="16"/>
      <c r="S19" s="18"/>
      <c r="T19" s="21"/>
    </row>
    <row r="20" spans="1:20" ht="15.95" customHeight="1" x14ac:dyDescent="0.25">
      <c r="A20" s="18" t="s">
        <v>578</v>
      </c>
      <c r="B20" s="16"/>
      <c r="C20" s="18" t="s">
        <v>1618</v>
      </c>
      <c r="D20" s="16"/>
      <c r="E20" s="18" t="s">
        <v>2324</v>
      </c>
      <c r="F20" s="16"/>
      <c r="G20" s="18" t="s">
        <v>893</v>
      </c>
      <c r="H20" s="16"/>
      <c r="I20" s="18" t="s">
        <v>3036</v>
      </c>
      <c r="J20" s="16"/>
      <c r="K20" s="18" t="s">
        <v>3789</v>
      </c>
      <c r="L20" s="16"/>
      <c r="M20" s="18" t="s">
        <v>4517</v>
      </c>
      <c r="N20" s="16"/>
      <c r="O20" s="18" t="s">
        <v>5200</v>
      </c>
      <c r="P20" s="16"/>
      <c r="Q20" s="18" t="s">
        <v>5942</v>
      </c>
      <c r="R20" s="16"/>
      <c r="S20" s="18"/>
      <c r="T20" s="21"/>
    </row>
    <row r="21" spans="1:20" ht="15.95" customHeight="1" x14ac:dyDescent="0.25">
      <c r="A21" s="18" t="s">
        <v>579</v>
      </c>
      <c r="B21" s="16"/>
      <c r="C21" s="18" t="s">
        <v>1619</v>
      </c>
      <c r="D21" s="16"/>
      <c r="E21" s="18" t="s">
        <v>2325</v>
      </c>
      <c r="F21" s="16"/>
      <c r="G21" s="18" t="s">
        <v>894</v>
      </c>
      <c r="H21" s="16"/>
      <c r="I21" s="18" t="s">
        <v>3037</v>
      </c>
      <c r="J21" s="16"/>
      <c r="K21" s="18" t="s">
        <v>3790</v>
      </c>
      <c r="L21" s="16"/>
      <c r="M21" s="18" t="s">
        <v>4518</v>
      </c>
      <c r="N21" s="16"/>
      <c r="O21" s="18" t="s">
        <v>5201</v>
      </c>
      <c r="P21" s="16"/>
      <c r="Q21" s="18" t="s">
        <v>5943</v>
      </c>
      <c r="R21" s="16"/>
      <c r="S21" s="18"/>
      <c r="T21" s="21"/>
    </row>
    <row r="22" spans="1:20" ht="15.95" customHeight="1" x14ac:dyDescent="0.25">
      <c r="A22" s="18" t="s">
        <v>580</v>
      </c>
      <c r="B22" s="16"/>
      <c r="C22" s="18" t="s">
        <v>1620</v>
      </c>
      <c r="D22" s="16"/>
      <c r="E22" s="18" t="s">
        <v>2326</v>
      </c>
      <c r="F22" s="16"/>
      <c r="G22" s="18" t="s">
        <v>895</v>
      </c>
      <c r="H22" s="16"/>
      <c r="I22" s="18" t="s">
        <v>3038</v>
      </c>
      <c r="J22" s="16"/>
      <c r="K22" s="18" t="s">
        <v>3791</v>
      </c>
      <c r="L22" s="16"/>
      <c r="M22" s="18" t="s">
        <v>4519</v>
      </c>
      <c r="N22" s="16"/>
      <c r="O22" s="18" t="s">
        <v>5202</v>
      </c>
      <c r="P22" s="16"/>
      <c r="Q22" s="18" t="s">
        <v>5944</v>
      </c>
      <c r="R22" s="16"/>
      <c r="S22" s="18"/>
      <c r="T22" s="21"/>
    </row>
    <row r="23" spans="1:20" ht="15.95" customHeight="1" x14ac:dyDescent="0.25">
      <c r="A23" s="18" t="s">
        <v>581</v>
      </c>
      <c r="B23" s="16"/>
      <c r="C23" s="18" t="s">
        <v>1621</v>
      </c>
      <c r="D23" s="16"/>
      <c r="E23" s="18" t="s">
        <v>2327</v>
      </c>
      <c r="F23" s="16"/>
      <c r="G23" s="18" t="s">
        <v>896</v>
      </c>
      <c r="H23" s="16"/>
      <c r="I23" s="18" t="s">
        <v>3039</v>
      </c>
      <c r="J23" s="16"/>
      <c r="K23" s="18" t="s">
        <v>3792</v>
      </c>
      <c r="L23" s="16"/>
      <c r="M23" s="18" t="s">
        <v>4520</v>
      </c>
      <c r="N23" s="16"/>
      <c r="O23" s="18" t="s">
        <v>5203</v>
      </c>
      <c r="P23" s="16"/>
      <c r="Q23" s="18" t="s">
        <v>5945</v>
      </c>
      <c r="R23" s="16"/>
      <c r="S23" s="18"/>
      <c r="T23" s="21"/>
    </row>
    <row r="24" spans="1:20" ht="15.95" customHeight="1" x14ac:dyDescent="0.25">
      <c r="A24" s="18" t="s">
        <v>582</v>
      </c>
      <c r="B24" s="16"/>
      <c r="C24" s="18" t="s">
        <v>1622</v>
      </c>
      <c r="D24" s="16"/>
      <c r="E24" s="18" t="s">
        <v>2328</v>
      </c>
      <c r="F24" s="16"/>
      <c r="G24" s="18" t="s">
        <v>897</v>
      </c>
      <c r="H24" s="16"/>
      <c r="I24" s="18" t="s">
        <v>3040</v>
      </c>
      <c r="J24" s="16"/>
      <c r="K24" s="18" t="s">
        <v>3793</v>
      </c>
      <c r="L24" s="16"/>
      <c r="M24" s="18" t="s">
        <v>4521</v>
      </c>
      <c r="N24" s="16"/>
      <c r="O24" s="18" t="s">
        <v>5204</v>
      </c>
      <c r="P24" s="16"/>
      <c r="Q24" s="18" t="s">
        <v>5946</v>
      </c>
      <c r="R24" s="16"/>
      <c r="S24" s="18"/>
      <c r="T24" s="21"/>
    </row>
    <row r="25" spans="1:20" ht="15.95" customHeight="1" x14ac:dyDescent="0.25">
      <c r="A25" s="18" t="s">
        <v>4</v>
      </c>
      <c r="B25" s="16"/>
      <c r="C25" s="18" t="s">
        <v>4</v>
      </c>
      <c r="D25" s="16"/>
      <c r="E25" s="18" t="s">
        <v>4</v>
      </c>
      <c r="F25" s="16"/>
      <c r="G25" s="18" t="s">
        <v>4</v>
      </c>
      <c r="H25" s="16"/>
      <c r="I25" s="18" t="s">
        <v>4</v>
      </c>
      <c r="J25" s="16"/>
      <c r="K25" s="18" t="s">
        <v>4</v>
      </c>
      <c r="L25" s="16"/>
      <c r="M25" s="18" t="s">
        <v>4</v>
      </c>
      <c r="N25" s="16"/>
      <c r="O25" s="18" t="s">
        <v>4</v>
      </c>
      <c r="P25" s="16"/>
      <c r="Q25" s="18" t="s">
        <v>4</v>
      </c>
      <c r="R25" s="16"/>
      <c r="S25" s="18"/>
      <c r="T25" s="16"/>
    </row>
    <row r="26" spans="1:20" ht="15.95" customHeight="1" x14ac:dyDescent="0.25">
      <c r="A26" s="18" t="s">
        <v>507</v>
      </c>
      <c r="B26" s="16"/>
      <c r="C26" s="18" t="s">
        <v>1623</v>
      </c>
      <c r="D26" s="16"/>
      <c r="E26" s="18" t="s">
        <v>2329</v>
      </c>
      <c r="F26" s="16"/>
      <c r="G26" s="18" t="s">
        <v>898</v>
      </c>
      <c r="H26" s="16"/>
      <c r="I26" s="18" t="s">
        <v>3041</v>
      </c>
      <c r="J26" s="16"/>
      <c r="K26" s="18" t="s">
        <v>3794</v>
      </c>
      <c r="L26" s="16"/>
      <c r="M26" s="18" t="s">
        <v>4522</v>
      </c>
      <c r="N26" s="16"/>
      <c r="O26" s="18" t="s">
        <v>5205</v>
      </c>
      <c r="P26" s="16"/>
      <c r="Q26" s="18" t="s">
        <v>5947</v>
      </c>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07" priority="28" stopIfTrue="1">
      <formula>NOT(ISERROR(A3))</formula>
    </cfRule>
  </conditionalFormatting>
  <conditionalFormatting sqref="A3:T6 A7 C7 E7 G7 I7 K7 M7 O7 Q7 S7 A8:T51">
    <cfRule type="notContainsBlanks" dxfId="506" priority="29">
      <formula>LEN(TRIM(A3))&gt;0</formula>
    </cfRule>
  </conditionalFormatting>
  <conditionalFormatting sqref="A3:T51">
    <cfRule type="containsErrors" dxfId="505" priority="1" stopIfTrue="1">
      <formula>ISERROR(A3)</formula>
    </cfRule>
  </conditionalFormatting>
  <conditionalFormatting sqref="B7">
    <cfRule type="notContainsBlanks" dxfId="504" priority="26">
      <formula>LEN(TRIM(B7))&gt;0</formula>
    </cfRule>
  </conditionalFormatting>
  <conditionalFormatting sqref="D7">
    <cfRule type="notContainsBlanks" dxfId="503" priority="2">
      <formula>LEN(TRIM(D7))&gt;0</formula>
    </cfRule>
  </conditionalFormatting>
  <conditionalFormatting sqref="F7">
    <cfRule type="notContainsBlanks" dxfId="502" priority="22">
      <formula>LEN(TRIM(F7))&gt;0</formula>
    </cfRule>
  </conditionalFormatting>
  <conditionalFormatting sqref="H7">
    <cfRule type="notContainsBlanks" dxfId="501" priority="6">
      <formula>LEN(TRIM(H7))&gt;0</formula>
    </cfRule>
  </conditionalFormatting>
  <conditionalFormatting sqref="J7">
    <cfRule type="notContainsBlanks" dxfId="500" priority="18">
      <formula>LEN(TRIM(J7))&gt;0</formula>
    </cfRule>
  </conditionalFormatting>
  <conditionalFormatting sqref="L7">
    <cfRule type="notContainsBlanks" dxfId="499" priority="16">
      <formula>LEN(TRIM(L7))&gt;0</formula>
    </cfRule>
  </conditionalFormatting>
  <conditionalFormatting sqref="N7">
    <cfRule type="notContainsBlanks" dxfId="498" priority="14">
      <formula>LEN(TRIM(N7))&gt;0</formula>
    </cfRule>
  </conditionalFormatting>
  <conditionalFormatting sqref="P7">
    <cfRule type="notContainsBlanks" dxfId="497" priority="12">
      <formula>LEN(TRIM(P7))&gt;0</formula>
    </cfRule>
  </conditionalFormatting>
  <conditionalFormatting sqref="R7">
    <cfRule type="notContainsBlanks" dxfId="496" priority="10">
      <formula>LEN(TRIM(R7))&gt;0</formula>
    </cfRule>
  </conditionalFormatting>
  <conditionalFormatting sqref="T7">
    <cfRule type="notContainsBlanks" dxfId="495" priority="8">
      <formula>LEN(TRIM(T7))&gt;0</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F4D7E2-EFF1-4C00-BE50-D78E9E9030CD}">
  <sheetPr codeName="Sheet6"/>
  <dimension ref="A1:T51"/>
  <sheetViews>
    <sheetView workbookViewId="0">
      <selection activeCell="Q3" sqref="Q3:Q30"/>
    </sheetView>
  </sheetViews>
  <sheetFormatPr defaultRowHeight="15" x14ac:dyDescent="0.25"/>
  <cols>
    <col min="1" max="1" width="44.7109375" customWidth="1"/>
    <col min="2" max="2" width="13.85546875" customWidth="1"/>
    <col min="8" max="8" width="16" customWidth="1"/>
  </cols>
  <sheetData>
    <row r="1" spans="1:20" x14ac:dyDescent="0.25">
      <c r="A1"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9" t="s">
        <v>84</v>
      </c>
    </row>
    <row r="3" spans="1:20" ht="15.95" customHeight="1" x14ac:dyDescent="0.25">
      <c r="A3" s="17" t="s">
        <v>502</v>
      </c>
      <c r="B3" s="16" t="str">
        <f>TRIM(_xlfn.TEXTBEFORE(A3, ":"))</f>
        <v>Item Class</v>
      </c>
      <c r="C3" s="17" t="s">
        <v>1578</v>
      </c>
      <c r="D3" s="16" t="str">
        <f>TRIM(_xlfn.TEXTBEFORE(C3, ":"))</f>
        <v>Gegenstandsklasse</v>
      </c>
      <c r="E3" s="17" t="s">
        <v>2298</v>
      </c>
      <c r="F3" s="16" t="str">
        <f>TRIM(_xlfn.TEXTBEFORE(E3, ":"))</f>
        <v>Clase de objeto</v>
      </c>
      <c r="G3" s="17" t="s">
        <v>853</v>
      </c>
      <c r="H3" s="16" t="str">
        <f>TRIM(_xlfn.TEXTBEFORE(G3, ":"))</f>
        <v>Classe d'objet</v>
      </c>
      <c r="I3" s="17" t="s">
        <v>3008</v>
      </c>
      <c r="J3" s="16" t="str">
        <f>TRIM(_xlfn.TEXTBEFORE(I3, ":"))</f>
        <v>アイテムクラス</v>
      </c>
      <c r="K3" s="17" t="s">
        <v>3762</v>
      </c>
      <c r="L3" s="16" t="str">
        <f>TRIM(_xlfn.TEXTBEFORE(K3, ":"))</f>
        <v>아이템 종류</v>
      </c>
      <c r="M3" s="17" t="s">
        <v>4494</v>
      </c>
      <c r="N3" s="16" t="str">
        <f>TRIM(_xlfn.TEXTBEFORE(M3, ":"))</f>
        <v>Classe do Item</v>
      </c>
      <c r="O3" s="17" t="s">
        <v>5173</v>
      </c>
      <c r="P3" s="16" t="str">
        <f>TRIM(_xlfn.TEXTBEFORE(O3, ":"))</f>
        <v>Класс предмета</v>
      </c>
      <c r="Q3" s="17" t="s">
        <v>5918</v>
      </c>
      <c r="R3" s="16" t="str">
        <f>TRIM(_xlfn.TEXTBEFORE(Q3, ":"))</f>
        <v>ชนิดไอเทม</v>
      </c>
      <c r="S3" s="17"/>
      <c r="T3" s="16" t="e">
        <f>TRIM(_xlfn.TEXTBEFORE(S3, ":"))</f>
        <v>#N/A</v>
      </c>
    </row>
    <row r="4" spans="1:20" ht="15.95" customHeight="1" x14ac:dyDescent="0.25">
      <c r="A4" s="18" t="s">
        <v>503</v>
      </c>
      <c r="B4" s="16" t="str">
        <f>TRIM(_xlfn.TEXTAFTER(A3, ":"))</f>
        <v>Skill Gems</v>
      </c>
      <c r="C4" s="18" t="s">
        <v>1579</v>
      </c>
      <c r="D4" s="16" t="str">
        <f>TRIM(_xlfn.TEXTAFTER(C3, ":"))</f>
        <v>Fertigkeitengemmen</v>
      </c>
      <c r="E4" s="18" t="s">
        <v>2299</v>
      </c>
      <c r="F4" s="16" t="str">
        <f>TRIM(_xlfn.TEXTAFTER(E3, ":"))</f>
        <v>Gemas de habilidad</v>
      </c>
      <c r="G4" s="18" t="s">
        <v>854</v>
      </c>
      <c r="H4" s="16" t="str">
        <f>TRIM(_xlfn.TEXTAFTER(G3, ":"))</f>
        <v>Gemmes d'aptitude</v>
      </c>
      <c r="I4" s="18" t="s">
        <v>3009</v>
      </c>
      <c r="J4" s="16" t="str">
        <f>TRIM(_xlfn.TEXTAFTER(I3, ":"))</f>
        <v>スキルジェム</v>
      </c>
      <c r="K4" s="18" t="s">
        <v>3763</v>
      </c>
      <c r="L4" s="16" t="str">
        <f>TRIM(_xlfn.TEXTAFTER(K3, ":"))</f>
        <v>스킬 젬</v>
      </c>
      <c r="M4" s="18" t="s">
        <v>4495</v>
      </c>
      <c r="N4" s="16" t="str">
        <f>TRIM(_xlfn.TEXTAFTER(M3, ":"))</f>
        <v>Gemas de Habilidades</v>
      </c>
      <c r="O4" s="18" t="s">
        <v>5174</v>
      </c>
      <c r="P4" s="16" t="str">
        <f>TRIM(_xlfn.TEXTAFTER(O3, ":"))</f>
        <v>Камни умений</v>
      </c>
      <c r="Q4" s="18" t="s">
        <v>5919</v>
      </c>
      <c r="R4" s="16" t="str">
        <f>TRIM(_xlfn.TEXTAFTER(Q3, ":"))</f>
        <v>หินสกิล</v>
      </c>
      <c r="S4" s="18"/>
      <c r="T4" s="16" t="e">
        <f>TRIM(_xlfn.TEXTAFTER(S3, ":"))</f>
        <v>#N/A</v>
      </c>
    </row>
    <row r="5" spans="1:20" ht="15.95" customHeight="1" x14ac:dyDescent="0.25">
      <c r="A5" s="18" t="s">
        <v>607</v>
      </c>
      <c r="B5" s="16" t="str">
        <f>TRIM(_xlfn.TEXTBEFORE(A4, ":"))</f>
        <v>Rarity</v>
      </c>
      <c r="C5" s="18" t="s">
        <v>1580</v>
      </c>
      <c r="D5" s="16" t="str">
        <f>TRIM(_xlfn.TEXTBEFORE(C4, ":"))</f>
        <v>Seltenheit</v>
      </c>
      <c r="E5" s="18" t="s">
        <v>2330</v>
      </c>
      <c r="F5" s="16" t="str">
        <f>TRIM(_xlfn.TEXTBEFORE(E4, ":"))</f>
        <v>Rareza</v>
      </c>
      <c r="G5" s="18" t="s">
        <v>855</v>
      </c>
      <c r="H5" s="16" t="str">
        <f>TRIM(_xlfn.TEXTBEFORE(G4, ":"))</f>
        <v>Rareté</v>
      </c>
      <c r="I5" s="18" t="s">
        <v>3044</v>
      </c>
      <c r="J5" s="16" t="str">
        <f>TRIM(_xlfn.TEXTBEFORE(I4, ":"))</f>
        <v>レアリティ</v>
      </c>
      <c r="K5" s="18" t="s">
        <v>3795</v>
      </c>
      <c r="L5" s="16" t="str">
        <f>TRIM(_xlfn.TEXTBEFORE(K4, ":"))</f>
        <v>아이템 희귀도</v>
      </c>
      <c r="M5" s="18" t="s">
        <v>4523</v>
      </c>
      <c r="N5" s="16" t="str">
        <f>TRIM(_xlfn.TEXTBEFORE(M4, ":"))</f>
        <v>Raridade</v>
      </c>
      <c r="O5" s="18" t="s">
        <v>5206</v>
      </c>
      <c r="P5" s="16" t="str">
        <f>TRIM(_xlfn.TEXTBEFORE(O4, ":"))</f>
        <v>Редкость</v>
      </c>
      <c r="Q5" s="18" t="s">
        <v>5948</v>
      </c>
      <c r="R5" s="16" t="str">
        <f>TRIM(_xlfn.TEXTBEFORE(Q4, ":"))</f>
        <v>ความหายาก</v>
      </c>
      <c r="S5" s="18"/>
      <c r="T5" s="16" t="e">
        <f>TRIM(_xlfn.TEXTBEFORE(S4, ":"))</f>
        <v>#N/A</v>
      </c>
    </row>
    <row r="6" spans="1:20" ht="15.95" customHeight="1" x14ac:dyDescent="0.25">
      <c r="A6" s="18" t="s">
        <v>4</v>
      </c>
      <c r="B6" s="16" t="str">
        <f>TRIM(_xlfn.TEXTAFTER(A4,":"))</f>
        <v>Gem</v>
      </c>
      <c r="C6" s="18" t="s">
        <v>4</v>
      </c>
      <c r="D6" s="16" t="str">
        <f>TRIM(_xlfn.TEXTAFTER(C4,":"))</f>
        <v>Gemme</v>
      </c>
      <c r="E6" s="18" t="s">
        <v>4</v>
      </c>
      <c r="F6" s="16" t="str">
        <f>TRIM(_xlfn.TEXTAFTER(E4,":"))</f>
        <v>Gema</v>
      </c>
      <c r="G6" s="18" t="s">
        <v>4</v>
      </c>
      <c r="H6" s="16" t="str">
        <f>TRIM(_xlfn.TEXTAFTER(G4,":"))</f>
        <v>Gemme</v>
      </c>
      <c r="I6" s="18" t="s">
        <v>4</v>
      </c>
      <c r="J6" s="16" t="str">
        <f>TRIM(_xlfn.TEXTAFTER(I4,":"))</f>
        <v>ジェム</v>
      </c>
      <c r="K6" s="18" t="s">
        <v>4</v>
      </c>
      <c r="L6" s="16" t="str">
        <f>TRIM(_xlfn.TEXTAFTER(K4,":"))</f>
        <v>젬</v>
      </c>
      <c r="M6" s="18" t="s">
        <v>4</v>
      </c>
      <c r="N6" s="16" t="str">
        <f>TRIM(_xlfn.TEXTAFTER(M4,":"))</f>
        <v>Gema</v>
      </c>
      <c r="O6" s="18" t="s">
        <v>4</v>
      </c>
      <c r="P6" s="16" t="str">
        <f>TRIM(_xlfn.TEXTAFTER(O4,":"))</f>
        <v>Камень</v>
      </c>
      <c r="Q6" s="18" t="s">
        <v>4</v>
      </c>
      <c r="R6" s="16" t="str">
        <f>TRIM(_xlfn.TEXTAFTER(Q4,":"))</f>
        <v>หิน</v>
      </c>
      <c r="S6" s="18"/>
      <c r="T6" s="16" t="e">
        <f>TRIM(_xlfn.TEXTAFTER(S4,":"))</f>
        <v>#N/A</v>
      </c>
    </row>
    <row r="7" spans="1:20" ht="15.95" customHeight="1" x14ac:dyDescent="0.25">
      <c r="A7" s="18" t="s">
        <v>608</v>
      </c>
      <c r="B7" s="16" t="str">
        <f>TRIM(_xlfn.TEXTBEFORE(A5, " "))</f>
        <v>Phantasmal</v>
      </c>
      <c r="C7" s="18" t="s">
        <v>1581</v>
      </c>
      <c r="D7" s="16" t="str">
        <f>TRIM(_xlfn.TEXTAFTER(C5, " ",-1 ))</f>
        <v>(illusorisch)</v>
      </c>
      <c r="E7" s="18" t="s">
        <v>2331</v>
      </c>
      <c r="F7" s="16" t="str">
        <f>TRIM(_xlfn.TEXTAFTER(E5, " ", -1))</f>
        <v>fantasmal</v>
      </c>
      <c r="G7" s="18" t="s">
        <v>856</v>
      </c>
      <c r="H7" s="16" t="s">
        <v>1577</v>
      </c>
      <c r="I7" s="18" t="s">
        <v>3045</v>
      </c>
      <c r="J7" s="16" t="s">
        <v>3043</v>
      </c>
      <c r="K7" s="18" t="s">
        <v>3796</v>
      </c>
      <c r="L7" s="16" t="s">
        <v>4493</v>
      </c>
      <c r="M7" s="18" t="s">
        <v>4524</v>
      </c>
      <c r="N7" s="16" t="str">
        <f>TRIM(_xlfn.TEXTBEFORE(M5, " "))</f>
        <v>Fantasmal</v>
      </c>
      <c r="O7" s="18" t="s">
        <v>5207</v>
      </c>
      <c r="P7" s="16" t="str">
        <f>TRIM(_xlfn.TEXTBEFORE(O5, " "))</f>
        <v>Фантомный:</v>
      </c>
      <c r="Q7" s="18" t="s">
        <v>5949</v>
      </c>
      <c r="R7" s="16" t="str">
        <f>TRIM(_xlfn.TEXTBEFORE(Q5, " "))</f>
        <v>Phantasmal</v>
      </c>
      <c r="S7" s="18"/>
      <c r="T7" s="16" t="e">
        <f>TRIM(_xlfn.TEXTBEFORE(S5, " "))</f>
        <v>#N/A</v>
      </c>
    </row>
    <row r="8" spans="1:20" ht="15.95" customHeight="1" x14ac:dyDescent="0.25">
      <c r="A8" s="18" t="s">
        <v>506</v>
      </c>
      <c r="B8" s="16" t="str">
        <f>TRIM(_xlfn.TEXTBEFORE(A8,":"))</f>
        <v>Level</v>
      </c>
      <c r="C8" s="18" t="s">
        <v>1582</v>
      </c>
      <c r="D8" s="16" t="str">
        <f>TRIM(_xlfn.TEXTBEFORE(C8,":"))</f>
        <v>Stufe</v>
      </c>
      <c r="E8" s="18" t="s">
        <v>2332</v>
      </c>
      <c r="F8" s="16" t="str">
        <f>TRIM(_xlfn.TEXTAFTER(E8,":", -1))</f>
        <v>16</v>
      </c>
      <c r="G8" s="18" t="s">
        <v>857</v>
      </c>
      <c r="H8" s="16" t="str">
        <f>TRIM(_xlfn.TEXTBEFORE(G8,":"))</f>
        <v>Niveau</v>
      </c>
      <c r="I8" s="18" t="s">
        <v>3046</v>
      </c>
      <c r="J8" s="16" t="str">
        <f>TRIM(_xlfn.TEXTBEFORE(I8,":"))</f>
        <v>レベル</v>
      </c>
      <c r="K8" s="18" t="s">
        <v>3797</v>
      </c>
      <c r="L8" s="16" t="str">
        <f>TRIM(_xlfn.TEXTBEFORE(K8,":"))</f>
        <v>레벨</v>
      </c>
      <c r="M8" s="18" t="s">
        <v>4525</v>
      </c>
      <c r="N8" s="16" t="str">
        <f>TRIM(_xlfn.TEXTBEFORE(M8,":"))</f>
        <v>Nível</v>
      </c>
      <c r="O8" s="18" t="s">
        <v>5208</v>
      </c>
      <c r="P8" s="16" t="str">
        <f>TRIM(_xlfn.TEXTBEFORE(O8,":"))</f>
        <v>Уровень</v>
      </c>
      <c r="Q8" s="18" t="s">
        <v>5950</v>
      </c>
      <c r="R8" s="16" t="str">
        <f>TRIM(_xlfn.TEXTBEFORE(Q8,":"))</f>
        <v>เลเวล</v>
      </c>
      <c r="S8" s="18"/>
      <c r="T8" s="16" t="e">
        <f>TRIM(_xlfn.TEXTBEFORE(S8,":"))</f>
        <v>#N/A</v>
      </c>
    </row>
    <row r="9" spans="1:20" ht="15.95" customHeight="1" x14ac:dyDescent="0.25">
      <c r="A9" s="18" t="s">
        <v>609</v>
      </c>
      <c r="B9" s="16"/>
      <c r="C9" s="18" t="s">
        <v>1583</v>
      </c>
      <c r="D9" s="16"/>
      <c r="E9" s="18" t="s">
        <v>2333</v>
      </c>
      <c r="F9" s="16"/>
      <c r="G9" s="18" t="s">
        <v>858</v>
      </c>
      <c r="H9" s="16"/>
      <c r="I9" s="18" t="s">
        <v>3047</v>
      </c>
      <c r="J9" s="16"/>
      <c r="K9" s="18" t="s">
        <v>3798</v>
      </c>
      <c r="L9" s="16"/>
      <c r="M9" s="18" t="s">
        <v>4526</v>
      </c>
      <c r="N9" s="16"/>
      <c r="O9" s="18" t="s">
        <v>5209</v>
      </c>
      <c r="P9" s="16"/>
      <c r="Q9" s="18" t="s">
        <v>5951</v>
      </c>
      <c r="R9" s="16"/>
      <c r="S9" s="18"/>
      <c r="T9" s="16"/>
    </row>
    <row r="10" spans="1:20" ht="15.95" customHeight="1" x14ac:dyDescent="0.25">
      <c r="A10" s="18" t="s">
        <v>610</v>
      </c>
      <c r="B10" s="16"/>
      <c r="C10" s="18" t="s">
        <v>1584</v>
      </c>
      <c r="D10" s="16"/>
      <c r="E10" s="18" t="s">
        <v>2334</v>
      </c>
      <c r="F10" s="16"/>
      <c r="G10" s="18" t="s">
        <v>859</v>
      </c>
      <c r="H10" s="16"/>
      <c r="I10" s="18" t="s">
        <v>3048</v>
      </c>
      <c r="J10" s="16"/>
      <c r="K10" s="18" t="s">
        <v>3799</v>
      </c>
      <c r="L10" s="16"/>
      <c r="M10" s="18" t="s">
        <v>4527</v>
      </c>
      <c r="N10" s="16"/>
      <c r="O10" s="18" t="s">
        <v>5210</v>
      </c>
      <c r="P10" s="16"/>
      <c r="Q10" s="18" t="s">
        <v>5952</v>
      </c>
      <c r="R10" s="16"/>
      <c r="S10" s="18"/>
      <c r="T10" s="16"/>
    </row>
    <row r="11" spans="1:20" ht="15.95" customHeight="1" x14ac:dyDescent="0.25">
      <c r="A11" s="18" t="s">
        <v>611</v>
      </c>
      <c r="B11" s="16"/>
      <c r="C11" s="18" t="s">
        <v>1585</v>
      </c>
      <c r="D11" s="16"/>
      <c r="E11" s="18" t="s">
        <v>2335</v>
      </c>
      <c r="F11" s="16"/>
      <c r="G11" s="18" t="s">
        <v>860</v>
      </c>
      <c r="H11" s="16"/>
      <c r="I11" s="18" t="s">
        <v>3049</v>
      </c>
      <c r="J11" s="16"/>
      <c r="K11" s="18" t="s">
        <v>3800</v>
      </c>
      <c r="L11" s="16"/>
      <c r="M11" s="18" t="s">
        <v>4528</v>
      </c>
      <c r="N11" s="16"/>
      <c r="O11" s="18" t="s">
        <v>5211</v>
      </c>
      <c r="P11" s="16"/>
      <c r="Q11" s="18" t="s">
        <v>5953</v>
      </c>
      <c r="R11" s="16"/>
      <c r="S11" s="18"/>
      <c r="T11" s="16"/>
    </row>
    <row r="12" spans="1:20" ht="15.95" customHeight="1" x14ac:dyDescent="0.25">
      <c r="A12" s="18" t="s">
        <v>612</v>
      </c>
      <c r="B12" s="16"/>
      <c r="C12" s="18" t="s">
        <v>1586</v>
      </c>
      <c r="D12" s="16"/>
      <c r="E12" s="18" t="s">
        <v>2336</v>
      </c>
      <c r="F12" s="16"/>
      <c r="G12" s="18" t="s">
        <v>861</v>
      </c>
      <c r="H12" s="16"/>
      <c r="I12" s="18" t="s">
        <v>3050</v>
      </c>
      <c r="J12" s="16"/>
      <c r="K12" s="18" t="s">
        <v>3801</v>
      </c>
      <c r="L12" s="16"/>
      <c r="M12" s="18" t="s">
        <v>4529</v>
      </c>
      <c r="N12" s="16"/>
      <c r="O12" s="18" t="s">
        <v>5212</v>
      </c>
      <c r="P12" s="16"/>
      <c r="Q12" s="18" t="s">
        <v>5954</v>
      </c>
      <c r="R12" s="16"/>
      <c r="S12" s="18"/>
      <c r="T12" s="16"/>
    </row>
    <row r="13" spans="1:20" ht="15.95" customHeight="1" x14ac:dyDescent="0.25">
      <c r="A13" s="18" t="s">
        <v>601</v>
      </c>
      <c r="B13" s="16"/>
      <c r="C13" s="18" t="s">
        <v>1587</v>
      </c>
      <c r="D13" s="16"/>
      <c r="E13" s="18" t="s">
        <v>2306</v>
      </c>
      <c r="F13" s="16"/>
      <c r="G13" s="18" t="s">
        <v>862</v>
      </c>
      <c r="H13" s="16"/>
      <c r="I13" s="18" t="s">
        <v>3016</v>
      </c>
      <c r="J13" s="16"/>
      <c r="K13" s="18" t="s">
        <v>3770</v>
      </c>
      <c r="L13" s="16"/>
      <c r="M13" s="18" t="s">
        <v>4502</v>
      </c>
      <c r="N13" s="16"/>
      <c r="O13" s="18" t="s">
        <v>5181</v>
      </c>
      <c r="P13" s="16"/>
      <c r="Q13" s="18" t="s">
        <v>5926</v>
      </c>
      <c r="R13" s="16"/>
      <c r="S13" s="18"/>
      <c r="T13" s="16"/>
    </row>
    <row r="14" spans="1:20" ht="15.95" customHeight="1" x14ac:dyDescent="0.25">
      <c r="A14" s="18" t="s">
        <v>572</v>
      </c>
      <c r="B14" s="16"/>
      <c r="C14" s="18" t="s">
        <v>1588</v>
      </c>
      <c r="D14" s="16"/>
      <c r="E14" s="18" t="s">
        <v>2307</v>
      </c>
      <c r="F14" s="16"/>
      <c r="G14" s="18" t="s">
        <v>863</v>
      </c>
      <c r="H14" s="16"/>
      <c r="I14" s="18" t="s">
        <v>3017</v>
      </c>
      <c r="J14" s="16"/>
      <c r="K14" s="18" t="s">
        <v>3771</v>
      </c>
      <c r="L14" s="16"/>
      <c r="M14" s="18" t="s">
        <v>4503</v>
      </c>
      <c r="N14" s="16"/>
      <c r="O14" s="18" t="s">
        <v>5182</v>
      </c>
      <c r="P14" s="16"/>
      <c r="Q14" s="18" t="s">
        <v>5927</v>
      </c>
      <c r="R14" s="16"/>
      <c r="S14" s="18"/>
      <c r="T14" s="16"/>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16"/>
    </row>
    <row r="16" spans="1:20" ht="15.95" customHeight="1" x14ac:dyDescent="0.25">
      <c r="A16" s="18" t="s">
        <v>81</v>
      </c>
      <c r="B16" s="16"/>
      <c r="C16" s="18" t="s">
        <v>1589</v>
      </c>
      <c r="D16" s="16"/>
      <c r="E16" s="18" t="s">
        <v>2308</v>
      </c>
      <c r="F16" s="16"/>
      <c r="G16" s="18" t="s">
        <v>5</v>
      </c>
      <c r="H16" s="16"/>
      <c r="I16" s="18" t="s">
        <v>3018</v>
      </c>
      <c r="J16" s="16"/>
      <c r="K16" s="18" t="s">
        <v>3772</v>
      </c>
      <c r="L16" s="16"/>
      <c r="M16" s="18" t="s">
        <v>2308</v>
      </c>
      <c r="N16" s="16"/>
      <c r="O16" s="18" t="s">
        <v>5183</v>
      </c>
      <c r="P16" s="16"/>
      <c r="Q16" s="18" t="s">
        <v>5928</v>
      </c>
      <c r="R16" s="16"/>
      <c r="S16" s="18"/>
      <c r="T16" s="16"/>
    </row>
    <row r="17" spans="1:20" ht="15.95" customHeight="1" x14ac:dyDescent="0.25">
      <c r="A17" s="18" t="s">
        <v>107</v>
      </c>
      <c r="B17" s="16"/>
      <c r="C17" s="18" t="s">
        <v>1590</v>
      </c>
      <c r="D17" s="16"/>
      <c r="E17" s="18" t="s">
        <v>2337</v>
      </c>
      <c r="F17" s="16"/>
      <c r="G17" s="18" t="s">
        <v>864</v>
      </c>
      <c r="H17" s="16"/>
      <c r="I17" s="18" t="s">
        <v>3051</v>
      </c>
      <c r="J17" s="16"/>
      <c r="K17" s="18" t="s">
        <v>3802</v>
      </c>
      <c r="L17" s="16"/>
      <c r="M17" s="18" t="s">
        <v>4530</v>
      </c>
      <c r="N17" s="16"/>
      <c r="O17" s="18" t="s">
        <v>5213</v>
      </c>
      <c r="P17" s="16"/>
      <c r="Q17" s="18" t="s">
        <v>5955</v>
      </c>
      <c r="R17" s="16"/>
      <c r="S17" s="18"/>
      <c r="T17" s="16"/>
    </row>
    <row r="18" spans="1:20" ht="15.95" customHeight="1" x14ac:dyDescent="0.25">
      <c r="A18" s="18" t="s">
        <v>447</v>
      </c>
      <c r="B18" s="16"/>
      <c r="C18" s="18" t="s">
        <v>447</v>
      </c>
      <c r="D18" s="16"/>
      <c r="E18" s="18" t="s">
        <v>2338</v>
      </c>
      <c r="F18" s="16"/>
      <c r="G18" s="18" t="s">
        <v>865</v>
      </c>
      <c r="H18" s="16"/>
      <c r="I18" s="18" t="s">
        <v>3052</v>
      </c>
      <c r="J18" s="16"/>
      <c r="K18" s="18" t="s">
        <v>3803</v>
      </c>
      <c r="L18" s="16"/>
      <c r="M18" s="18" t="s">
        <v>865</v>
      </c>
      <c r="N18" s="16"/>
      <c r="O18" s="18" t="s">
        <v>5214</v>
      </c>
      <c r="P18" s="16"/>
      <c r="Q18" s="18" t="s">
        <v>447</v>
      </c>
      <c r="R18" s="16"/>
      <c r="S18" s="18"/>
      <c r="T18" s="16"/>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16"/>
    </row>
    <row r="20" spans="1:20" ht="15.95" customHeight="1" x14ac:dyDescent="0.25">
      <c r="A20" s="18" t="s">
        <v>613</v>
      </c>
      <c r="B20" s="16"/>
      <c r="C20" s="18" t="s">
        <v>1591</v>
      </c>
      <c r="D20" s="16"/>
      <c r="E20" s="18" t="s">
        <v>2339</v>
      </c>
      <c r="F20" s="16"/>
      <c r="G20" s="18" t="s">
        <v>866</v>
      </c>
      <c r="H20" s="16"/>
      <c r="I20" s="18" t="s">
        <v>3053</v>
      </c>
      <c r="J20" s="16"/>
      <c r="K20" s="18" t="s">
        <v>3804</v>
      </c>
      <c r="L20" s="16"/>
      <c r="M20" s="18" t="s">
        <v>4531</v>
      </c>
      <c r="N20" s="16"/>
      <c r="O20" s="18" t="s">
        <v>5215</v>
      </c>
      <c r="P20" s="16"/>
      <c r="Q20" s="18" t="s">
        <v>5956</v>
      </c>
      <c r="R20" s="16"/>
      <c r="S20" s="18"/>
      <c r="T20" s="16"/>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16"/>
    </row>
    <row r="22" spans="1:20" ht="15.95" customHeight="1" x14ac:dyDescent="0.25">
      <c r="A22" s="18" t="s">
        <v>614</v>
      </c>
      <c r="B22" s="16"/>
      <c r="C22" s="18" t="s">
        <v>1592</v>
      </c>
      <c r="D22" s="16"/>
      <c r="E22" s="18" t="s">
        <v>2340</v>
      </c>
      <c r="F22" s="16"/>
      <c r="G22" s="18" t="s">
        <v>867</v>
      </c>
      <c r="H22" s="16"/>
      <c r="I22" s="18" t="s">
        <v>3054</v>
      </c>
      <c r="J22" s="16"/>
      <c r="K22" s="18" t="s">
        <v>3805</v>
      </c>
      <c r="L22" s="16"/>
      <c r="M22" s="18" t="s">
        <v>4532</v>
      </c>
      <c r="N22" s="16"/>
      <c r="O22" s="18" t="s">
        <v>5216</v>
      </c>
      <c r="P22" s="16"/>
      <c r="Q22" s="18" t="s">
        <v>5957</v>
      </c>
      <c r="R22" s="16"/>
      <c r="S22" s="18"/>
      <c r="T22" s="16"/>
    </row>
    <row r="23" spans="1:20" ht="15.95" customHeight="1" x14ac:dyDescent="0.25">
      <c r="A23" s="18" t="s">
        <v>615</v>
      </c>
      <c r="B23" s="16"/>
      <c r="C23" s="18" t="s">
        <v>1593</v>
      </c>
      <c r="D23" s="16"/>
      <c r="E23" s="18" t="s">
        <v>2341</v>
      </c>
      <c r="F23" s="16"/>
      <c r="G23" s="18" t="s">
        <v>868</v>
      </c>
      <c r="H23" s="16"/>
      <c r="I23" s="18" t="s">
        <v>3055</v>
      </c>
      <c r="J23" s="16"/>
      <c r="K23" s="18" t="s">
        <v>3806</v>
      </c>
      <c r="L23" s="16"/>
      <c r="M23" s="18" t="s">
        <v>4533</v>
      </c>
      <c r="N23" s="16"/>
      <c r="O23" s="18" t="s">
        <v>5217</v>
      </c>
      <c r="P23" s="16"/>
      <c r="Q23" s="18" t="s">
        <v>5958</v>
      </c>
      <c r="R23" s="16"/>
      <c r="S23" s="18"/>
      <c r="T23" s="16"/>
    </row>
    <row r="24" spans="1:20" ht="15.95" customHeight="1" x14ac:dyDescent="0.25">
      <c r="A24" s="18" t="s">
        <v>616</v>
      </c>
      <c r="B24" s="16"/>
      <c r="C24" s="18" t="s">
        <v>1594</v>
      </c>
      <c r="D24" s="16"/>
      <c r="E24" s="18" t="s">
        <v>2342</v>
      </c>
      <c r="F24" s="16"/>
      <c r="G24" s="18" t="s">
        <v>869</v>
      </c>
      <c r="H24" s="16"/>
      <c r="I24" s="18" t="s">
        <v>3056</v>
      </c>
      <c r="J24" s="16"/>
      <c r="K24" s="18" t="s">
        <v>3807</v>
      </c>
      <c r="L24" s="16"/>
      <c r="M24" s="18" t="s">
        <v>4534</v>
      </c>
      <c r="N24" s="16"/>
      <c r="O24" s="18" t="s">
        <v>5218</v>
      </c>
      <c r="P24" s="16"/>
      <c r="Q24" s="18" t="s">
        <v>5959</v>
      </c>
      <c r="R24" s="16"/>
      <c r="S24" s="18"/>
      <c r="T24" s="16"/>
    </row>
    <row r="25" spans="1:20" ht="15.95" customHeight="1" x14ac:dyDescent="0.25">
      <c r="A25" s="18" t="s">
        <v>617</v>
      </c>
      <c r="B25" s="16"/>
      <c r="C25" s="18" t="s">
        <v>1595</v>
      </c>
      <c r="D25" s="16"/>
      <c r="E25" s="18" t="s">
        <v>2343</v>
      </c>
      <c r="F25" s="16"/>
      <c r="G25" s="18" t="s">
        <v>870</v>
      </c>
      <c r="H25" s="16"/>
      <c r="I25" s="18" t="s">
        <v>3057</v>
      </c>
      <c r="J25" s="16"/>
      <c r="K25" s="18" t="s">
        <v>3808</v>
      </c>
      <c r="L25" s="16"/>
      <c r="M25" s="18" t="s">
        <v>4535</v>
      </c>
      <c r="N25" s="16"/>
      <c r="O25" s="18" t="s">
        <v>5219</v>
      </c>
      <c r="P25" s="16"/>
      <c r="Q25" s="18" t="s">
        <v>5960</v>
      </c>
      <c r="R25" s="16"/>
      <c r="S25" s="18"/>
      <c r="T25" s="16"/>
    </row>
    <row r="26" spans="1:20" ht="15.95" customHeight="1" x14ac:dyDescent="0.25">
      <c r="A26" s="18" t="s">
        <v>618</v>
      </c>
      <c r="B26" s="16"/>
      <c r="C26" s="18" t="s">
        <v>1596</v>
      </c>
      <c r="D26" s="16"/>
      <c r="E26" s="18" t="s">
        <v>2344</v>
      </c>
      <c r="F26" s="16"/>
      <c r="G26" s="18" t="s">
        <v>871</v>
      </c>
      <c r="H26" s="16"/>
      <c r="I26" s="18" t="s">
        <v>3058</v>
      </c>
      <c r="J26" s="16"/>
      <c r="K26" s="18" t="s">
        <v>3809</v>
      </c>
      <c r="L26" s="16"/>
      <c r="M26" s="18" t="s">
        <v>4536</v>
      </c>
      <c r="N26" s="16"/>
      <c r="O26" s="18" t="s">
        <v>5220</v>
      </c>
      <c r="P26" s="16"/>
      <c r="Q26" s="18" t="s">
        <v>5961</v>
      </c>
      <c r="R26" s="16"/>
      <c r="S26" s="18"/>
      <c r="T26" s="16"/>
    </row>
    <row r="27" spans="1:20" ht="15.95" customHeight="1" x14ac:dyDescent="0.25">
      <c r="A27" s="18" t="s">
        <v>4</v>
      </c>
      <c r="B27" s="16"/>
      <c r="C27" s="18" t="s">
        <v>4</v>
      </c>
      <c r="D27" s="16"/>
      <c r="E27" s="18" t="s">
        <v>4</v>
      </c>
      <c r="F27" s="16"/>
      <c r="G27" s="18" t="s">
        <v>4</v>
      </c>
      <c r="H27" s="16"/>
      <c r="I27" s="18" t="s">
        <v>4</v>
      </c>
      <c r="J27" s="16"/>
      <c r="K27" s="18" t="s">
        <v>4</v>
      </c>
      <c r="L27" s="16"/>
      <c r="M27" s="18" t="s">
        <v>4</v>
      </c>
      <c r="N27" s="16"/>
      <c r="O27" s="18" t="s">
        <v>4</v>
      </c>
      <c r="P27" s="16"/>
      <c r="Q27" s="18" t="s">
        <v>4</v>
      </c>
      <c r="R27" s="16"/>
      <c r="S27" s="18"/>
      <c r="T27" s="16"/>
    </row>
    <row r="28" spans="1:20" ht="15.95" customHeight="1" x14ac:dyDescent="0.25">
      <c r="A28" s="18" t="s">
        <v>619</v>
      </c>
      <c r="B28" s="16" t="str">
        <f>TRIM(_xlfn.TEXTBEFORE(A28,":"))</f>
        <v>Experience</v>
      </c>
      <c r="C28" s="18" t="s">
        <v>1597</v>
      </c>
      <c r="D28" s="16" t="str">
        <f>TRIM(_xlfn.TEXTBEFORE(C28,":"))</f>
        <v>Erfahrung</v>
      </c>
      <c r="E28" s="18" t="s">
        <v>2345</v>
      </c>
      <c r="F28" s="16" t="str">
        <f>TRIM(_xlfn.TEXTBEFORE(E28,":"))</f>
        <v>Experiencia</v>
      </c>
      <c r="G28" s="18" t="s">
        <v>872</v>
      </c>
      <c r="H28" s="16" t="str">
        <f>TRIM(_xlfn.TEXTBEFORE(G28,":"))</f>
        <v>Expérience</v>
      </c>
      <c r="I28" s="18" t="s">
        <v>3059</v>
      </c>
      <c r="J28" s="16" t="str">
        <f>TRIM(_xlfn.TEXTBEFORE(I28,":"))</f>
        <v>経験値</v>
      </c>
      <c r="K28" s="18" t="s">
        <v>3810</v>
      </c>
      <c r="L28" s="16" t="str">
        <f>TRIM(_xlfn.TEXTBEFORE(K28,":"))</f>
        <v>경험치</v>
      </c>
      <c r="M28" s="18" t="s">
        <v>4537</v>
      </c>
      <c r="N28" s="16" t="str">
        <f>TRIM(_xlfn.TEXTBEFORE(M28,":"))</f>
        <v>Experiência</v>
      </c>
      <c r="O28" s="18" t="s">
        <v>5221</v>
      </c>
      <c r="P28" s="16" t="str">
        <f>TRIM(_xlfn.TEXTBEFORE(O28,":"))</f>
        <v>Опыт</v>
      </c>
      <c r="Q28" s="18" t="s">
        <v>5962</v>
      </c>
      <c r="R28" s="16" t="str">
        <f>TRIM(_xlfn.TEXTBEFORE(Q28,":"))</f>
        <v>ค่าประสบการณ์</v>
      </c>
      <c r="S28" s="18"/>
      <c r="T28" s="16" t="e">
        <f>TRIM(_xlfn.TEXTBEFORE(S28,":"))</f>
        <v>#N/A</v>
      </c>
    </row>
    <row r="29" spans="1:20" ht="15.95" customHeight="1" x14ac:dyDescent="0.25">
      <c r="A29" s="18" t="s">
        <v>4</v>
      </c>
      <c r="B29" s="16"/>
      <c r="C29" s="18" t="s">
        <v>4</v>
      </c>
      <c r="D29" s="16"/>
      <c r="E29" s="18" t="s">
        <v>4</v>
      </c>
      <c r="F29" s="16"/>
      <c r="G29" s="18" t="s">
        <v>4</v>
      </c>
      <c r="H29" s="16"/>
      <c r="I29" s="18" t="s">
        <v>4</v>
      </c>
      <c r="J29" s="16"/>
      <c r="K29" s="18" t="s">
        <v>4</v>
      </c>
      <c r="L29" s="16"/>
      <c r="M29" s="18" t="s">
        <v>4</v>
      </c>
      <c r="N29" s="16"/>
      <c r="O29" s="18" t="s">
        <v>4</v>
      </c>
      <c r="P29" s="16"/>
      <c r="Q29" s="18" t="s">
        <v>4</v>
      </c>
      <c r="R29" s="16"/>
      <c r="S29" s="18"/>
      <c r="T29" s="16"/>
    </row>
    <row r="30" spans="1:20" ht="15.95" customHeight="1" x14ac:dyDescent="0.25">
      <c r="A30" s="18" t="s">
        <v>504</v>
      </c>
      <c r="B30" s="16"/>
      <c r="C30" s="18" t="s">
        <v>1598</v>
      </c>
      <c r="D30" s="16"/>
      <c r="E30" s="18" t="s">
        <v>2315</v>
      </c>
      <c r="F30" s="16"/>
      <c r="G30" s="18" t="s">
        <v>873</v>
      </c>
      <c r="H30" s="16"/>
      <c r="I30" s="18" t="s">
        <v>3025</v>
      </c>
      <c r="J30" s="16"/>
      <c r="K30" s="18" t="s">
        <v>3779</v>
      </c>
      <c r="L30" s="16"/>
      <c r="M30" s="18" t="s">
        <v>4509</v>
      </c>
      <c r="N30" s="16"/>
      <c r="O30" s="18" t="s">
        <v>5190</v>
      </c>
      <c r="P30" s="16"/>
      <c r="Q30" s="18" t="s">
        <v>5934</v>
      </c>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16"/>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94" priority="84" stopIfTrue="1">
      <formula>NOT(ISERROR(A3))</formula>
    </cfRule>
  </conditionalFormatting>
  <conditionalFormatting sqref="A3:T6 A7:A8 C7:C8 E7:E29 G7:G29 I7:I29 K7:K29 M7:M29 O7:O29 Q7:Q29 S7:S29 A9:D27 A28:A29 C28:C29 A30:T51">
    <cfRule type="notContainsBlanks" dxfId="493" priority="85">
      <formula>LEN(TRIM(A3))&gt;0</formula>
    </cfRule>
  </conditionalFormatting>
  <conditionalFormatting sqref="A3:T51">
    <cfRule type="containsErrors" dxfId="492" priority="1" stopIfTrue="1">
      <formula>ISERROR(A3)</formula>
    </cfRule>
  </conditionalFormatting>
  <conditionalFormatting sqref="B7:B8">
    <cfRule type="notContainsBlanks" dxfId="491" priority="24">
      <formula>LEN(TRIM(B7))&gt;0</formula>
    </cfRule>
  </conditionalFormatting>
  <conditionalFormatting sqref="B28:B29">
    <cfRule type="notContainsBlanks" dxfId="490" priority="82">
      <formula>LEN(TRIM(B28))&gt;0</formula>
    </cfRule>
  </conditionalFormatting>
  <conditionalFormatting sqref="D7:D8">
    <cfRule type="notContainsBlanks" dxfId="489" priority="22">
      <formula>LEN(TRIM(D7))&gt;0</formula>
    </cfRule>
  </conditionalFormatting>
  <conditionalFormatting sqref="D28:D29">
    <cfRule type="notContainsBlanks" dxfId="488" priority="42">
      <formula>LEN(TRIM(D28))&gt;0</formula>
    </cfRule>
  </conditionalFormatting>
  <conditionalFormatting sqref="F7:F29">
    <cfRule type="notContainsBlanks" dxfId="487" priority="20">
      <formula>LEN(TRIM(F7))&gt;0</formula>
    </cfRule>
  </conditionalFormatting>
  <conditionalFormatting sqref="H7:H29">
    <cfRule type="notContainsBlanks" dxfId="486" priority="4">
      <formula>LEN(TRIM(H7))&gt;0</formula>
    </cfRule>
  </conditionalFormatting>
  <conditionalFormatting sqref="J7:J29">
    <cfRule type="notContainsBlanks" dxfId="485" priority="2">
      <formula>LEN(TRIM(J7))&gt;0</formula>
    </cfRule>
  </conditionalFormatting>
  <conditionalFormatting sqref="L7:L29">
    <cfRule type="notContainsBlanks" dxfId="484" priority="14">
      <formula>LEN(TRIM(L7))&gt;0</formula>
    </cfRule>
  </conditionalFormatting>
  <conditionalFormatting sqref="N7:N29">
    <cfRule type="notContainsBlanks" dxfId="483" priority="12">
      <formula>LEN(TRIM(N7))&gt;0</formula>
    </cfRule>
  </conditionalFormatting>
  <conditionalFormatting sqref="P7:P29">
    <cfRule type="notContainsBlanks" dxfId="482" priority="10">
      <formula>LEN(TRIM(P7))&gt;0</formula>
    </cfRule>
  </conditionalFormatting>
  <conditionalFormatting sqref="R7:R29">
    <cfRule type="notContainsBlanks" dxfId="481" priority="8">
      <formula>LEN(TRIM(R7))&gt;0</formula>
    </cfRule>
  </conditionalFormatting>
  <conditionalFormatting sqref="T7:T29">
    <cfRule type="notContainsBlanks" dxfId="480" priority="6">
      <formula>LEN(TRIM(T7))&gt;0</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E5DA9F-3881-4772-A298-9B58E9545CD1}">
  <sheetPr codeName="Sheet7"/>
  <dimension ref="A1:T51"/>
  <sheetViews>
    <sheetView workbookViewId="0">
      <selection activeCell="Q3" sqref="Q3:Q1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9" t="s">
        <v>84</v>
      </c>
    </row>
    <row r="3" spans="1:20" ht="15.95" customHeight="1" x14ac:dyDescent="0.25">
      <c r="A3" s="17" t="s">
        <v>552</v>
      </c>
      <c r="B3" s="16" t="str">
        <f>TRIM(_xlfn.TEXTBEFORE(A3, ":"))</f>
        <v>Item Class</v>
      </c>
      <c r="C3" s="17" t="s">
        <v>1624</v>
      </c>
      <c r="D3" s="16" t="str">
        <f>TRIM(_xlfn.TEXTBEFORE(C3, ":"))</f>
        <v>Gegenstandsklasse</v>
      </c>
      <c r="E3" s="17" t="s">
        <v>2346</v>
      </c>
      <c r="F3" s="16" t="str">
        <f>TRIM(_xlfn.TEXTBEFORE(E3, ":"))</f>
        <v>Clase de objeto</v>
      </c>
      <c r="G3" s="17" t="s">
        <v>847</v>
      </c>
      <c r="H3" s="16" t="str">
        <f>TRIM(_xlfn.TEXTBEFORE(G3, ":"))</f>
        <v>Classe d'objet</v>
      </c>
      <c r="I3" s="17" t="s">
        <v>3060</v>
      </c>
      <c r="J3" s="16" t="str">
        <f>TRIM(_xlfn.TEXTBEFORE(I3, ":"))</f>
        <v>アイテムクラス</v>
      </c>
      <c r="K3" s="17" t="s">
        <v>3811</v>
      </c>
      <c r="L3" s="16" t="str">
        <f>TRIM(_xlfn.TEXTBEFORE(K3, ":"))</f>
        <v>아이템 종류</v>
      </c>
      <c r="M3" s="17" t="s">
        <v>4538</v>
      </c>
      <c r="N3" s="16" t="str">
        <f>TRIM(_xlfn.TEXTBEFORE(M3, ":"))</f>
        <v>Classe do Item</v>
      </c>
      <c r="O3" s="17" t="s">
        <v>5222</v>
      </c>
      <c r="P3" s="16" t="str">
        <f>TRIM(_xlfn.TEXTBEFORE(O3, ":"))</f>
        <v>Класс предмета</v>
      </c>
      <c r="Q3" s="17" t="s">
        <v>5963</v>
      </c>
      <c r="R3" s="16" t="str">
        <f>TRIM(_xlfn.TEXTBEFORE(Q3, ":"))</f>
        <v>ชนิดไอเทม</v>
      </c>
      <c r="S3" s="17"/>
      <c r="T3" s="16" t="e">
        <f>TRIM(_xlfn.TEXTBEFORE(S3, ":"))</f>
        <v>#N/A</v>
      </c>
    </row>
    <row r="4" spans="1:20" ht="15.95" customHeight="1" x14ac:dyDescent="0.25">
      <c r="A4" s="18" t="s">
        <v>553</v>
      </c>
      <c r="B4" s="16" t="str">
        <f>TRIM(_xlfn.TEXTAFTER(A3, ":"))</f>
        <v>Stackable Currency</v>
      </c>
      <c r="C4" s="18" t="s">
        <v>1625</v>
      </c>
      <c r="D4" s="16" t="str">
        <f>TRIM(_xlfn.TEXTAFTER(C3, ":"))</f>
        <v>Stapelbare Währung</v>
      </c>
      <c r="E4" s="18" t="s">
        <v>2293</v>
      </c>
      <c r="F4" s="16" t="str">
        <f>TRIM(_xlfn.TEXTAFTER(E3, ":"))</f>
        <v>Objetos monetarios apilables</v>
      </c>
      <c r="G4" s="18" t="s">
        <v>848</v>
      </c>
      <c r="H4" s="16" t="str">
        <f>TRIM(_xlfn.TEXTAFTER(G3, ":"))</f>
        <v>Objets monétaires empilables</v>
      </c>
      <c r="I4" s="18" t="s">
        <v>3061</v>
      </c>
      <c r="J4" s="16" t="str">
        <f>TRIM(_xlfn.TEXTAFTER(I3, ":"))</f>
        <v>スタック可能カレンシー</v>
      </c>
      <c r="K4" s="18" t="s">
        <v>3755</v>
      </c>
      <c r="L4" s="16" t="str">
        <f>TRIM(_xlfn.TEXTAFTER(K3, ":"))</f>
        <v>중첩 가능 화폐</v>
      </c>
      <c r="M4" s="18" t="s">
        <v>4539</v>
      </c>
      <c r="N4" s="16" t="str">
        <f>TRIM(_xlfn.TEXTAFTER(M3, ":"))</f>
        <v>Moedas Empilháveis</v>
      </c>
      <c r="O4" s="18" t="s">
        <v>5223</v>
      </c>
      <c r="P4" s="16" t="str">
        <f>TRIM(_xlfn.TEXTAFTER(O3, ":"))</f>
        <v>Валюта</v>
      </c>
      <c r="Q4" s="18" t="s">
        <v>5911</v>
      </c>
      <c r="R4" s="16" t="str">
        <f>TRIM(_xlfn.TEXTAFTER(Q3, ":"))</f>
        <v>เงินตรารวมกองได้</v>
      </c>
      <c r="S4" s="18"/>
      <c r="T4" s="16" t="e">
        <f>TRIM(_xlfn.TEXTAFTER(S3, ":"))</f>
        <v>#N/A</v>
      </c>
    </row>
    <row r="5" spans="1:20" ht="15.95" customHeight="1" x14ac:dyDescent="0.25">
      <c r="A5" s="18" t="s">
        <v>554</v>
      </c>
      <c r="B5" s="16" t="str">
        <f>TRIM(_xlfn.TEXTBEFORE(A4, ":"))</f>
        <v>Rarity</v>
      </c>
      <c r="C5" s="18" t="s">
        <v>1626</v>
      </c>
      <c r="D5" s="16" t="str">
        <f>TRIM(_xlfn.TEXTBEFORE(C4, ":"))</f>
        <v>Seltenheit</v>
      </c>
      <c r="E5" s="18" t="s">
        <v>2347</v>
      </c>
      <c r="F5" s="16" t="str">
        <f>TRIM(_xlfn.TEXTBEFORE(E4, ":"))</f>
        <v>Rareza</v>
      </c>
      <c r="G5" s="18" t="s">
        <v>849</v>
      </c>
      <c r="H5" s="16" t="str">
        <f>TRIM(_xlfn.TEXTBEFORE(G4, ":"))</f>
        <v>Rareté</v>
      </c>
      <c r="I5" s="18" t="s">
        <v>3062</v>
      </c>
      <c r="J5" s="16" t="str">
        <f>TRIM(_xlfn.TEXTBEFORE(I4, ":"))</f>
        <v>レアリティ</v>
      </c>
      <c r="K5" s="18" t="s">
        <v>3812</v>
      </c>
      <c r="L5" s="16" t="str">
        <f>TRIM(_xlfn.TEXTBEFORE(K4, ":"))</f>
        <v>아이템 희귀도</v>
      </c>
      <c r="M5" s="18" t="s">
        <v>4540</v>
      </c>
      <c r="N5" s="16" t="str">
        <f>TRIM(_xlfn.TEXTBEFORE(M4, ":"))</f>
        <v>Raridade</v>
      </c>
      <c r="O5" s="18" t="s">
        <v>5224</v>
      </c>
      <c r="P5" s="16" t="str">
        <f>TRIM(_xlfn.TEXTBEFORE(O4, ":"))</f>
        <v>Редкость</v>
      </c>
      <c r="Q5" s="18" t="s">
        <v>554</v>
      </c>
      <c r="R5" s="16" t="str">
        <f>TRIM(_xlfn.TEXTBEFORE(Q4, ":"))</f>
        <v>ความหายาก</v>
      </c>
      <c r="S5" s="18"/>
      <c r="T5" s="16"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16" t="e">
        <f>TRIM(_xlfn.TEXTAFTER(S4,":"))</f>
        <v>#N/A</v>
      </c>
    </row>
    <row r="7" spans="1:20" ht="15.95" customHeight="1" x14ac:dyDescent="0.25">
      <c r="A7" s="18" t="s">
        <v>555</v>
      </c>
      <c r="B7" s="16"/>
      <c r="C7" s="18" t="s">
        <v>1627</v>
      </c>
      <c r="D7" s="16"/>
      <c r="E7" s="18" t="s">
        <v>2348</v>
      </c>
      <c r="F7" s="16"/>
      <c r="G7" s="18" t="s">
        <v>850</v>
      </c>
      <c r="H7" s="16"/>
      <c r="I7" s="18" t="s">
        <v>3063</v>
      </c>
      <c r="J7" s="16"/>
      <c r="K7" s="18" t="s">
        <v>3813</v>
      </c>
      <c r="L7" s="16"/>
      <c r="M7" s="18" t="s">
        <v>4541</v>
      </c>
      <c r="N7" s="16"/>
      <c r="O7" s="18" t="s">
        <v>5225</v>
      </c>
      <c r="P7" s="16"/>
      <c r="Q7" s="18" t="s">
        <v>5964</v>
      </c>
      <c r="R7" s="16"/>
      <c r="S7" s="18"/>
      <c r="T7" s="16"/>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556</v>
      </c>
      <c r="B9" s="16"/>
      <c r="C9" s="18" t="s">
        <v>1628</v>
      </c>
      <c r="D9" s="16"/>
      <c r="E9" s="18" t="s">
        <v>2349</v>
      </c>
      <c r="F9" s="16"/>
      <c r="G9" s="18" t="s">
        <v>851</v>
      </c>
      <c r="H9" s="16"/>
      <c r="I9" s="18" t="s">
        <v>3064</v>
      </c>
      <c r="J9" s="16"/>
      <c r="K9" s="18" t="s">
        <v>3814</v>
      </c>
      <c r="L9" s="16"/>
      <c r="M9" s="18" t="s">
        <v>4542</v>
      </c>
      <c r="N9" s="16"/>
      <c r="O9" s="18" t="s">
        <v>5226</v>
      </c>
      <c r="P9" s="16"/>
      <c r="Q9" s="18" t="s">
        <v>5965</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557</v>
      </c>
      <c r="B11" s="16"/>
      <c r="C11" s="18" t="s">
        <v>1629</v>
      </c>
      <c r="D11" s="16"/>
      <c r="E11" s="18" t="s">
        <v>2350</v>
      </c>
      <c r="F11" s="16"/>
      <c r="G11" s="18" t="s">
        <v>852</v>
      </c>
      <c r="H11" s="16"/>
      <c r="I11" s="18" t="s">
        <v>3065</v>
      </c>
      <c r="J11" s="16"/>
      <c r="K11" s="18" t="s">
        <v>3815</v>
      </c>
      <c r="L11" s="16"/>
      <c r="M11" s="18" t="s">
        <v>4543</v>
      </c>
      <c r="N11" s="16"/>
      <c r="O11" s="18" t="s">
        <v>5227</v>
      </c>
      <c r="P11" s="16"/>
      <c r="Q11" s="18" t="s">
        <v>5966</v>
      </c>
      <c r="R11" s="16"/>
      <c r="S11" s="18"/>
      <c r="T11" s="16"/>
    </row>
    <row r="12" spans="1:20" ht="15.95" customHeight="1" x14ac:dyDescent="0.25">
      <c r="A12" s="18"/>
      <c r="B12" s="16"/>
      <c r="C12" s="18"/>
      <c r="D12" s="16"/>
      <c r="E12" s="18"/>
      <c r="F12" s="16"/>
      <c r="G12" s="18"/>
      <c r="H12" s="16"/>
      <c r="I12" s="18"/>
      <c r="J12" s="16"/>
      <c r="K12" s="18"/>
      <c r="L12" s="16"/>
      <c r="M12" s="18"/>
      <c r="N12" s="16"/>
      <c r="O12" s="18"/>
      <c r="P12" s="16"/>
      <c r="Q12" s="18"/>
      <c r="R12" s="16"/>
      <c r="S12" s="18"/>
      <c r="T12" s="21"/>
    </row>
    <row r="13" spans="1:20" ht="15.95" customHeight="1" x14ac:dyDescent="0.25">
      <c r="A13" s="18"/>
      <c r="B13" s="16"/>
      <c r="C13" s="18"/>
      <c r="D13" s="16"/>
      <c r="E13" s="18"/>
      <c r="F13" s="16"/>
      <c r="G13" s="18"/>
      <c r="H13" s="16"/>
      <c r="I13" s="18"/>
      <c r="J13" s="16"/>
      <c r="K13" s="18"/>
      <c r="L13" s="16"/>
      <c r="M13" s="18"/>
      <c r="N13" s="16"/>
      <c r="O13" s="18"/>
      <c r="P13" s="16"/>
      <c r="Q13" s="18"/>
      <c r="R13" s="16"/>
      <c r="S13" s="18"/>
      <c r="T13" s="21"/>
    </row>
    <row r="14" spans="1:20" ht="15.95" customHeight="1" x14ac:dyDescent="0.25">
      <c r="A14" s="18"/>
      <c r="B14" s="16"/>
      <c r="C14" s="18"/>
      <c r="D14" s="16"/>
      <c r="E14" s="18"/>
      <c r="F14" s="16"/>
      <c r="G14" s="18"/>
      <c r="H14" s="16"/>
      <c r="I14" s="18"/>
      <c r="J14" s="16"/>
      <c r="K14" s="18"/>
      <c r="L14" s="16"/>
      <c r="M14" s="18"/>
      <c r="N14" s="16"/>
      <c r="O14" s="18"/>
      <c r="P14" s="16"/>
      <c r="Q14" s="18"/>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79" priority="2" stopIfTrue="1">
      <formula>NOT(ISERROR(A3))</formula>
    </cfRule>
  </conditionalFormatting>
  <conditionalFormatting sqref="A3:T51">
    <cfRule type="containsErrors" dxfId="478" priority="1" stopIfTrue="1">
      <formula>ISERROR(A3)</formula>
    </cfRule>
    <cfRule type="notContainsBlanks" dxfId="477" priority="3">
      <formula>LEN(TRIM(A3))&gt;0</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E4766C-0220-4D2A-B205-4AD613FCA5B2}">
  <sheetPr codeName="Sheet8"/>
  <dimension ref="A1:T51"/>
  <sheetViews>
    <sheetView workbookViewId="0">
      <selection activeCell="Q3" sqref="Q3:Q1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9" t="s">
        <v>84</v>
      </c>
    </row>
    <row r="3" spans="1:20" ht="15.95" customHeight="1" x14ac:dyDescent="0.25">
      <c r="A3" s="17" t="s">
        <v>583</v>
      </c>
      <c r="B3" s="16" t="str">
        <f>TRIM(_xlfn.TEXTBEFORE(A3, ":"))</f>
        <v>Item Class</v>
      </c>
      <c r="C3" s="17" t="s">
        <v>1630</v>
      </c>
      <c r="D3" s="16" t="str">
        <f>TRIM(_xlfn.TEXTBEFORE(C3, ":"))</f>
        <v>Gegenstandsklasse</v>
      </c>
      <c r="E3" s="17" t="s">
        <v>2351</v>
      </c>
      <c r="F3" s="16" t="str">
        <f>TRIM(_xlfn.TEXTBEFORE(E3, ":"))</f>
        <v>Clase de objeto</v>
      </c>
      <c r="G3" s="17" t="s">
        <v>899</v>
      </c>
      <c r="H3" s="16" t="str">
        <f>TRIM(_xlfn.TEXTBEFORE(G3, ":"))</f>
        <v>Classe d'objet</v>
      </c>
      <c r="I3" s="17" t="s">
        <v>3066</v>
      </c>
      <c r="J3" s="16" t="str">
        <f>TRIM(_xlfn.TEXTBEFORE(I3, ":"))</f>
        <v>アイテムクラス</v>
      </c>
      <c r="K3" s="17" t="s">
        <v>3816</v>
      </c>
      <c r="L3" s="16" t="str">
        <f>TRIM(_xlfn.TEXTBEFORE(K3, ":"))</f>
        <v>아이템 종류</v>
      </c>
      <c r="M3" s="17" t="s">
        <v>4544</v>
      </c>
      <c r="N3" s="16" t="str">
        <f>TRIM(_xlfn.TEXTBEFORE(M3, ":"))</f>
        <v>Classe do Item</v>
      </c>
      <c r="O3" s="17" t="s">
        <v>5228</v>
      </c>
      <c r="P3" s="16" t="str">
        <f>TRIM(_xlfn.TEXTBEFORE(O3, ":"))</f>
        <v>Класс предмета</v>
      </c>
      <c r="Q3" s="17" t="s">
        <v>5967</v>
      </c>
      <c r="R3" s="16" t="str">
        <f>TRIM(_xlfn.TEXTBEFORE(Q3, ":"))</f>
        <v>ชนิดไอเทม</v>
      </c>
      <c r="S3" s="17"/>
      <c r="T3" s="16" t="e">
        <f>TRIM(_xlfn.TEXTBEFORE(S3, ":"))</f>
        <v>#N/A</v>
      </c>
    </row>
    <row r="4" spans="1:20" ht="15.95" customHeight="1" x14ac:dyDescent="0.25">
      <c r="A4" s="18" t="s">
        <v>553</v>
      </c>
      <c r="B4" s="16" t="str">
        <f>TRIM(_xlfn.TEXTAFTER(A3, ":"))</f>
        <v>Delve Stackable Socketable Currency</v>
      </c>
      <c r="C4" s="18" t="s">
        <v>1625</v>
      </c>
      <c r="D4" s="16" t="str">
        <f>TRIM(_xlfn.TEXTAFTER(C3, ":"))</f>
        <v>Delve: Stapelbare, einfassbare Währung</v>
      </c>
      <c r="E4" s="18" t="s">
        <v>2293</v>
      </c>
      <c r="F4" s="16" t="str">
        <f>TRIM(_xlfn.TEXTAFTER(E3, ":"))</f>
        <v>Objetos monetarios apilables y engarzables de Delve</v>
      </c>
      <c r="G4" s="18" t="s">
        <v>848</v>
      </c>
      <c r="H4" s="16" t="str">
        <f>TRIM(_xlfn.TEXTAFTER(G3, ":"))</f>
        <v>Objets enchâssables et empilables Delve</v>
      </c>
      <c r="I4" s="18" t="s">
        <v>3061</v>
      </c>
      <c r="J4" s="16" t="str">
        <f>TRIM(_xlfn.TEXTAFTER(I3, ":"))</f>
        <v>デルヴスタック可能ソケット可能カレンシー</v>
      </c>
      <c r="K4" s="18" t="s">
        <v>3755</v>
      </c>
      <c r="L4" s="16" t="str">
        <f>TRIM(_xlfn.TEXTAFTER(K3, ":"))</f>
        <v>탐광 중첩 및 결합형 화폐</v>
      </c>
      <c r="M4" s="18" t="s">
        <v>4539</v>
      </c>
      <c r="N4" s="16" t="str">
        <f>TRIM(_xlfn.TEXTAFTER(M3, ":"))</f>
        <v>Item Monetário Aglomerável e Encaixável Delve</v>
      </c>
      <c r="O4" s="18" t="s">
        <v>5223</v>
      </c>
      <c r="P4" s="16" t="str">
        <f>TRIM(_xlfn.TEXTAFTER(O3, ":"))</f>
        <v>Валюта Спуска</v>
      </c>
      <c r="Q4" s="18" t="s">
        <v>5911</v>
      </c>
      <c r="R4" s="16" t="str">
        <f>TRIM(_xlfn.TEXTAFTER(Q3, ":"))</f>
        <v>เงินตรามีรูของเหมืองแบบรวมกองได้</v>
      </c>
      <c r="S4" s="18"/>
      <c r="T4" s="16" t="e">
        <f>TRIM(_xlfn.TEXTAFTER(S3, ":"))</f>
        <v>#N/A</v>
      </c>
    </row>
    <row r="5" spans="1:20" ht="15.95" customHeight="1" x14ac:dyDescent="0.25">
      <c r="A5" s="18" t="s">
        <v>584</v>
      </c>
      <c r="B5" s="16" t="str">
        <f>TRIM(_xlfn.TEXTBEFORE(A4, ":"))</f>
        <v>Rarity</v>
      </c>
      <c r="C5" s="18" t="s">
        <v>1631</v>
      </c>
      <c r="D5" s="16" t="str">
        <f>TRIM(_xlfn.TEXTBEFORE(C4, ":"))</f>
        <v>Seltenheit</v>
      </c>
      <c r="E5" s="18" t="s">
        <v>2352</v>
      </c>
      <c r="F5" s="16" t="str">
        <f>TRIM(_xlfn.TEXTBEFORE(E4, ":"))</f>
        <v>Rareza</v>
      </c>
      <c r="G5" s="18" t="s">
        <v>900</v>
      </c>
      <c r="H5" s="16" t="str">
        <f>TRIM(_xlfn.TEXTBEFORE(G4, ":"))</f>
        <v>Rareté</v>
      </c>
      <c r="I5" s="18" t="s">
        <v>3067</v>
      </c>
      <c r="J5" s="16" t="str">
        <f>TRIM(_xlfn.TEXTBEFORE(I4, ":"))</f>
        <v>レアリティ</v>
      </c>
      <c r="K5" s="18" t="s">
        <v>3817</v>
      </c>
      <c r="L5" s="16" t="str">
        <f>TRIM(_xlfn.TEXTBEFORE(K4, ":"))</f>
        <v>아이템 희귀도</v>
      </c>
      <c r="M5" s="18" t="s">
        <v>4545</v>
      </c>
      <c r="N5" s="16" t="str">
        <f>TRIM(_xlfn.TEXTBEFORE(M4, ":"))</f>
        <v>Raridade</v>
      </c>
      <c r="O5" s="18" t="s">
        <v>5229</v>
      </c>
      <c r="P5" s="16" t="str">
        <f>TRIM(_xlfn.TEXTBEFORE(O4, ":"))</f>
        <v>Редкость</v>
      </c>
      <c r="Q5" s="18" t="s">
        <v>5968</v>
      </c>
      <c r="R5" s="16" t="str">
        <f>TRIM(_xlfn.TEXTBEFORE(Q4, ":"))</f>
        <v>ความหายาก</v>
      </c>
      <c r="S5" s="18"/>
      <c r="T5" s="16"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16" t="e">
        <f>TRIM(_xlfn.TEXTAFTER(S4,":"))</f>
        <v>#N/A</v>
      </c>
    </row>
    <row r="7" spans="1:20" ht="15.95" customHeight="1" x14ac:dyDescent="0.25">
      <c r="A7" s="18" t="s">
        <v>585</v>
      </c>
      <c r="B7" s="16"/>
      <c r="C7" s="18" t="s">
        <v>1632</v>
      </c>
      <c r="D7" s="16"/>
      <c r="E7" s="18" t="s">
        <v>2353</v>
      </c>
      <c r="F7" s="16"/>
      <c r="G7" s="18" t="s">
        <v>901</v>
      </c>
      <c r="H7" s="16"/>
      <c r="I7" s="18" t="s">
        <v>3068</v>
      </c>
      <c r="J7" s="16"/>
      <c r="K7" s="18" t="s">
        <v>3818</v>
      </c>
      <c r="L7" s="16"/>
      <c r="M7" s="18" t="s">
        <v>4546</v>
      </c>
      <c r="N7" s="16"/>
      <c r="O7" s="18" t="s">
        <v>5230</v>
      </c>
      <c r="P7" s="16"/>
      <c r="Q7" s="18" t="s">
        <v>5969</v>
      </c>
      <c r="R7" s="16"/>
      <c r="S7" s="18"/>
      <c r="T7" s="16"/>
    </row>
    <row r="8" spans="1:20" ht="15.95" customHeight="1" x14ac:dyDescent="0.25">
      <c r="A8" s="18" t="s">
        <v>586</v>
      </c>
      <c r="B8" s="16"/>
      <c r="C8" s="18" t="s">
        <v>1633</v>
      </c>
      <c r="D8" s="16"/>
      <c r="E8" s="18" t="s">
        <v>2354</v>
      </c>
      <c r="F8" s="16"/>
      <c r="G8" s="18" t="s">
        <v>902</v>
      </c>
      <c r="H8" s="16"/>
      <c r="I8" s="18" t="s">
        <v>3069</v>
      </c>
      <c r="J8" s="16"/>
      <c r="K8" s="18" t="s">
        <v>3819</v>
      </c>
      <c r="L8" s="16"/>
      <c r="M8" s="18" t="s">
        <v>4547</v>
      </c>
      <c r="N8" s="16"/>
      <c r="O8" s="18" t="s">
        <v>5231</v>
      </c>
      <c r="P8" s="16"/>
      <c r="Q8" s="18" t="s">
        <v>5970</v>
      </c>
      <c r="R8" s="16"/>
      <c r="S8" s="18"/>
      <c r="T8" s="16"/>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587</v>
      </c>
      <c r="B10" s="16"/>
      <c r="C10" s="18" t="s">
        <v>1634</v>
      </c>
      <c r="D10" s="16"/>
      <c r="E10" s="18" t="s">
        <v>2355</v>
      </c>
      <c r="F10" s="16"/>
      <c r="G10" s="18" t="s">
        <v>903</v>
      </c>
      <c r="H10" s="16"/>
      <c r="I10" s="18" t="s">
        <v>3070</v>
      </c>
      <c r="J10" s="16"/>
      <c r="K10" s="18" t="s">
        <v>3820</v>
      </c>
      <c r="L10" s="16"/>
      <c r="M10" s="18" t="s">
        <v>4548</v>
      </c>
      <c r="N10" s="16"/>
      <c r="O10" s="18" t="s">
        <v>5232</v>
      </c>
      <c r="P10" s="16"/>
      <c r="Q10" s="18" t="s">
        <v>5971</v>
      </c>
      <c r="R10" s="16"/>
      <c r="S10" s="18"/>
      <c r="T10" s="16"/>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5.95" customHeight="1" x14ac:dyDescent="0.25">
      <c r="A12" s="18" t="s">
        <v>556</v>
      </c>
      <c r="B12" s="16"/>
      <c r="C12" s="18" t="s">
        <v>1628</v>
      </c>
      <c r="D12" s="16"/>
      <c r="E12" s="18" t="s">
        <v>2349</v>
      </c>
      <c r="F12" s="16"/>
      <c r="G12" s="18" t="s">
        <v>851</v>
      </c>
      <c r="H12" s="16"/>
      <c r="I12" s="18" t="s">
        <v>3064</v>
      </c>
      <c r="J12" s="16"/>
      <c r="K12" s="18" t="s">
        <v>3814</v>
      </c>
      <c r="L12" s="16"/>
      <c r="M12" s="18" t="s">
        <v>4549</v>
      </c>
      <c r="N12" s="16"/>
      <c r="O12" s="18" t="s">
        <v>5226</v>
      </c>
      <c r="P12" s="16"/>
      <c r="Q12" s="18" t="s">
        <v>5965</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588</v>
      </c>
      <c r="B14" s="16"/>
      <c r="C14" s="18" t="s">
        <v>1635</v>
      </c>
      <c r="D14" s="16"/>
      <c r="E14" s="18" t="s">
        <v>2356</v>
      </c>
      <c r="F14" s="16"/>
      <c r="G14" s="18" t="s">
        <v>904</v>
      </c>
      <c r="H14" s="16"/>
      <c r="I14" s="18" t="s">
        <v>3071</v>
      </c>
      <c r="J14" s="16"/>
      <c r="K14" s="18" t="s">
        <v>3821</v>
      </c>
      <c r="L14" s="16"/>
      <c r="M14" s="18" t="s">
        <v>4550</v>
      </c>
      <c r="N14" s="16"/>
      <c r="O14" s="18" t="s">
        <v>5233</v>
      </c>
      <c r="P14" s="16"/>
      <c r="Q14" s="18" t="s">
        <v>5972</v>
      </c>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76" priority="2" stopIfTrue="1">
      <formula>NOT(ISERROR(A3))</formula>
    </cfRule>
  </conditionalFormatting>
  <conditionalFormatting sqref="A3:T51">
    <cfRule type="containsErrors" dxfId="475" priority="1" stopIfTrue="1">
      <formula>ISERROR(A3)</formula>
    </cfRule>
    <cfRule type="notContainsBlanks" dxfId="474" priority="3">
      <formula>LEN(TRIM(A3))&gt;0</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C483C-1F4A-4A35-A28B-D3FA533B3963}">
  <sheetPr codeName="Sheet9"/>
  <dimension ref="A1:T51"/>
  <sheetViews>
    <sheetView workbookViewId="0">
      <selection activeCell="Q3" sqref="Q3:Q9"/>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9" t="s">
        <v>84</v>
      </c>
    </row>
    <row r="3" spans="1:20" ht="15.95" customHeight="1" x14ac:dyDescent="0.25">
      <c r="A3" s="17" t="s">
        <v>508</v>
      </c>
      <c r="B3" s="16" t="str">
        <f>TRIM(_xlfn.TEXTBEFORE(A3, ":"))</f>
        <v>Item Class</v>
      </c>
      <c r="C3" s="17" t="s">
        <v>1636</v>
      </c>
      <c r="D3" s="16" t="str">
        <f>TRIM(_xlfn.TEXTBEFORE(C3, ":"))</f>
        <v>Gegenstandsklasse</v>
      </c>
      <c r="E3" s="17" t="s">
        <v>2357</v>
      </c>
      <c r="F3" s="16" t="str">
        <f>TRIM(_xlfn.TEXTBEFORE(E3, ":"))</f>
        <v>Clase de objeto</v>
      </c>
      <c r="G3" s="17" t="s">
        <v>905</v>
      </c>
      <c r="H3" s="16" t="str">
        <f>TRIM(_xlfn.TEXTBEFORE(G3, ":"))</f>
        <v>Classe d'objet</v>
      </c>
      <c r="I3" s="17" t="s">
        <v>3072</v>
      </c>
      <c r="J3" s="16" t="str">
        <f>TRIM(_xlfn.TEXTBEFORE(I3, ":"))</f>
        <v>アイテムクラス</v>
      </c>
      <c r="K3" s="17" t="s">
        <v>3822</v>
      </c>
      <c r="L3" s="16" t="str">
        <f>TRIM(_xlfn.TEXTBEFORE(K3, ":"))</f>
        <v>아이템 종류</v>
      </c>
      <c r="M3" s="17" t="s">
        <v>4551</v>
      </c>
      <c r="N3" s="16" t="str">
        <f>TRIM(_xlfn.TEXTBEFORE(M3, ":"))</f>
        <v>Classe do Item</v>
      </c>
      <c r="O3" s="17" t="s">
        <v>5234</v>
      </c>
      <c r="P3" s="16" t="str">
        <f>TRIM(_xlfn.TEXTBEFORE(O3, ":"))</f>
        <v>Класс предмета</v>
      </c>
      <c r="Q3" s="17" t="s">
        <v>5973</v>
      </c>
      <c r="R3" s="16" t="str">
        <f>TRIM(_xlfn.TEXTBEFORE(Q3, ":"))</f>
        <v>ชนิดไอเทม</v>
      </c>
      <c r="S3" s="17"/>
      <c r="T3" s="16" t="e">
        <f>TRIM(_xlfn.TEXTBEFORE(S3, ":"))</f>
        <v>#N/A</v>
      </c>
    </row>
    <row r="4" spans="1:20" ht="15.95" customHeight="1" x14ac:dyDescent="0.25">
      <c r="A4" s="18" t="s">
        <v>509</v>
      </c>
      <c r="B4" s="16" t="str">
        <f>TRIM(_xlfn.TEXTAFTER(A3, ":"))</f>
        <v>Divination Cards</v>
      </c>
      <c r="C4" s="18" t="s">
        <v>1637</v>
      </c>
      <c r="D4" s="16" t="str">
        <f>TRIM(_xlfn.TEXTAFTER(C3, ":"))</f>
        <v>Weissagungskarten</v>
      </c>
      <c r="E4" s="18" t="s">
        <v>2358</v>
      </c>
      <c r="F4" s="16" t="str">
        <f>TRIM(_xlfn.TEXTAFTER(E3, ":"))</f>
        <v>Cartas de adivinación</v>
      </c>
      <c r="G4" s="18" t="s">
        <v>906</v>
      </c>
      <c r="H4" s="16" t="str">
        <f>TRIM(_xlfn.TEXTAFTER(G3, ":"))</f>
        <v>Cartes divinatoires</v>
      </c>
      <c r="I4" s="18" t="s">
        <v>3073</v>
      </c>
      <c r="J4" s="16" t="str">
        <f>TRIM(_xlfn.TEXTAFTER(I3, ":"))</f>
        <v>占いカード</v>
      </c>
      <c r="K4" s="18" t="s">
        <v>3823</v>
      </c>
      <c r="L4" s="16" t="str">
        <f>TRIM(_xlfn.TEXTAFTER(K3, ":"))</f>
        <v>점술 카드</v>
      </c>
      <c r="M4" s="18" t="s">
        <v>4552</v>
      </c>
      <c r="N4" s="16" t="str">
        <f>TRIM(_xlfn.TEXTAFTER(M3, ":"))</f>
        <v>Cartas de Adivinhação</v>
      </c>
      <c r="O4" s="18" t="s">
        <v>5235</v>
      </c>
      <c r="P4" s="16" t="str">
        <f>TRIM(_xlfn.TEXTAFTER(O3, ":"))</f>
        <v>Гадальные карты</v>
      </c>
      <c r="Q4" s="18" t="s">
        <v>5974</v>
      </c>
      <c r="R4" s="16" t="str">
        <f>TRIM(_xlfn.TEXTAFTER(Q3, ":"))</f>
        <v>ไพ่พยากรณ์</v>
      </c>
      <c r="S4" s="18"/>
      <c r="T4" s="16" t="e">
        <f>TRIM(_xlfn.TEXTAFTER(S3, ":"))</f>
        <v>#N/A</v>
      </c>
    </row>
    <row r="5" spans="1:20" ht="15.95" customHeight="1" x14ac:dyDescent="0.25">
      <c r="A5" s="18" t="s">
        <v>510</v>
      </c>
      <c r="B5" s="16" t="str">
        <f>TRIM(_xlfn.TEXTBEFORE(A4, ":"))</f>
        <v>Rarity</v>
      </c>
      <c r="C5" s="18" t="s">
        <v>1638</v>
      </c>
      <c r="D5" s="16" t="str">
        <f>TRIM(_xlfn.TEXTBEFORE(C4, ":"))</f>
        <v>Seltenheit</v>
      </c>
      <c r="E5" s="18" t="s">
        <v>2359</v>
      </c>
      <c r="F5" s="16" t="str">
        <f>TRIM(_xlfn.TEXTBEFORE(E4, ":"))</f>
        <v>Rareza</v>
      </c>
      <c r="G5" s="18" t="s">
        <v>907</v>
      </c>
      <c r="H5" s="16" t="str">
        <f>TRIM(_xlfn.TEXTBEFORE(G4, ":"))</f>
        <v>Rareté</v>
      </c>
      <c r="I5" s="18" t="s">
        <v>3074</v>
      </c>
      <c r="J5" s="16" t="str">
        <f>TRIM(_xlfn.TEXTBEFORE(I4, ":"))</f>
        <v>レアリティ</v>
      </c>
      <c r="K5" s="18" t="s">
        <v>3824</v>
      </c>
      <c r="L5" s="16" t="str">
        <f>TRIM(_xlfn.TEXTBEFORE(K4, ":"))</f>
        <v>아이템 희귀도</v>
      </c>
      <c r="M5" s="18" t="s">
        <v>4553</v>
      </c>
      <c r="N5" s="16" t="str">
        <f>TRIM(_xlfn.TEXTBEFORE(M4, ":"))</f>
        <v>Raridade</v>
      </c>
      <c r="O5" s="18" t="s">
        <v>5236</v>
      </c>
      <c r="P5" s="16" t="str">
        <f>TRIM(_xlfn.TEXTBEFORE(O4, ":"))</f>
        <v>Редкость</v>
      </c>
      <c r="Q5" s="18" t="s">
        <v>510</v>
      </c>
      <c r="R5" s="16" t="str">
        <f>TRIM(_xlfn.TEXTBEFORE(Q4, ":"))</f>
        <v>ความหายาก</v>
      </c>
      <c r="S5" s="18"/>
      <c r="T5" s="16" t="e">
        <f>TRIM(_xlfn.TEXTBEFORE(S4, ":"))</f>
        <v>#N/A</v>
      </c>
    </row>
    <row r="6" spans="1:20" ht="15.95" customHeight="1" x14ac:dyDescent="0.25">
      <c r="A6" s="18" t="s">
        <v>4</v>
      </c>
      <c r="B6" s="16" t="str">
        <f>TRIM(_xlfn.TEXTAFTER(A4,":"))</f>
        <v>Divination Card</v>
      </c>
      <c r="C6" s="18" t="s">
        <v>4</v>
      </c>
      <c r="D6" s="16" t="str">
        <f>TRIM(_xlfn.TEXTAFTER(C4,":"))</f>
        <v>Weissagungskarte</v>
      </c>
      <c r="E6" s="18" t="s">
        <v>4</v>
      </c>
      <c r="F6" s="16" t="str">
        <f>TRIM(_xlfn.TEXTAFTER(E4,":"))</f>
        <v>Carta de adivinación</v>
      </c>
      <c r="G6" s="18" t="s">
        <v>4</v>
      </c>
      <c r="H6" s="16" t="str">
        <f>TRIM(_xlfn.TEXTAFTER(G4,":"))</f>
        <v>Carte divinatoire</v>
      </c>
      <c r="I6" s="18" t="s">
        <v>4</v>
      </c>
      <c r="J6" s="16" t="str">
        <f>TRIM(_xlfn.TEXTAFTER(I4,":"))</f>
        <v>占いカード</v>
      </c>
      <c r="K6" s="18" t="s">
        <v>4</v>
      </c>
      <c r="L6" s="16" t="str">
        <f>TRIM(_xlfn.TEXTAFTER(K4,":"))</f>
        <v>점술 카드</v>
      </c>
      <c r="M6" s="18" t="s">
        <v>4</v>
      </c>
      <c r="N6" s="16" t="str">
        <f>TRIM(_xlfn.TEXTAFTER(M4,":"))</f>
        <v>Carta de Adivinhação</v>
      </c>
      <c r="O6" s="18" t="s">
        <v>4</v>
      </c>
      <c r="P6" s="16" t="str">
        <f>TRIM(_xlfn.TEXTAFTER(O4,":"))</f>
        <v>Гадальная карта</v>
      </c>
      <c r="Q6" s="18" t="s">
        <v>4</v>
      </c>
      <c r="R6" s="16" t="str">
        <f>TRIM(_xlfn.TEXTAFTER(Q4,":"))</f>
        <v>ไพ่พยากรณ์</v>
      </c>
      <c r="S6" s="18"/>
      <c r="T6" s="16" t="e">
        <f>TRIM(_xlfn.TEXTAFTER(S4,":"))</f>
        <v>#N/A</v>
      </c>
    </row>
    <row r="7" spans="1:20" ht="15.95" customHeight="1" x14ac:dyDescent="0.25">
      <c r="A7" s="18" t="s">
        <v>511</v>
      </c>
      <c r="B7" s="16"/>
      <c r="C7" s="18" t="s">
        <v>1639</v>
      </c>
      <c r="D7" s="16"/>
      <c r="E7" s="18" t="s">
        <v>2360</v>
      </c>
      <c r="F7" s="16"/>
      <c r="G7" s="18" t="s">
        <v>908</v>
      </c>
      <c r="H7" s="16"/>
      <c r="I7" s="18" t="s">
        <v>3075</v>
      </c>
      <c r="J7" s="16"/>
      <c r="K7" s="18" t="s">
        <v>3825</v>
      </c>
      <c r="L7" s="16"/>
      <c r="M7" s="18" t="s">
        <v>4554</v>
      </c>
      <c r="N7" s="16"/>
      <c r="O7" s="18" t="s">
        <v>5237</v>
      </c>
      <c r="P7" s="16"/>
      <c r="Q7" s="18" t="s">
        <v>511</v>
      </c>
      <c r="R7" s="16"/>
      <c r="S7" s="18"/>
      <c r="T7" s="16"/>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512</v>
      </c>
      <c r="B9" s="16"/>
      <c r="C9" s="18" t="s">
        <v>1640</v>
      </c>
      <c r="D9" s="16"/>
      <c r="E9" s="18" t="s">
        <v>2361</v>
      </c>
      <c r="F9" s="16"/>
      <c r="G9" s="18" t="s">
        <v>909</v>
      </c>
      <c r="H9" s="16"/>
      <c r="I9" s="18" t="s">
        <v>3076</v>
      </c>
      <c r="J9" s="16"/>
      <c r="K9" s="18" t="s">
        <v>3826</v>
      </c>
      <c r="L9" s="16"/>
      <c r="M9" s="18" t="s">
        <v>4555</v>
      </c>
      <c r="N9" s="16"/>
      <c r="O9" s="18" t="s">
        <v>5238</v>
      </c>
      <c r="P9" s="16"/>
      <c r="Q9" s="18" t="s">
        <v>5975</v>
      </c>
      <c r="R9" s="16"/>
      <c r="S9" s="18"/>
      <c r="T9" s="16"/>
    </row>
    <row r="10" spans="1:20" ht="15.95" customHeight="1" x14ac:dyDescent="0.25">
      <c r="A10" s="18"/>
      <c r="B10" s="16"/>
      <c r="C10" s="18" t="s">
        <v>1641</v>
      </c>
      <c r="D10" s="16"/>
      <c r="E10" s="18"/>
      <c r="F10" s="16"/>
      <c r="G10" s="18"/>
      <c r="H10" s="16"/>
      <c r="I10" s="18"/>
      <c r="J10" s="16"/>
      <c r="K10" s="18"/>
      <c r="L10" s="16"/>
      <c r="M10" s="18"/>
      <c r="N10" s="16"/>
      <c r="O10" s="18"/>
      <c r="P10" s="16"/>
      <c r="Q10" s="18"/>
      <c r="R10" s="16"/>
      <c r="S10" s="18"/>
      <c r="T10" s="16"/>
    </row>
    <row r="11" spans="1:20" ht="15.95" customHeight="1" x14ac:dyDescent="0.25">
      <c r="A11" s="18"/>
      <c r="B11" s="16"/>
      <c r="C11" s="18"/>
      <c r="D11" s="16"/>
      <c r="E11" s="18"/>
      <c r="F11" s="16"/>
      <c r="G11" s="18"/>
      <c r="H11" s="16"/>
      <c r="I11" s="18"/>
      <c r="J11" s="16"/>
      <c r="K11" s="18"/>
      <c r="L11" s="16"/>
      <c r="M11" s="18"/>
      <c r="N11" s="16"/>
      <c r="O11" s="18"/>
      <c r="P11" s="16"/>
      <c r="Q11" s="18"/>
      <c r="R11" s="16"/>
      <c r="S11" s="18"/>
      <c r="T11" s="16"/>
    </row>
    <row r="12" spans="1:20" ht="15.95" customHeight="1" x14ac:dyDescent="0.25">
      <c r="A12" s="18"/>
      <c r="B12" s="16"/>
      <c r="C12" s="18"/>
      <c r="D12" s="16"/>
      <c r="E12" s="18"/>
      <c r="F12" s="16"/>
      <c r="G12" s="18"/>
      <c r="H12" s="16"/>
      <c r="I12" s="18"/>
      <c r="J12" s="16"/>
      <c r="K12" s="18"/>
      <c r="L12" s="16"/>
      <c r="M12" s="18"/>
      <c r="N12" s="16"/>
      <c r="O12" s="18"/>
      <c r="P12" s="16"/>
      <c r="Q12" s="18"/>
      <c r="R12" s="16"/>
      <c r="S12" s="18"/>
      <c r="T12" s="21"/>
    </row>
    <row r="13" spans="1:20" ht="15.95" customHeight="1" x14ac:dyDescent="0.25">
      <c r="A13" s="18"/>
      <c r="B13" s="16"/>
      <c r="C13" s="18"/>
      <c r="D13" s="16"/>
      <c r="E13" s="18"/>
      <c r="F13" s="16"/>
      <c r="G13" s="18"/>
      <c r="H13" s="16"/>
      <c r="I13" s="18"/>
      <c r="J13" s="16"/>
      <c r="K13" s="18"/>
      <c r="L13" s="16"/>
      <c r="M13" s="18"/>
      <c r="N13" s="16"/>
      <c r="O13" s="18"/>
      <c r="P13" s="16"/>
      <c r="Q13" s="18"/>
      <c r="R13" s="16"/>
      <c r="S13" s="18"/>
      <c r="T13" s="21"/>
    </row>
    <row r="14" spans="1:20" ht="15.95" customHeight="1" x14ac:dyDescent="0.25">
      <c r="A14" s="18"/>
      <c r="B14" s="16"/>
      <c r="C14" s="18"/>
      <c r="D14" s="16"/>
      <c r="E14" s="18"/>
      <c r="F14" s="16"/>
      <c r="G14" s="18"/>
      <c r="H14" s="16"/>
      <c r="I14" s="18"/>
      <c r="J14" s="16"/>
      <c r="K14" s="18"/>
      <c r="L14" s="16"/>
      <c r="M14" s="18"/>
      <c r="N14" s="16"/>
      <c r="O14" s="18"/>
      <c r="P14" s="16"/>
      <c r="Q14" s="18"/>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73" priority="2" stopIfTrue="1">
      <formula>NOT(ISERROR(A3))</formula>
    </cfRule>
  </conditionalFormatting>
  <conditionalFormatting sqref="A3:T51">
    <cfRule type="containsErrors" dxfId="472" priority="1" stopIfTrue="1">
      <formula>ISERROR(A3)</formula>
    </cfRule>
    <cfRule type="notContainsBlanks" dxfId="471" priority="3">
      <formula>LEN(TRIM(A3))&gt;0</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EED90F-F2E9-4E65-8454-4DB86A9EE08D}">
  <sheetPr codeName="Sheet10"/>
  <dimension ref="A1:T51"/>
  <sheetViews>
    <sheetView workbookViewId="0">
      <selection activeCell="Q3" sqref="Q3:Q1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9" t="s">
        <v>84</v>
      </c>
    </row>
    <row r="3" spans="1:20" ht="15.95" customHeight="1" x14ac:dyDescent="0.25">
      <c r="A3" s="17" t="s">
        <v>589</v>
      </c>
      <c r="B3" s="16" t="str">
        <f>TRIM(_xlfn.TEXTBEFORE(A3, ":"))</f>
        <v>Item Class</v>
      </c>
      <c r="C3" s="17" t="s">
        <v>1642</v>
      </c>
      <c r="D3" s="16" t="str">
        <f>TRIM(_xlfn.TEXTBEFORE(C3, ":"))</f>
        <v>Gegenstandsklasse</v>
      </c>
      <c r="E3" s="17" t="s">
        <v>2362</v>
      </c>
      <c r="F3" s="16" t="str">
        <f>TRIM(_xlfn.TEXTBEFORE(E3, ":"))</f>
        <v>Clase de objeto</v>
      </c>
      <c r="G3" s="17" t="s">
        <v>910</v>
      </c>
      <c r="H3" s="16" t="str">
        <f>TRIM(_xlfn.TEXTBEFORE(G3, ":"))</f>
        <v>Classe d'objet</v>
      </c>
      <c r="I3" s="17" t="s">
        <v>3077</v>
      </c>
      <c r="J3" s="16" t="str">
        <f>TRIM(_xlfn.TEXTBEFORE(I3, ":"))</f>
        <v>アイテムクラス</v>
      </c>
      <c r="K3" s="17" t="s">
        <v>3827</v>
      </c>
      <c r="L3" s="16" t="str">
        <f>TRIM(_xlfn.TEXTBEFORE(K3, ":"))</f>
        <v>아이템 종류</v>
      </c>
      <c r="M3" s="17" t="s">
        <v>4556</v>
      </c>
      <c r="N3" s="16" t="str">
        <f>TRIM(_xlfn.TEXTBEFORE(M3, ":"))</f>
        <v>Classe do Item</v>
      </c>
      <c r="O3" s="17" t="s">
        <v>5239</v>
      </c>
      <c r="P3" s="16" t="str">
        <f>TRIM(_xlfn.TEXTBEFORE(O3, ":"))</f>
        <v>Класс предмета</v>
      </c>
      <c r="Q3" s="17" t="s">
        <v>5976</v>
      </c>
      <c r="R3" s="16" t="str">
        <f>TRIM(_xlfn.TEXTBEFORE(Q3, ":"))</f>
        <v>ชนิดไอเทม</v>
      </c>
      <c r="S3" s="17"/>
      <c r="T3" s="16" t="e">
        <f>TRIM(_xlfn.TEXTBEFORE(S3, ":"))</f>
        <v>#N/A</v>
      </c>
    </row>
    <row r="4" spans="1:20" ht="15.95" customHeight="1" x14ac:dyDescent="0.25">
      <c r="A4" s="18" t="s">
        <v>80</v>
      </c>
      <c r="B4" s="16" t="str">
        <f>TRIM(_xlfn.TEXTAFTER(A3, ":"))</f>
        <v>Metamorph Samples</v>
      </c>
      <c r="C4" s="18" t="s">
        <v>1643</v>
      </c>
      <c r="D4" s="16" t="str">
        <f>TRIM(_xlfn.TEXTAFTER(C3, ":"))</f>
        <v>Metamorph-Proben</v>
      </c>
      <c r="E4" s="18" t="s">
        <v>2363</v>
      </c>
      <c r="F4" s="16" t="str">
        <f>TRIM(_xlfn.TEXTAFTER(E3, ":"))</f>
        <v>Muestras de metamorfo</v>
      </c>
      <c r="G4" s="18" t="s">
        <v>1</v>
      </c>
      <c r="H4" s="16" t="str">
        <f>TRIM(_xlfn.TEXTAFTER(G3, ":"))</f>
        <v>Organes de Métamorphe</v>
      </c>
      <c r="I4" s="18" t="s">
        <v>3078</v>
      </c>
      <c r="J4" s="16" t="str">
        <f>TRIM(_xlfn.TEXTAFTER(I3, ":"))</f>
        <v>メタモルフサンプル</v>
      </c>
      <c r="K4" s="18" t="s">
        <v>3828</v>
      </c>
      <c r="L4" s="16" t="str">
        <f>TRIM(_xlfn.TEXTAFTER(K3, ":"))</f>
        <v>변형 샘플</v>
      </c>
      <c r="M4" s="18" t="s">
        <v>4557</v>
      </c>
      <c r="N4" s="16" t="str">
        <f>TRIM(_xlfn.TEXTAFTER(M3, ":"))</f>
        <v>Amostras Metamorfas</v>
      </c>
      <c r="O4" s="18" t="s">
        <v>5240</v>
      </c>
      <c r="P4" s="16" t="str">
        <f>TRIM(_xlfn.TEXTAFTER(O3, ":"))</f>
        <v>Образцы Метаморфа</v>
      </c>
      <c r="Q4" s="18" t="s">
        <v>5977</v>
      </c>
      <c r="R4" s="16" t="str">
        <f>TRIM(_xlfn.TEXTAFTER(Q3, ":"))</f>
        <v>ชิ้นส่วนตัวอย่างเมตามอร์ฟ</v>
      </c>
      <c r="S4" s="18"/>
      <c r="T4" s="16" t="e">
        <f>TRIM(_xlfn.TEXTAFTER(S3, ":"))</f>
        <v>#N/A</v>
      </c>
    </row>
    <row r="5" spans="1:20" ht="15.95" customHeight="1" x14ac:dyDescent="0.25">
      <c r="A5" s="18" t="s">
        <v>590</v>
      </c>
      <c r="B5" s="16" t="str">
        <f>TRIM(_xlfn.TEXTBEFORE(A4, ":"))</f>
        <v>Rarity</v>
      </c>
      <c r="C5" s="18" t="s">
        <v>1644</v>
      </c>
      <c r="D5" s="16" t="str">
        <f>TRIM(_xlfn.TEXTBEFORE(C4, ":"))</f>
        <v>Seltenheit</v>
      </c>
      <c r="E5" s="18" t="s">
        <v>2364</v>
      </c>
      <c r="F5" s="16" t="str">
        <f>TRIM(_xlfn.TEXTBEFORE(E4, ":"))</f>
        <v>Rareza</v>
      </c>
      <c r="G5" s="18" t="s">
        <v>911</v>
      </c>
      <c r="H5" s="16" t="str">
        <f>TRIM(_xlfn.TEXTBEFORE(G4, ":"))</f>
        <v>Rareté</v>
      </c>
      <c r="I5" s="18" t="s">
        <v>3079</v>
      </c>
      <c r="J5" s="16" t="str">
        <f>TRIM(_xlfn.TEXTBEFORE(I4, ":"))</f>
        <v>レアリティ</v>
      </c>
      <c r="K5" s="18" t="s">
        <v>3829</v>
      </c>
      <c r="L5" s="16" t="str">
        <f>TRIM(_xlfn.TEXTBEFORE(K4, ":"))</f>
        <v>아이템 희귀도</v>
      </c>
      <c r="M5" s="18" t="s">
        <v>4558</v>
      </c>
      <c r="N5" s="16" t="str">
        <f>TRIM(_xlfn.TEXTBEFORE(M4, ":"))</f>
        <v>Raridade</v>
      </c>
      <c r="O5" s="18" t="s">
        <v>5241</v>
      </c>
      <c r="P5" s="16" t="str">
        <f>TRIM(_xlfn.TEXTBEFORE(O4, ":"))</f>
        <v>Редкость</v>
      </c>
      <c r="Q5" s="18" t="s">
        <v>5978</v>
      </c>
      <c r="R5" s="16" t="str">
        <f>TRIM(_xlfn.TEXTBEFORE(Q4, ":"))</f>
        <v>ความหายาก</v>
      </c>
      <c r="S5" s="18"/>
      <c r="T5" s="16" t="e">
        <f>TRIM(_xlfn.TEXTBEFORE(S4, ":"))</f>
        <v>#N/A</v>
      </c>
    </row>
    <row r="6" spans="1:20" ht="15.95" customHeight="1" x14ac:dyDescent="0.25">
      <c r="A6" s="18" t="s">
        <v>4</v>
      </c>
      <c r="B6" s="16" t="str">
        <f>TRIM(_xlfn.TEXTAFTER(A4,":"))</f>
        <v>Unique</v>
      </c>
      <c r="C6" s="18" t="s">
        <v>4</v>
      </c>
      <c r="D6" s="16" t="str">
        <f>TRIM(_xlfn.TEXTAFTER(C4,":"))</f>
        <v>Einzigartig</v>
      </c>
      <c r="E6" s="18" t="s">
        <v>4</v>
      </c>
      <c r="F6" s="16" t="str">
        <f>TRIM(_xlfn.TEXTAFTER(E4,":"))</f>
        <v>Único</v>
      </c>
      <c r="G6" s="18" t="s">
        <v>4</v>
      </c>
      <c r="H6" s="16" t="str">
        <f>TRIM(_xlfn.TEXTAFTER(G4,":"))</f>
        <v>Unique</v>
      </c>
      <c r="I6" s="18" t="s">
        <v>4</v>
      </c>
      <c r="J6" s="16" t="str">
        <f>TRIM(_xlfn.TEXTAFTER(I4,":"))</f>
        <v>ユニーク</v>
      </c>
      <c r="K6" s="18" t="s">
        <v>4</v>
      </c>
      <c r="L6" s="16" t="str">
        <f>TRIM(_xlfn.TEXTAFTER(K4,":"))</f>
        <v>고유</v>
      </c>
      <c r="M6" s="18" t="s">
        <v>4</v>
      </c>
      <c r="N6" s="16" t="str">
        <f>TRIM(_xlfn.TEXTAFTER(M4,":"))</f>
        <v>Único</v>
      </c>
      <c r="O6" s="18" t="s">
        <v>4</v>
      </c>
      <c r="P6" s="16" t="str">
        <f>TRIM(_xlfn.TEXTAFTER(O4,":"))</f>
        <v>Уникальный</v>
      </c>
      <c r="Q6" s="18" t="s">
        <v>4</v>
      </c>
      <c r="R6" s="16" t="str">
        <f>TRIM(_xlfn.TEXTAFTER(Q4,":"))</f>
        <v>ยูนิค</v>
      </c>
      <c r="S6" s="18"/>
      <c r="T6" s="16" t="e">
        <f>TRIM(_xlfn.TEXTAFTER(S4,":"))</f>
        <v>#N/A</v>
      </c>
    </row>
    <row r="7" spans="1:20" ht="15.95" customHeight="1" x14ac:dyDescent="0.25">
      <c r="A7" s="18" t="s">
        <v>591</v>
      </c>
      <c r="B7" s="16"/>
      <c r="C7" s="18" t="s">
        <v>1645</v>
      </c>
      <c r="D7" s="16"/>
      <c r="E7" s="18" t="s">
        <v>2365</v>
      </c>
      <c r="F7" s="16"/>
      <c r="G7" s="18" t="s">
        <v>912</v>
      </c>
      <c r="H7" s="16"/>
      <c r="I7" s="18" t="s">
        <v>3080</v>
      </c>
      <c r="J7" s="16"/>
      <c r="K7" s="18" t="s">
        <v>3830</v>
      </c>
      <c r="L7" s="16"/>
      <c r="M7" s="18" t="s">
        <v>4559</v>
      </c>
      <c r="N7" s="16"/>
      <c r="O7" s="18" t="s">
        <v>5242</v>
      </c>
      <c r="P7" s="16"/>
      <c r="Q7" s="18" t="s">
        <v>5979</v>
      </c>
      <c r="R7" s="16"/>
      <c r="S7" s="18"/>
      <c r="T7" s="16"/>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169</v>
      </c>
      <c r="B9" s="16"/>
      <c r="C9" s="18" t="s">
        <v>1646</v>
      </c>
      <c r="D9" s="16"/>
      <c r="E9" s="18" t="s">
        <v>2366</v>
      </c>
      <c r="F9" s="16"/>
      <c r="G9" s="18" t="s">
        <v>913</v>
      </c>
      <c r="H9" s="16"/>
      <c r="I9" s="18" t="s">
        <v>3081</v>
      </c>
      <c r="J9" s="16"/>
      <c r="K9" s="18" t="s">
        <v>3831</v>
      </c>
      <c r="L9" s="16"/>
      <c r="M9" s="18" t="s">
        <v>4560</v>
      </c>
      <c r="N9" s="16"/>
      <c r="O9" s="18" t="s">
        <v>5243</v>
      </c>
      <c r="P9" s="16"/>
      <c r="Q9" s="18" t="s">
        <v>5980</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592</v>
      </c>
      <c r="B11" s="16"/>
      <c r="C11" s="18" t="s">
        <v>1647</v>
      </c>
      <c r="D11" s="16"/>
      <c r="E11" s="18" t="s">
        <v>2367</v>
      </c>
      <c r="F11" s="16"/>
      <c r="G11" s="18" t="s">
        <v>914</v>
      </c>
      <c r="H11" s="16"/>
      <c r="I11" s="18" t="s">
        <v>3082</v>
      </c>
      <c r="J11" s="16"/>
      <c r="K11" s="18" t="s">
        <v>3832</v>
      </c>
      <c r="L11" s="16"/>
      <c r="M11" s="18" t="s">
        <v>4561</v>
      </c>
      <c r="N11" s="16"/>
      <c r="O11" s="18" t="s">
        <v>5244</v>
      </c>
      <c r="P11" s="16"/>
      <c r="Q11" s="18" t="s">
        <v>5981</v>
      </c>
      <c r="R11" s="16"/>
      <c r="S11" s="18"/>
      <c r="T11" s="16"/>
    </row>
    <row r="12" spans="1:20" ht="15.95" customHeight="1" x14ac:dyDescent="0.25">
      <c r="A12" s="18" t="s">
        <v>592</v>
      </c>
      <c r="B12" s="16"/>
      <c r="C12" s="18" t="s">
        <v>1647</v>
      </c>
      <c r="D12" s="16"/>
      <c r="E12" s="18" t="s">
        <v>2367</v>
      </c>
      <c r="F12" s="16"/>
      <c r="G12" s="18" t="s">
        <v>914</v>
      </c>
      <c r="H12" s="16"/>
      <c r="I12" s="18" t="s">
        <v>3082</v>
      </c>
      <c r="J12" s="16"/>
      <c r="K12" s="18" t="s">
        <v>3832</v>
      </c>
      <c r="L12" s="16"/>
      <c r="M12" s="18" t="s">
        <v>4561</v>
      </c>
      <c r="N12" s="16"/>
      <c r="O12" s="18" t="s">
        <v>5244</v>
      </c>
      <c r="P12" s="16"/>
      <c r="Q12" s="18" t="s">
        <v>5981</v>
      </c>
      <c r="R12" s="16"/>
      <c r="S12" s="18"/>
      <c r="T12" s="21"/>
    </row>
    <row r="13" spans="1:20" ht="15.95" customHeight="1" x14ac:dyDescent="0.25">
      <c r="A13" s="18" t="s">
        <v>593</v>
      </c>
      <c r="B13" s="16"/>
      <c r="C13" s="18" t="s">
        <v>1648</v>
      </c>
      <c r="D13" s="16"/>
      <c r="E13" s="18" t="s">
        <v>2368</v>
      </c>
      <c r="F13" s="16"/>
      <c r="G13" s="18" t="s">
        <v>915</v>
      </c>
      <c r="H13" s="16"/>
      <c r="I13" s="18" t="s">
        <v>3083</v>
      </c>
      <c r="J13" s="16"/>
      <c r="K13" s="18" t="s">
        <v>3833</v>
      </c>
      <c r="L13" s="16"/>
      <c r="M13" s="18" t="s">
        <v>4562</v>
      </c>
      <c r="N13" s="16"/>
      <c r="O13" s="18" t="s">
        <v>5245</v>
      </c>
      <c r="P13" s="16"/>
      <c r="Q13" s="18" t="s">
        <v>5982</v>
      </c>
      <c r="R13" s="16"/>
      <c r="S13" s="18"/>
      <c r="T13" s="21"/>
    </row>
    <row r="14" spans="1:20" ht="15.95" customHeight="1" x14ac:dyDescent="0.25">
      <c r="A14" s="18" t="s">
        <v>594</v>
      </c>
      <c r="B14" s="16"/>
      <c r="C14" s="18" t="s">
        <v>1649</v>
      </c>
      <c r="D14" s="16"/>
      <c r="E14" s="18" t="s">
        <v>2369</v>
      </c>
      <c r="F14" s="16"/>
      <c r="G14" s="18" t="s">
        <v>916</v>
      </c>
      <c r="H14" s="16"/>
      <c r="I14" s="18" t="s">
        <v>3084</v>
      </c>
      <c r="J14" s="16"/>
      <c r="K14" s="18" t="s">
        <v>3834</v>
      </c>
      <c r="L14" s="16"/>
      <c r="M14" s="18" t="s">
        <v>4563</v>
      </c>
      <c r="N14" s="16"/>
      <c r="O14" s="18" t="s">
        <v>5246</v>
      </c>
      <c r="P14" s="16"/>
      <c r="Q14" s="18" t="s">
        <v>5983</v>
      </c>
      <c r="R14" s="16"/>
      <c r="S14" s="18"/>
      <c r="T14" s="21"/>
    </row>
    <row r="15" spans="1:20" ht="15.95" customHeight="1" x14ac:dyDescent="0.25">
      <c r="A15" s="18" t="s">
        <v>593</v>
      </c>
      <c r="B15" s="16"/>
      <c r="C15" s="18" t="s">
        <v>1648</v>
      </c>
      <c r="D15" s="16"/>
      <c r="E15" s="18" t="s">
        <v>2368</v>
      </c>
      <c r="F15" s="16"/>
      <c r="G15" s="18" t="s">
        <v>915</v>
      </c>
      <c r="H15" s="16"/>
      <c r="I15" s="18" t="s">
        <v>3083</v>
      </c>
      <c r="J15" s="16"/>
      <c r="K15" s="18" t="s">
        <v>3833</v>
      </c>
      <c r="L15" s="16"/>
      <c r="M15" s="18" t="s">
        <v>4562</v>
      </c>
      <c r="N15" s="16"/>
      <c r="O15" s="18" t="s">
        <v>5245</v>
      </c>
      <c r="P15" s="16"/>
      <c r="Q15" s="18" t="s">
        <v>5982</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595</v>
      </c>
      <c r="B17" s="16"/>
      <c r="C17" s="18" t="s">
        <v>1650</v>
      </c>
      <c r="D17" s="16"/>
      <c r="E17" s="18" t="s">
        <v>2370</v>
      </c>
      <c r="F17" s="16"/>
      <c r="G17" s="18" t="s">
        <v>917</v>
      </c>
      <c r="H17" s="16"/>
      <c r="I17" s="18" t="s">
        <v>3085</v>
      </c>
      <c r="J17" s="16"/>
      <c r="K17" s="18" t="s">
        <v>3835</v>
      </c>
      <c r="L17" s="16"/>
      <c r="M17" s="18" t="s">
        <v>4564</v>
      </c>
      <c r="N17" s="16"/>
      <c r="O17" s="18" t="s">
        <v>5247</v>
      </c>
      <c r="P17" s="16"/>
      <c r="Q17" s="18" t="s">
        <v>5984</v>
      </c>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70" priority="2" stopIfTrue="1">
      <formula>NOT(ISERROR(A3))</formula>
    </cfRule>
  </conditionalFormatting>
  <conditionalFormatting sqref="A3:T51">
    <cfRule type="containsErrors" dxfId="469" priority="1" stopIfTrue="1">
      <formula>ISERROR(A3)</formula>
    </cfRule>
    <cfRule type="notContainsBlanks" dxfId="468" priority="3">
      <formula>LEN(TRIM(A3))&gt;0</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549966-7528-47DC-AD09-69DE54AB195A}">
  <sheetPr codeName="Sheet11"/>
  <dimension ref="A1:T51"/>
  <sheetViews>
    <sheetView workbookViewId="0">
      <selection activeCell="Q3" sqref="Q3:Q16"/>
    </sheetView>
  </sheetViews>
  <sheetFormatPr defaultRowHeight="15" x14ac:dyDescent="0.25"/>
  <cols>
    <col min="1" max="1" width="44.7109375" customWidth="1"/>
    <col min="2" max="2" width="13.85546875" customWidth="1"/>
    <col min="8" max="8" width="16.28515625" customWidth="1"/>
  </cols>
  <sheetData>
    <row r="1" spans="1:20" x14ac:dyDescent="0.25">
      <c r="A1"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9" t="s">
        <v>84</v>
      </c>
    </row>
    <row r="3" spans="1:20" ht="15.95" customHeight="1" x14ac:dyDescent="0.25">
      <c r="A3" s="17" t="s">
        <v>495</v>
      </c>
      <c r="B3" s="16" t="str">
        <f>TRIM(_xlfn.TEXTBEFORE(A3, ":"))</f>
        <v>Item Class</v>
      </c>
      <c r="C3" s="17" t="s">
        <v>1651</v>
      </c>
      <c r="D3" s="16" t="str">
        <f>TRIM(_xlfn.TEXTBEFORE(C3, ":"))</f>
        <v>Gegenstandsklasse</v>
      </c>
      <c r="E3" s="17" t="s">
        <v>2371</v>
      </c>
      <c r="F3" s="16" t="str">
        <f>TRIM(_xlfn.TEXTBEFORE(E3, ":"))</f>
        <v>Clase de objeto</v>
      </c>
      <c r="G3" s="17" t="s">
        <v>918</v>
      </c>
      <c r="H3" s="16" t="str">
        <f>TRIM(_xlfn.TEXTBEFORE(G3, ":"))</f>
        <v>Classe d'objet</v>
      </c>
      <c r="I3" s="17" t="s">
        <v>3086</v>
      </c>
      <c r="J3" s="16" t="str">
        <f>TRIM(_xlfn.TEXTBEFORE(I3, ":"))</f>
        <v>アイテムクラス</v>
      </c>
      <c r="K3" s="17" t="s">
        <v>3836</v>
      </c>
      <c r="L3" s="16" t="str">
        <f>TRIM(_xlfn.TEXTBEFORE(K3, ":"))</f>
        <v>아이템 종류</v>
      </c>
      <c r="M3" s="17" t="s">
        <v>4565</v>
      </c>
      <c r="N3" s="16" t="str">
        <f>TRIM(_xlfn.TEXTBEFORE(M3, ":"))</f>
        <v>Classe do Item</v>
      </c>
      <c r="O3" s="17" t="s">
        <v>5248</v>
      </c>
      <c r="P3" s="16" t="str">
        <f>TRIM(_xlfn.TEXTBEFORE(O3, ":"))</f>
        <v>Класс предмета</v>
      </c>
      <c r="Q3" s="17" t="s">
        <v>5985</v>
      </c>
      <c r="R3" s="16" t="str">
        <f>TRIM(_xlfn.TEXTBEFORE(Q3, ":"))</f>
        <v>ชนิดไอเทม</v>
      </c>
      <c r="S3" s="17"/>
      <c r="T3" s="16" t="e">
        <f>TRIM(_xlfn.TEXTBEFORE(S3, ":"))</f>
        <v>#N/A</v>
      </c>
    </row>
    <row r="4" spans="1:20" ht="15.95" customHeight="1" x14ac:dyDescent="0.25">
      <c r="A4" s="18" t="s">
        <v>496</v>
      </c>
      <c r="B4" s="16" t="str">
        <f>TRIM(_xlfn.TEXTAFTER(A3, ":"))</f>
        <v>Maps</v>
      </c>
      <c r="C4" s="18" t="s">
        <v>1652</v>
      </c>
      <c r="D4" s="16" t="str">
        <f>TRIM(_xlfn.TEXTAFTER(C3, ":"))</f>
        <v>Karten</v>
      </c>
      <c r="E4" s="18" t="s">
        <v>2372</v>
      </c>
      <c r="F4" s="16" t="str">
        <f>TRIM(_xlfn.TEXTAFTER(E3, ":"))</f>
        <v>Mapas</v>
      </c>
      <c r="G4" s="18" t="s">
        <v>919</v>
      </c>
      <c r="H4" s="16" t="str">
        <f>TRIM(_xlfn.TEXTAFTER(G3, ":"))</f>
        <v>Cartes</v>
      </c>
      <c r="I4" s="18" t="s">
        <v>3087</v>
      </c>
      <c r="J4" s="16" t="str">
        <f>TRIM(_xlfn.TEXTAFTER(I3, ":"))</f>
        <v>マップ</v>
      </c>
      <c r="K4" s="18" t="s">
        <v>3837</v>
      </c>
      <c r="L4" s="16" t="str">
        <f>TRIM(_xlfn.TEXTAFTER(K3, ":"))</f>
        <v>지도</v>
      </c>
      <c r="M4" s="18" t="s">
        <v>4566</v>
      </c>
      <c r="N4" s="16" t="str">
        <f>TRIM(_xlfn.TEXTAFTER(M3, ":"))</f>
        <v>Mapas</v>
      </c>
      <c r="O4" s="18" t="s">
        <v>5249</v>
      </c>
      <c r="P4" s="16" t="str">
        <f>TRIM(_xlfn.TEXTAFTER(O3, ":"))</f>
        <v>Карты</v>
      </c>
      <c r="Q4" s="18" t="s">
        <v>5986</v>
      </c>
      <c r="R4" s="16" t="str">
        <f>TRIM(_xlfn.TEXTAFTER(Q3, ":"))</f>
        <v>แผนที่</v>
      </c>
      <c r="S4" s="18"/>
      <c r="T4" s="16" t="e">
        <f>TRIM(_xlfn.TEXTAFTER(S3, ":"))</f>
        <v>#N/A</v>
      </c>
    </row>
    <row r="5" spans="1:20" ht="15.95" customHeight="1" x14ac:dyDescent="0.25">
      <c r="A5" s="18" t="s">
        <v>666</v>
      </c>
      <c r="B5" s="16" t="str">
        <f>TRIM(_xlfn.TEXTBEFORE(A4, ":"))</f>
        <v>Rarity</v>
      </c>
      <c r="C5" s="18" t="s">
        <v>1653</v>
      </c>
      <c r="D5" s="16" t="str">
        <f>TRIM(_xlfn.TEXTBEFORE(C4, ":"))</f>
        <v>Seltenheit</v>
      </c>
      <c r="E5" s="18" t="s">
        <v>2373</v>
      </c>
      <c r="F5" s="16" t="str">
        <f>TRIM(_xlfn.TEXTBEFORE(E4, ":"))</f>
        <v>Rareza</v>
      </c>
      <c r="G5" s="18" t="s">
        <v>920</v>
      </c>
      <c r="H5" s="16" t="str">
        <f>TRIM(_xlfn.TEXTBEFORE(G4, ":"))</f>
        <v>Rareté</v>
      </c>
      <c r="I5" s="18" t="s">
        <v>3088</v>
      </c>
      <c r="J5" s="16" t="str">
        <f>TRIM(_xlfn.TEXTBEFORE(I4, ":"))</f>
        <v>レアリティ</v>
      </c>
      <c r="K5" s="18" t="s">
        <v>3838</v>
      </c>
      <c r="L5" s="16" t="str">
        <f>TRIM(_xlfn.TEXTBEFORE(K4, ":"))</f>
        <v>아이템 희귀도</v>
      </c>
      <c r="M5" s="18" t="s">
        <v>4567</v>
      </c>
      <c r="N5" s="16" t="str">
        <f>TRIM(_xlfn.TEXTBEFORE(M4, ":"))</f>
        <v>Raridade</v>
      </c>
      <c r="O5" s="18" t="s">
        <v>5250</v>
      </c>
      <c r="P5" s="16" t="str">
        <f>TRIM(_xlfn.TEXTBEFORE(O4, ":"))</f>
        <v>Редкость</v>
      </c>
      <c r="Q5" s="18" t="s">
        <v>666</v>
      </c>
      <c r="R5" s="16" t="str">
        <f>TRIM(_xlfn.TEXTBEFORE(Q4, ":"))</f>
        <v>ความหายาก</v>
      </c>
      <c r="S5" s="18"/>
      <c r="T5" s="16"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16" t="e">
        <f>TRIM(_xlfn.TEXTAFTER(S4,":"))</f>
        <v>#N/A</v>
      </c>
    </row>
    <row r="7" spans="1:20" ht="15.95" customHeight="1" x14ac:dyDescent="0.25">
      <c r="A7" s="18" t="s">
        <v>667</v>
      </c>
      <c r="B7" s="16" t="str">
        <f>TRIM(_xlfn.TEXTBEFORE(A7,":"))</f>
        <v>Map Tier</v>
      </c>
      <c r="C7" s="18" t="s">
        <v>1654</v>
      </c>
      <c r="D7" s="16" t="str">
        <f>TRIM(_xlfn.TEXTBEFORE(C7,":"))</f>
        <v>Kartenlevel</v>
      </c>
      <c r="E7" s="18" t="s">
        <v>2374</v>
      </c>
      <c r="F7" s="16" t="str">
        <f>TRIM(_xlfn.TEXTBEFORE(E7,":"))</f>
        <v>Grado del mapa</v>
      </c>
      <c r="G7" s="18" t="s">
        <v>921</v>
      </c>
      <c r="H7" s="16" t="str">
        <f>TRIM(_xlfn.TEXTBEFORE(G7,":"))</f>
        <v>Palier de Carte</v>
      </c>
      <c r="I7" s="18" t="s">
        <v>3089</v>
      </c>
      <c r="J7" s="16" t="str">
        <f>TRIM(_xlfn.TEXTBEFORE(I7,":"))</f>
        <v>マップティア</v>
      </c>
      <c r="K7" s="18" t="s">
        <v>3839</v>
      </c>
      <c r="L7" s="16" t="str">
        <f>TRIM(_xlfn.TEXTBEFORE(K7,":"))</f>
        <v>지도 등급</v>
      </c>
      <c r="M7" s="18" t="s">
        <v>4568</v>
      </c>
      <c r="N7" s="16" t="str">
        <f>TRIM(_xlfn.TEXTBEFORE(M7,":"))</f>
        <v>Tier do Mapa</v>
      </c>
      <c r="O7" s="18" t="s">
        <v>5251</v>
      </c>
      <c r="P7" s="16" t="str">
        <f>TRIM(_xlfn.TEXTBEFORE(O7,":"))</f>
        <v>Уровень карты</v>
      </c>
      <c r="Q7" s="18" t="s">
        <v>5987</v>
      </c>
      <c r="R7" s="16" t="str">
        <f>TRIM(_xlfn.TEXTBEFORE(Q7,":"))</f>
        <v>ระดับแผนที่</v>
      </c>
      <c r="S7" s="18"/>
      <c r="T7" s="16" t="e">
        <f>TRIM(_xlfn.TEXTBEFORE(S7,":"))</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169</v>
      </c>
      <c r="B9" s="16"/>
      <c r="C9" s="18" t="s">
        <v>1646</v>
      </c>
      <c r="D9" s="16"/>
      <c r="E9" s="18" t="s">
        <v>2366</v>
      </c>
      <c r="F9" s="16"/>
      <c r="G9" s="18" t="s">
        <v>913</v>
      </c>
      <c r="H9" s="16"/>
      <c r="I9" s="18" t="s">
        <v>3081</v>
      </c>
      <c r="J9" s="16"/>
      <c r="K9" s="18" t="s">
        <v>3831</v>
      </c>
      <c r="L9" s="16"/>
      <c r="M9" s="18" t="s">
        <v>4560</v>
      </c>
      <c r="N9" s="16"/>
      <c r="O9" s="18" t="s">
        <v>5243</v>
      </c>
      <c r="P9" s="16"/>
      <c r="Q9" s="18" t="s">
        <v>5980</v>
      </c>
      <c r="R9" s="16"/>
      <c r="S9" s="18"/>
      <c r="T9" s="16"/>
    </row>
    <row r="10" spans="1:20" ht="15.95" customHeight="1" x14ac:dyDescent="0.25">
      <c r="A10" s="18" t="s">
        <v>4</v>
      </c>
      <c r="B10" s="16" t="str">
        <f>TRIM(_xlfn.TEXTBEFORE(A5, " "))</f>
        <v>Blighted</v>
      </c>
      <c r="C10" s="18" t="s">
        <v>4</v>
      </c>
      <c r="D10" s="16" t="str">
        <f>TRIM(_xlfn.TEXTBEFORE(C5, " "))</f>
        <v>Befallene</v>
      </c>
      <c r="E10" s="18" t="s">
        <v>4</v>
      </c>
      <c r="F10" s="16" t="str">
        <f>TRIM(_xlfn.TEXTAFTER(E5, " ", -2))</f>
        <v>infestado</v>
      </c>
      <c r="G10" s="18" t="s">
        <v>4</v>
      </c>
      <c r="H10" s="16" t="str">
        <f>TRIM(_xlfn.TEXTAFTER(G5, " ", -2))</f>
        <v>Carte infestée</v>
      </c>
      <c r="I10" s="18" t="s">
        <v>4</v>
      </c>
      <c r="J10" s="16" t="s">
        <v>3095</v>
      </c>
      <c r="K10" s="18" t="s">
        <v>4</v>
      </c>
      <c r="L10" s="16" t="s">
        <v>4489</v>
      </c>
      <c r="M10" s="18" t="s">
        <v>4</v>
      </c>
      <c r="N10" s="16" t="str">
        <f>TRIM(_xlfn.TEXTAFTER(M5, " ", -1))</f>
        <v>Infestado</v>
      </c>
      <c r="O10" s="18" t="s">
        <v>4</v>
      </c>
      <c r="P10" s="16" t="str">
        <f>TRIM(_xlfn.TEXTBEFORE(O5, " "))</f>
        <v>Заражённая</v>
      </c>
      <c r="Q10" s="18" t="s">
        <v>4</v>
      </c>
      <c r="R10" s="16" t="str">
        <f>TRIM(_xlfn.TEXTBEFORE(Q5, " "))</f>
        <v>Blighted</v>
      </c>
      <c r="S10" s="18"/>
      <c r="T10" s="16" t="e">
        <f>TRIM(_xlfn.TEXTBEFORE(S5, " "))</f>
        <v>#N/A</v>
      </c>
    </row>
    <row r="11" spans="1:20" ht="15.95" customHeight="1" x14ac:dyDescent="0.25">
      <c r="A11" s="18" t="s">
        <v>497</v>
      </c>
      <c r="B11" s="16"/>
      <c r="C11" s="18" t="s">
        <v>1655</v>
      </c>
      <c r="D11" s="16"/>
      <c r="E11" s="18" t="s">
        <v>2375</v>
      </c>
      <c r="F11" s="16"/>
      <c r="G11" s="18" t="s">
        <v>922</v>
      </c>
      <c r="H11" s="16"/>
      <c r="I11" s="18" t="s">
        <v>3090</v>
      </c>
      <c r="J11" s="16"/>
      <c r="K11" s="18" t="s">
        <v>3840</v>
      </c>
      <c r="L11" s="16"/>
      <c r="M11" s="18" t="s">
        <v>4569</v>
      </c>
      <c r="N11" s="16"/>
      <c r="O11" s="18" t="s">
        <v>5252</v>
      </c>
      <c r="P11" s="16"/>
      <c r="Q11" s="18" t="s">
        <v>5988</v>
      </c>
      <c r="R11" s="16"/>
      <c r="S11" s="18"/>
      <c r="T11" s="16"/>
    </row>
    <row r="12" spans="1:20" ht="15.95" customHeight="1" x14ac:dyDescent="0.25">
      <c r="A12" s="18" t="s">
        <v>498</v>
      </c>
      <c r="B12" s="16"/>
      <c r="C12" s="18" t="s">
        <v>1656</v>
      </c>
      <c r="D12" s="16"/>
      <c r="E12" s="18" t="s">
        <v>2376</v>
      </c>
      <c r="F12" s="16"/>
      <c r="G12" s="18" t="s">
        <v>923</v>
      </c>
      <c r="H12" s="16"/>
      <c r="I12" s="18" t="s">
        <v>3091</v>
      </c>
      <c r="J12" s="16"/>
      <c r="K12" s="18" t="s">
        <v>3841</v>
      </c>
      <c r="L12" s="16"/>
      <c r="M12" s="18" t="s">
        <v>4570</v>
      </c>
      <c r="N12" s="16"/>
      <c r="O12" s="18" t="s">
        <v>5253</v>
      </c>
      <c r="P12" s="16"/>
      <c r="Q12" s="18" t="s">
        <v>5989</v>
      </c>
      <c r="R12" s="16"/>
      <c r="S12" s="18"/>
      <c r="T12" s="21"/>
    </row>
    <row r="13" spans="1:20" ht="15.95" customHeight="1" x14ac:dyDescent="0.25">
      <c r="A13" s="18" t="s">
        <v>499</v>
      </c>
      <c r="B13" s="16"/>
      <c r="C13" s="18" t="s">
        <v>1657</v>
      </c>
      <c r="D13" s="16"/>
      <c r="E13" s="18" t="s">
        <v>2377</v>
      </c>
      <c r="F13" s="16"/>
      <c r="G13" s="18" t="s">
        <v>924</v>
      </c>
      <c r="H13" s="16"/>
      <c r="I13" s="18" t="s">
        <v>3092</v>
      </c>
      <c r="J13" s="16"/>
      <c r="K13" s="18" t="s">
        <v>3842</v>
      </c>
      <c r="L13" s="16"/>
      <c r="M13" s="18" t="s">
        <v>4571</v>
      </c>
      <c r="N13" s="16"/>
      <c r="O13" s="18" t="s">
        <v>5254</v>
      </c>
      <c r="P13" s="16"/>
      <c r="Q13" s="18" t="s">
        <v>5990</v>
      </c>
      <c r="R13" s="16"/>
      <c r="S13" s="18"/>
      <c r="T13" s="21"/>
    </row>
    <row r="14" spans="1:20" ht="15.95" customHeight="1" x14ac:dyDescent="0.25">
      <c r="A14" s="18" t="s">
        <v>500</v>
      </c>
      <c r="B14" s="16"/>
      <c r="C14" s="18" t="s">
        <v>1658</v>
      </c>
      <c r="D14" s="16"/>
      <c r="E14" s="18" t="s">
        <v>2378</v>
      </c>
      <c r="F14" s="16"/>
      <c r="G14" s="18" t="s">
        <v>925</v>
      </c>
      <c r="H14" s="16"/>
      <c r="I14" s="18" t="s">
        <v>3093</v>
      </c>
      <c r="J14" s="16"/>
      <c r="K14" s="18" t="s">
        <v>3843</v>
      </c>
      <c r="L14" s="16"/>
      <c r="M14" s="18" t="s">
        <v>4572</v>
      </c>
      <c r="N14" s="16"/>
      <c r="O14" s="18" t="s">
        <v>5255</v>
      </c>
      <c r="P14" s="16"/>
      <c r="Q14" s="18" t="s">
        <v>5991</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501</v>
      </c>
      <c r="B16" s="16"/>
      <c r="C16" s="18" t="s">
        <v>1659</v>
      </c>
      <c r="D16" s="16"/>
      <c r="E16" s="18" t="s">
        <v>2379</v>
      </c>
      <c r="F16" s="16"/>
      <c r="G16" s="18" t="s">
        <v>926</v>
      </c>
      <c r="H16" s="16"/>
      <c r="I16" s="18" t="s">
        <v>3094</v>
      </c>
      <c r="J16" s="16"/>
      <c r="K16" s="18" t="s">
        <v>3844</v>
      </c>
      <c r="L16" s="16"/>
      <c r="M16" s="18" t="s">
        <v>4573</v>
      </c>
      <c r="N16" s="16"/>
      <c r="O16" s="18" t="s">
        <v>5256</v>
      </c>
      <c r="P16" s="16"/>
      <c r="Q16" s="18" t="s">
        <v>5992</v>
      </c>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67" priority="98" stopIfTrue="1">
      <formula>NOT(ISERROR(A3))</formula>
    </cfRule>
  </conditionalFormatting>
  <conditionalFormatting sqref="A3:T6 A7:A9 C7:C9 E7:E9 G7:G9 I7:I9 K7:K9 M7:M9 O7:O9 Q7:Q9 S7:S9 A10:T51">
    <cfRule type="notContainsBlanks" dxfId="466" priority="99">
      <formula>LEN(TRIM(A3))&gt;0</formula>
    </cfRule>
  </conditionalFormatting>
  <conditionalFormatting sqref="A3:T51">
    <cfRule type="containsErrors" dxfId="465" priority="1" stopIfTrue="1">
      <formula>ISERROR(A3)</formula>
    </cfRule>
  </conditionalFormatting>
  <conditionalFormatting sqref="B7:B9">
    <cfRule type="notContainsBlanks" dxfId="464" priority="92">
      <formula>LEN(TRIM(B7))&gt;0</formula>
    </cfRule>
  </conditionalFormatting>
  <conditionalFormatting sqref="D7:D9">
    <cfRule type="notContainsBlanks" dxfId="463" priority="34">
      <formula>LEN(TRIM(D7))&gt;0</formula>
    </cfRule>
  </conditionalFormatting>
  <conditionalFormatting sqref="F7:F9">
    <cfRule type="notContainsBlanks" dxfId="462" priority="30">
      <formula>LEN(TRIM(F7))&gt;0</formula>
    </cfRule>
  </conditionalFormatting>
  <conditionalFormatting sqref="H7:H9">
    <cfRule type="notContainsBlanks" dxfId="461" priority="26">
      <formula>LEN(TRIM(H7))&gt;0</formula>
    </cfRule>
  </conditionalFormatting>
  <conditionalFormatting sqref="J7:J9">
    <cfRule type="notContainsBlanks" dxfId="460" priority="22">
      <formula>LEN(TRIM(J7))&gt;0</formula>
    </cfRule>
  </conditionalFormatting>
  <conditionalFormatting sqref="L7:L9">
    <cfRule type="notContainsBlanks" dxfId="459" priority="18">
      <formula>LEN(TRIM(L7))&gt;0</formula>
    </cfRule>
  </conditionalFormatting>
  <conditionalFormatting sqref="N7:N9">
    <cfRule type="notContainsBlanks" dxfId="458" priority="14">
      <formula>LEN(TRIM(N7))&gt;0</formula>
    </cfRule>
  </conditionalFormatting>
  <conditionalFormatting sqref="P7:P9">
    <cfRule type="notContainsBlanks" dxfId="457" priority="10">
      <formula>LEN(TRIM(P7))&gt;0</formula>
    </cfRule>
  </conditionalFormatting>
  <conditionalFormatting sqref="R7:R9">
    <cfRule type="notContainsBlanks" dxfId="456" priority="6">
      <formula>LEN(TRIM(R7))&gt;0</formula>
    </cfRule>
  </conditionalFormatting>
  <conditionalFormatting sqref="T7:T9">
    <cfRule type="notContainsBlanks" dxfId="455" priority="2">
      <formula>LEN(TRIM(T7))&gt;0</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527A9-7E69-43D6-BBE3-6C105F950EA2}">
  <sheetPr codeName="Sheet12"/>
  <dimension ref="A1:T51"/>
  <sheetViews>
    <sheetView workbookViewId="0">
      <selection activeCell="Q3" sqref="Q3:Q19"/>
    </sheetView>
  </sheetViews>
  <sheetFormatPr defaultRowHeight="15" x14ac:dyDescent="0.25"/>
  <cols>
    <col min="1" max="1" width="44.7109375" customWidth="1"/>
    <col min="2" max="2" width="13.85546875" customWidth="1"/>
    <col min="4" max="4" width="22.85546875" customWidth="1"/>
    <col min="6" max="6" width="25.140625" customWidth="1"/>
    <col min="8" max="8" width="27.7109375" customWidth="1"/>
    <col min="16" max="16" width="24.140625" customWidth="1"/>
  </cols>
  <sheetData>
    <row r="1" spans="1:20" x14ac:dyDescent="0.25">
      <c r="A1" s="24"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8" t="s">
        <v>84</v>
      </c>
    </row>
    <row r="3" spans="1:20" ht="15.95" customHeight="1" x14ac:dyDescent="0.25">
      <c r="A3" s="17" t="s">
        <v>495</v>
      </c>
      <c r="B3" s="16" t="str">
        <f>TRIM(_xlfn.TEXTBEFORE(A3, ":"))</f>
        <v>Item Class</v>
      </c>
      <c r="C3" s="17" t="s">
        <v>1651</v>
      </c>
      <c r="D3" s="16" t="str">
        <f>TRIM(_xlfn.TEXTBEFORE(C3, ":"))</f>
        <v>Gegenstandsklasse</v>
      </c>
      <c r="E3" s="17" t="s">
        <v>2371</v>
      </c>
      <c r="F3" s="16" t="str">
        <f>TRIM(_xlfn.TEXTBEFORE(E3, ":"))</f>
        <v>Clase de objeto</v>
      </c>
      <c r="G3" s="17" t="s">
        <v>918</v>
      </c>
      <c r="H3" s="16" t="str">
        <f>TRIM(_xlfn.TEXTBEFORE(G3, ":"))</f>
        <v>Classe d'objet</v>
      </c>
      <c r="I3" s="17" t="s">
        <v>3086</v>
      </c>
      <c r="J3" s="16" t="str">
        <f>TRIM(_xlfn.TEXTBEFORE(I3, ":"))</f>
        <v>アイテムクラス</v>
      </c>
      <c r="K3" s="17" t="s">
        <v>3836</v>
      </c>
      <c r="L3" s="16" t="str">
        <f>TRIM(_xlfn.TEXTBEFORE(K3, ":"))</f>
        <v>아이템 종류</v>
      </c>
      <c r="M3" s="17" t="s">
        <v>4565</v>
      </c>
      <c r="N3" s="16" t="str">
        <f>TRIM(_xlfn.TEXTBEFORE(M3, ":"))</f>
        <v>Classe do Item</v>
      </c>
      <c r="O3" s="17" t="s">
        <v>5248</v>
      </c>
      <c r="P3" s="16" t="str">
        <f>TRIM(_xlfn.TEXTBEFORE(O3, ":"))</f>
        <v>Класс предмета</v>
      </c>
      <c r="Q3" s="17" t="s">
        <v>5985</v>
      </c>
      <c r="R3" s="16" t="str">
        <f>TRIM(_xlfn.TEXTBEFORE(Q3, ":"))</f>
        <v>ชนิดไอเทม</v>
      </c>
      <c r="S3" s="17"/>
      <c r="T3" s="20" t="e">
        <f>TRIM(_xlfn.TEXTBEFORE(S3, ":"))</f>
        <v>#N/A</v>
      </c>
    </row>
    <row r="4" spans="1:20" ht="15.95" customHeight="1" x14ac:dyDescent="0.25">
      <c r="A4" s="18" t="s">
        <v>496</v>
      </c>
      <c r="B4" s="16" t="str">
        <f>TRIM(_xlfn.TEXTAFTER(A3, ":"))</f>
        <v>Maps</v>
      </c>
      <c r="C4" s="18" t="s">
        <v>1652</v>
      </c>
      <c r="D4" s="16" t="str">
        <f>TRIM(_xlfn.TEXTAFTER(C3, ":"))</f>
        <v>Karten</v>
      </c>
      <c r="E4" s="18" t="s">
        <v>2372</v>
      </c>
      <c r="F4" s="16" t="str">
        <f>TRIM(_xlfn.TEXTAFTER(E3, ":"))</f>
        <v>Mapas</v>
      </c>
      <c r="G4" s="18" t="s">
        <v>919</v>
      </c>
      <c r="H4" s="16" t="str">
        <f>TRIM(_xlfn.TEXTAFTER(G3, ":"))</f>
        <v>Cartes</v>
      </c>
      <c r="I4" s="18" t="s">
        <v>3087</v>
      </c>
      <c r="J4" s="16" t="str">
        <f>TRIM(_xlfn.TEXTAFTER(I3, ":"))</f>
        <v>マップ</v>
      </c>
      <c r="K4" s="18" t="s">
        <v>3837</v>
      </c>
      <c r="L4" s="16" t="str">
        <f>TRIM(_xlfn.TEXTAFTER(K3, ":"))</f>
        <v>지도</v>
      </c>
      <c r="M4" s="18" t="s">
        <v>4566</v>
      </c>
      <c r="N4" s="16" t="str">
        <f>TRIM(_xlfn.TEXTAFTER(M3, ":"))</f>
        <v>Mapas</v>
      </c>
      <c r="O4" s="18" t="s">
        <v>5249</v>
      </c>
      <c r="P4" s="16" t="str">
        <f>TRIM(_xlfn.TEXTAFTER(O3, ":"))</f>
        <v>Карты</v>
      </c>
      <c r="Q4" s="18" t="s">
        <v>5986</v>
      </c>
      <c r="R4" s="16" t="str">
        <f>TRIM(_xlfn.TEXTAFTER(Q3, ":"))</f>
        <v>แผนที่</v>
      </c>
      <c r="S4" s="18"/>
      <c r="T4" s="20" t="e">
        <f>TRIM(_xlfn.TEXTAFTER(S3, ":"))</f>
        <v>#N/A</v>
      </c>
    </row>
    <row r="5" spans="1:20" ht="15.95" customHeight="1" x14ac:dyDescent="0.25">
      <c r="A5" s="18" t="s">
        <v>659</v>
      </c>
      <c r="B5" s="16" t="str">
        <f>TRIM(_xlfn.TEXTBEFORE(A4, ":"))</f>
        <v>Rarity</v>
      </c>
      <c r="C5" s="18" t="s">
        <v>1660</v>
      </c>
      <c r="D5" s="16" t="str">
        <f>TRIM(_xlfn.TEXTBEFORE(C4, ":"))</f>
        <v>Seltenheit</v>
      </c>
      <c r="E5" s="18" t="s">
        <v>2380</v>
      </c>
      <c r="F5" s="16" t="str">
        <f>TRIM(_xlfn.TEXTBEFORE(E4, ":"))</f>
        <v>Rareza</v>
      </c>
      <c r="G5" s="18" t="s">
        <v>927</v>
      </c>
      <c r="H5" s="16" t="str">
        <f>TRIM(_xlfn.TEXTBEFORE(G4, ":"))</f>
        <v>Rareté</v>
      </c>
      <c r="I5" s="18" t="s">
        <v>3096</v>
      </c>
      <c r="J5" s="16" t="str">
        <f>TRIM(_xlfn.TEXTBEFORE(I4, ":"))</f>
        <v>レアリティ</v>
      </c>
      <c r="K5" s="18" t="s">
        <v>3845</v>
      </c>
      <c r="L5" s="16" t="str">
        <f>TRIM(_xlfn.TEXTBEFORE(K4, ":"))</f>
        <v>아이템 희귀도</v>
      </c>
      <c r="M5" s="18" t="s">
        <v>4574</v>
      </c>
      <c r="N5" s="16" t="str">
        <f>TRIM(_xlfn.TEXTBEFORE(M4, ":"))</f>
        <v>Raridade</v>
      </c>
      <c r="O5" s="18" t="s">
        <v>5257</v>
      </c>
      <c r="P5" s="16" t="str">
        <f>TRIM(_xlfn.TEXTBEFORE(O4, ":"))</f>
        <v>Редкость</v>
      </c>
      <c r="Q5" s="18" t="s">
        <v>659</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660</v>
      </c>
      <c r="B7" s="16" t="str">
        <f>TRIM(_xlfn.TEXTBEFORE(A5, " "))</f>
        <v>Blight-ravaged</v>
      </c>
      <c r="C7" s="18" t="s">
        <v>1661</v>
      </c>
      <c r="D7" s="16" t="str">
        <f>TRIM(_xlfn.TEXTBEFORE(C5, " ", 2))</f>
        <v>Extrem befallene</v>
      </c>
      <c r="E7" s="18" t="s">
        <v>2381</v>
      </c>
      <c r="F7" s="16" t="str">
        <f>TRIM(_xlfn.TEXTAFTER(E5, " ", -4))</f>
        <v>devastado por la plaga</v>
      </c>
      <c r="G7" s="18" t="s">
        <v>928</v>
      </c>
      <c r="H7" s="16" t="str">
        <f>TRIM(_xlfn.TEXTAFTER(G5, " ", -4))</f>
        <v>Carte ravagée par l'Infestation</v>
      </c>
      <c r="I7" s="18" t="s">
        <v>3097</v>
      </c>
      <c r="J7" s="16" t="s">
        <v>3104</v>
      </c>
      <c r="K7" s="18" t="s">
        <v>3846</v>
      </c>
      <c r="L7" s="16" t="s">
        <v>4490</v>
      </c>
      <c r="M7" s="18" t="s">
        <v>4575</v>
      </c>
      <c r="N7" s="16" t="str">
        <f>TRIM(_xlfn.TEXTAFTER(M5, " ", -1))</f>
        <v>Devastado</v>
      </c>
      <c r="O7" s="18" t="s">
        <v>5258</v>
      </c>
      <c r="P7" s="16" t="str">
        <f>TRIM(_xlfn.TEXTBEFORE(O5, " ", 2))</f>
        <v>Разорённая Скверной</v>
      </c>
      <c r="Q7" s="18" t="s">
        <v>5993</v>
      </c>
      <c r="R7" s="16" t="str">
        <f>TRIM(_xlfn.TEXTBEFORE(Q5, " "))</f>
        <v>Blight-ravaged</v>
      </c>
      <c r="S7" s="18"/>
      <c r="T7" s="16" t="e">
        <f>TRIM(_xlfn.TEXTBEFORE(S5, " "))</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82</v>
      </c>
      <c r="B9" s="16"/>
      <c r="C9" s="18" t="s">
        <v>1662</v>
      </c>
      <c r="D9" s="16"/>
      <c r="E9" s="18" t="s">
        <v>2296</v>
      </c>
      <c r="F9" s="16"/>
      <c r="G9" s="18" t="s">
        <v>929</v>
      </c>
      <c r="H9" s="16"/>
      <c r="I9" s="18" t="s">
        <v>3098</v>
      </c>
      <c r="J9" s="16"/>
      <c r="K9" s="18" t="s">
        <v>3758</v>
      </c>
      <c r="L9" s="16"/>
      <c r="M9" s="18" t="s">
        <v>4576</v>
      </c>
      <c r="N9" s="16"/>
      <c r="O9" s="18" t="s">
        <v>5259</v>
      </c>
      <c r="P9" s="16"/>
      <c r="Q9" s="18" t="s">
        <v>5914</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661</v>
      </c>
      <c r="B11" s="16"/>
      <c r="C11" s="18" t="s">
        <v>1663</v>
      </c>
      <c r="D11" s="16"/>
      <c r="E11" s="18" t="s">
        <v>2382</v>
      </c>
      <c r="F11" s="16"/>
      <c r="G11" s="18" t="s">
        <v>930</v>
      </c>
      <c r="H11" s="16"/>
      <c r="I11" s="18" t="s">
        <v>3099</v>
      </c>
      <c r="J11" s="16"/>
      <c r="K11" s="18" t="s">
        <v>3847</v>
      </c>
      <c r="L11" s="16"/>
      <c r="M11" s="18" t="s">
        <v>4577</v>
      </c>
      <c r="N11" s="16"/>
      <c r="O11" s="18" t="s">
        <v>5260</v>
      </c>
      <c r="P11" s="16"/>
      <c r="Q11" s="18" t="s">
        <v>5994</v>
      </c>
      <c r="R11" s="16"/>
      <c r="S11" s="18"/>
      <c r="T11" s="20"/>
    </row>
    <row r="12" spans="1:20" ht="15.95" customHeight="1" x14ac:dyDescent="0.25">
      <c r="A12" s="18" t="s">
        <v>662</v>
      </c>
      <c r="B12" s="16"/>
      <c r="C12" s="18" t="s">
        <v>1664</v>
      </c>
      <c r="D12" s="16"/>
      <c r="E12" s="18" t="s">
        <v>2383</v>
      </c>
      <c r="F12" s="16"/>
      <c r="G12" s="18" t="s">
        <v>931</v>
      </c>
      <c r="H12" s="16"/>
      <c r="I12" s="18" t="s">
        <v>3100</v>
      </c>
      <c r="J12" s="16"/>
      <c r="K12" s="18" t="s">
        <v>3848</v>
      </c>
      <c r="L12" s="16"/>
      <c r="M12" s="18" t="s">
        <v>4578</v>
      </c>
      <c r="N12" s="16"/>
      <c r="O12" s="18" t="s">
        <v>5261</v>
      </c>
      <c r="P12" s="16"/>
      <c r="Q12" s="18" t="s">
        <v>5995</v>
      </c>
      <c r="R12" s="16"/>
      <c r="S12" s="18"/>
      <c r="T12" s="20"/>
    </row>
    <row r="13" spans="1:20" ht="15.95" customHeight="1" x14ac:dyDescent="0.25">
      <c r="A13" s="18" t="s">
        <v>663</v>
      </c>
      <c r="B13" s="16"/>
      <c r="C13" s="18" t="s">
        <v>1665</v>
      </c>
      <c r="D13" s="16"/>
      <c r="E13" s="18" t="s">
        <v>2384</v>
      </c>
      <c r="F13" s="16"/>
      <c r="G13" s="18" t="s">
        <v>932</v>
      </c>
      <c r="H13" s="16"/>
      <c r="I13" s="18" t="s">
        <v>3101</v>
      </c>
      <c r="J13" s="16"/>
      <c r="K13" s="18" t="s">
        <v>3849</v>
      </c>
      <c r="L13" s="16"/>
      <c r="M13" s="18" t="s">
        <v>4579</v>
      </c>
      <c r="N13" s="16"/>
      <c r="O13" s="18" t="s">
        <v>5262</v>
      </c>
      <c r="P13" s="16"/>
      <c r="Q13" s="18" t="s">
        <v>5996</v>
      </c>
      <c r="R13" s="16"/>
      <c r="S13" s="18"/>
      <c r="T13" s="20"/>
    </row>
    <row r="14" spans="1:20" ht="15.95" customHeight="1" x14ac:dyDescent="0.25">
      <c r="A14" s="18" t="s">
        <v>497</v>
      </c>
      <c r="B14" s="16"/>
      <c r="C14" s="18" t="s">
        <v>1655</v>
      </c>
      <c r="D14" s="16"/>
      <c r="E14" s="18" t="s">
        <v>2375</v>
      </c>
      <c r="F14" s="16"/>
      <c r="G14" s="18" t="s">
        <v>922</v>
      </c>
      <c r="H14" s="16"/>
      <c r="I14" s="18" t="s">
        <v>3090</v>
      </c>
      <c r="J14" s="16"/>
      <c r="K14" s="18" t="s">
        <v>3840</v>
      </c>
      <c r="L14" s="16"/>
      <c r="M14" s="18" t="s">
        <v>4569</v>
      </c>
      <c r="N14" s="16"/>
      <c r="O14" s="18" t="s">
        <v>5252</v>
      </c>
      <c r="P14" s="16"/>
      <c r="Q14" s="18" t="s">
        <v>5988</v>
      </c>
      <c r="R14" s="16"/>
      <c r="S14" s="18"/>
      <c r="T14" s="20"/>
    </row>
    <row r="15" spans="1:20" ht="15.95" customHeight="1" x14ac:dyDescent="0.25">
      <c r="A15" s="18" t="s">
        <v>664</v>
      </c>
      <c r="B15" s="16"/>
      <c r="C15" s="18" t="s">
        <v>1666</v>
      </c>
      <c r="D15" s="16"/>
      <c r="E15" s="18" t="s">
        <v>2385</v>
      </c>
      <c r="F15" s="16"/>
      <c r="G15" s="18" t="s">
        <v>933</v>
      </c>
      <c r="H15" s="16"/>
      <c r="I15" s="18" t="s">
        <v>3102</v>
      </c>
      <c r="J15" s="16"/>
      <c r="K15" s="18" t="s">
        <v>3850</v>
      </c>
      <c r="L15" s="16"/>
      <c r="M15" s="18" t="s">
        <v>4580</v>
      </c>
      <c r="N15" s="16"/>
      <c r="O15" s="18" t="s">
        <v>5263</v>
      </c>
      <c r="P15" s="16"/>
      <c r="Q15" s="18" t="s">
        <v>5997</v>
      </c>
      <c r="R15" s="16"/>
      <c r="S15" s="18"/>
      <c r="T15" s="20"/>
    </row>
    <row r="16" spans="1:20" ht="15.95" customHeight="1" x14ac:dyDescent="0.25">
      <c r="A16" s="18" t="s">
        <v>665</v>
      </c>
      <c r="B16" s="16"/>
      <c r="C16" s="18" t="s">
        <v>1667</v>
      </c>
      <c r="D16" s="16"/>
      <c r="E16" s="18" t="s">
        <v>2386</v>
      </c>
      <c r="F16" s="16"/>
      <c r="G16" s="18" t="s">
        <v>934</v>
      </c>
      <c r="H16" s="16"/>
      <c r="I16" s="18" t="s">
        <v>3103</v>
      </c>
      <c r="J16" s="16"/>
      <c r="K16" s="18" t="s">
        <v>3851</v>
      </c>
      <c r="L16" s="16"/>
      <c r="M16" s="18" t="s">
        <v>4581</v>
      </c>
      <c r="N16" s="16"/>
      <c r="O16" s="18" t="s">
        <v>5264</v>
      </c>
      <c r="P16" s="16"/>
      <c r="Q16" s="18" t="s">
        <v>5998</v>
      </c>
      <c r="R16" s="16"/>
      <c r="S16" s="18"/>
      <c r="T16" s="20"/>
    </row>
    <row r="17" spans="1:20" ht="15.95" customHeight="1" x14ac:dyDescent="0.25">
      <c r="A17" s="18" t="s">
        <v>500</v>
      </c>
      <c r="B17" s="16"/>
      <c r="C17" s="18" t="s">
        <v>1658</v>
      </c>
      <c r="D17" s="16"/>
      <c r="E17" s="18" t="s">
        <v>2378</v>
      </c>
      <c r="F17" s="16"/>
      <c r="G17" s="18" t="s">
        <v>925</v>
      </c>
      <c r="H17" s="16"/>
      <c r="I17" s="18" t="s">
        <v>3093</v>
      </c>
      <c r="J17" s="16"/>
      <c r="K17" s="18" t="s">
        <v>3843</v>
      </c>
      <c r="L17" s="16"/>
      <c r="M17" s="18" t="s">
        <v>4572</v>
      </c>
      <c r="N17" s="16"/>
      <c r="O17" s="18" t="s">
        <v>5255</v>
      </c>
      <c r="P17" s="16"/>
      <c r="Q17" s="18" t="s">
        <v>5991</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501</v>
      </c>
      <c r="B19" s="16"/>
      <c r="C19" s="18" t="s">
        <v>1659</v>
      </c>
      <c r="D19" s="16"/>
      <c r="E19" s="18" t="s">
        <v>2379</v>
      </c>
      <c r="F19" s="16"/>
      <c r="G19" s="18" t="s">
        <v>926</v>
      </c>
      <c r="H19" s="16"/>
      <c r="I19" s="18" t="s">
        <v>3094</v>
      </c>
      <c r="J19" s="16"/>
      <c r="K19" s="18" t="s">
        <v>3844</v>
      </c>
      <c r="L19" s="16"/>
      <c r="M19" s="18" t="s">
        <v>4573</v>
      </c>
      <c r="N19" s="16"/>
      <c r="O19" s="18" t="s">
        <v>5256</v>
      </c>
      <c r="P19" s="16"/>
      <c r="Q19" s="18" t="s">
        <v>5992</v>
      </c>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54" priority="28" stopIfTrue="1">
      <formula>NOT(ISERROR(A3))</formula>
    </cfRule>
  </conditionalFormatting>
  <conditionalFormatting sqref="A3:T6 A7 C7 E7 G7 I7 K7 M7 O7 Q7 S7 A8:T51">
    <cfRule type="notContainsBlanks" dxfId="453" priority="29">
      <formula>LEN(TRIM(A3))&gt;0</formula>
    </cfRule>
  </conditionalFormatting>
  <conditionalFormatting sqref="A3:T51">
    <cfRule type="containsErrors" dxfId="452" priority="1" stopIfTrue="1">
      <formula>ISERROR(A3)</formula>
    </cfRule>
  </conditionalFormatting>
  <conditionalFormatting sqref="B7">
    <cfRule type="notContainsBlanks" dxfId="451" priority="26">
      <formula>LEN(TRIM(B7))&gt;0</formula>
    </cfRule>
  </conditionalFormatting>
  <conditionalFormatting sqref="D7">
    <cfRule type="notContainsBlanks" dxfId="450" priority="22">
      <formula>LEN(TRIM(D7))&gt;0</formula>
    </cfRule>
  </conditionalFormatting>
  <conditionalFormatting sqref="F7">
    <cfRule type="notContainsBlanks" dxfId="449" priority="2">
      <formula>LEN(TRIM(F7))&gt;0</formula>
    </cfRule>
  </conditionalFormatting>
  <conditionalFormatting sqref="H7">
    <cfRule type="notContainsBlanks" dxfId="448" priority="4">
      <formula>LEN(TRIM(H7))&gt;0</formula>
    </cfRule>
  </conditionalFormatting>
  <conditionalFormatting sqref="J7">
    <cfRule type="notContainsBlanks" dxfId="447" priority="16">
      <formula>LEN(TRIM(J7))&gt;0</formula>
    </cfRule>
  </conditionalFormatting>
  <conditionalFormatting sqref="L7">
    <cfRule type="notContainsBlanks" dxfId="446" priority="14">
      <formula>LEN(TRIM(L7))&gt;0</formula>
    </cfRule>
  </conditionalFormatting>
  <conditionalFormatting sqref="N7">
    <cfRule type="notContainsBlanks" dxfId="445" priority="12">
      <formula>LEN(TRIM(N7))&gt;0</formula>
    </cfRule>
  </conditionalFormatting>
  <conditionalFormatting sqref="P7">
    <cfRule type="notContainsBlanks" dxfId="444" priority="10">
      <formula>LEN(TRIM(P7))&gt;0</formula>
    </cfRule>
  </conditionalFormatting>
  <conditionalFormatting sqref="R7">
    <cfRule type="notContainsBlanks" dxfId="443" priority="8">
      <formula>LEN(TRIM(R7))&gt;0</formula>
    </cfRule>
  </conditionalFormatting>
  <conditionalFormatting sqref="T7">
    <cfRule type="notContainsBlanks" dxfId="442" priority="6">
      <formula>LEN(TRIM(T7))&gt;0</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8EBDC-0C29-49F8-8383-8BE8A23F7B54}">
  <sheetPr codeName="Sheet13"/>
  <dimension ref="A1:T51"/>
  <sheetViews>
    <sheetView workbookViewId="0">
      <selection activeCell="Q3" sqref="Q3:Q18"/>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8" t="s">
        <v>84</v>
      </c>
    </row>
    <row r="3" spans="1:20" ht="15.95" customHeight="1" x14ac:dyDescent="0.25">
      <c r="A3" s="17" t="s">
        <v>678</v>
      </c>
      <c r="B3" s="16" t="str">
        <f>TRIM(_xlfn.TEXTBEFORE(A3, ":"))</f>
        <v>Item Class</v>
      </c>
      <c r="C3" s="17" t="s">
        <v>1668</v>
      </c>
      <c r="D3" s="16" t="str">
        <f>TRIM(_xlfn.TEXTBEFORE(C3, ":"))</f>
        <v>Gegenstandsklasse</v>
      </c>
      <c r="E3" s="17" t="s">
        <v>2387</v>
      </c>
      <c r="F3" s="16" t="str">
        <f>TRIM(_xlfn.TEXTBEFORE(E3, ":"))</f>
        <v>Clase de objeto</v>
      </c>
      <c r="G3" s="17" t="s">
        <v>935</v>
      </c>
      <c r="H3" s="16" t="str">
        <f>TRIM(_xlfn.TEXTBEFORE(G3, ":"))</f>
        <v>Classe d'objet</v>
      </c>
      <c r="I3" s="17" t="s">
        <v>3105</v>
      </c>
      <c r="J3" s="16" t="str">
        <f>TRIM(_xlfn.TEXTBEFORE(I3, ":"))</f>
        <v>アイテムクラス</v>
      </c>
      <c r="K3" s="17" t="s">
        <v>3852</v>
      </c>
      <c r="L3" s="16" t="str">
        <f>TRIM(_xlfn.TEXTBEFORE(K3, ":"))</f>
        <v>아이템 종류</v>
      </c>
      <c r="M3" s="17" t="s">
        <v>4582</v>
      </c>
      <c r="N3" s="16" t="str">
        <f>TRIM(_xlfn.TEXTBEFORE(M3, ":"))</f>
        <v>Classe do Item</v>
      </c>
      <c r="O3" s="17" t="s">
        <v>5265</v>
      </c>
      <c r="P3" s="16" t="str">
        <f>TRIM(_xlfn.TEXTBEFORE(O3, ":"))</f>
        <v>Класс предмета</v>
      </c>
      <c r="Q3" s="17" t="s">
        <v>5999</v>
      </c>
      <c r="R3" s="16" t="str">
        <f>TRIM(_xlfn.TEXTBEFORE(Q3, ":"))</f>
        <v>ชนิดไอเทม</v>
      </c>
      <c r="S3" s="17"/>
      <c r="T3" s="20" t="e">
        <f>TRIM(_xlfn.TEXTBEFORE(S3, ":"))</f>
        <v>#N/A</v>
      </c>
    </row>
    <row r="4" spans="1:20" ht="15.95" customHeight="1" x14ac:dyDescent="0.25">
      <c r="A4" s="18" t="s">
        <v>496</v>
      </c>
      <c r="B4" s="16" t="str">
        <f>TRIM(_xlfn.TEXTAFTER(A3, ":"))</f>
        <v>Blueprints</v>
      </c>
      <c r="C4" s="18" t="s">
        <v>1652</v>
      </c>
      <c r="D4" s="16" t="str">
        <f>TRIM(_xlfn.TEXTAFTER(C3, ":"))</f>
        <v>Grundrisse</v>
      </c>
      <c r="E4" s="18" t="s">
        <v>2372</v>
      </c>
      <c r="F4" s="16" t="str">
        <f>TRIM(_xlfn.TEXTAFTER(E3, ":"))</f>
        <v>Planos</v>
      </c>
      <c r="G4" s="18" t="s">
        <v>919</v>
      </c>
      <c r="H4" s="16" t="str">
        <f>TRIM(_xlfn.TEXTAFTER(G3, ":"))</f>
        <v>Plans</v>
      </c>
      <c r="I4" s="18" t="s">
        <v>3087</v>
      </c>
      <c r="J4" s="16" t="str">
        <f>TRIM(_xlfn.TEXTAFTER(I3, ":"))</f>
        <v>計画書</v>
      </c>
      <c r="K4" s="18" t="s">
        <v>3837</v>
      </c>
      <c r="L4" s="16" t="str">
        <f>TRIM(_xlfn.TEXTAFTER(K3, ":"))</f>
        <v>도면</v>
      </c>
      <c r="M4" s="18" t="s">
        <v>4566</v>
      </c>
      <c r="N4" s="16" t="str">
        <f>TRIM(_xlfn.TEXTAFTER(M3, ":"))</f>
        <v>Plantas</v>
      </c>
      <c r="O4" s="18" t="s">
        <v>5249</v>
      </c>
      <c r="P4" s="16" t="str">
        <f>TRIM(_xlfn.TEXTAFTER(O3, ":"))</f>
        <v>Чертежи</v>
      </c>
      <c r="Q4" s="18" t="s">
        <v>5986</v>
      </c>
      <c r="R4" s="16" t="str">
        <f>TRIM(_xlfn.TEXTAFTER(Q3, ":"))</f>
        <v>พิมพ์เขียว</v>
      </c>
      <c r="S4" s="18"/>
      <c r="T4" s="20" t="e">
        <f>TRIM(_xlfn.TEXTAFTER(S3, ":"))</f>
        <v>#N/A</v>
      </c>
    </row>
    <row r="5" spans="1:20" ht="15.95" customHeight="1" x14ac:dyDescent="0.25">
      <c r="A5" s="18" t="s">
        <v>679</v>
      </c>
      <c r="B5" s="16" t="str">
        <f>TRIM(_xlfn.TEXTBEFORE(A4, ":"))</f>
        <v>Rarity</v>
      </c>
      <c r="C5" s="18" t="s">
        <v>1669</v>
      </c>
      <c r="D5" s="16" t="str">
        <f>TRIM(_xlfn.TEXTBEFORE(C4, ":"))</f>
        <v>Seltenheit</v>
      </c>
      <c r="E5" s="18" t="s">
        <v>2388</v>
      </c>
      <c r="F5" s="16" t="str">
        <f>TRIM(_xlfn.TEXTBEFORE(E4, ":"))</f>
        <v>Rareza</v>
      </c>
      <c r="G5" s="18" t="s">
        <v>936</v>
      </c>
      <c r="H5" s="16" t="str">
        <f>TRIM(_xlfn.TEXTBEFORE(G4, ":"))</f>
        <v>Rareté</v>
      </c>
      <c r="I5" s="18" t="s">
        <v>3106</v>
      </c>
      <c r="J5" s="16" t="str">
        <f>TRIM(_xlfn.TEXTBEFORE(I4, ":"))</f>
        <v>レアリティ</v>
      </c>
      <c r="K5" s="18" t="s">
        <v>3853</v>
      </c>
      <c r="L5" s="16" t="str">
        <f>TRIM(_xlfn.TEXTBEFORE(K4, ":"))</f>
        <v>아이템 희귀도</v>
      </c>
      <c r="M5" s="18" t="s">
        <v>4583</v>
      </c>
      <c r="N5" s="16" t="str">
        <f>TRIM(_xlfn.TEXTBEFORE(M4, ":"))</f>
        <v>Raridade</v>
      </c>
      <c r="O5" s="18" t="s">
        <v>5266</v>
      </c>
      <c r="P5" s="16" t="str">
        <f>TRIM(_xlfn.TEXTBEFORE(O4, ":"))</f>
        <v>Редкость</v>
      </c>
      <c r="Q5" s="18" t="s">
        <v>6000</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680</v>
      </c>
      <c r="B7" s="16"/>
      <c r="C7" s="18" t="s">
        <v>1670</v>
      </c>
      <c r="D7" s="16"/>
      <c r="E7" s="18" t="s">
        <v>2389</v>
      </c>
      <c r="F7" s="16"/>
      <c r="G7" s="18" t="s">
        <v>937</v>
      </c>
      <c r="H7" s="16"/>
      <c r="I7" s="18" t="s">
        <v>3107</v>
      </c>
      <c r="J7" s="16"/>
      <c r="K7" s="18" t="s">
        <v>3854</v>
      </c>
      <c r="L7" s="16"/>
      <c r="M7" s="18" t="s">
        <v>4584</v>
      </c>
      <c r="N7" s="16"/>
      <c r="O7" s="18" t="s">
        <v>5267</v>
      </c>
      <c r="P7" s="16"/>
      <c r="Q7" s="18" t="s">
        <v>6001</v>
      </c>
      <c r="R7" s="16"/>
      <c r="S7" s="18"/>
      <c r="T7" s="20"/>
    </row>
    <row r="8" spans="1:20" ht="15.95" customHeight="1" x14ac:dyDescent="0.25">
      <c r="A8" s="18" t="s">
        <v>681</v>
      </c>
      <c r="B8" s="16"/>
      <c r="C8" s="18" t="s">
        <v>1671</v>
      </c>
      <c r="D8" s="16"/>
      <c r="E8" s="18" t="s">
        <v>2390</v>
      </c>
      <c r="F8" s="16"/>
      <c r="G8" s="18" t="s">
        <v>938</v>
      </c>
      <c r="H8" s="16"/>
      <c r="I8" s="18" t="s">
        <v>3108</v>
      </c>
      <c r="J8" s="16"/>
      <c r="K8" s="18" t="s">
        <v>3855</v>
      </c>
      <c r="L8" s="16"/>
      <c r="M8" s="18" t="s">
        <v>4585</v>
      </c>
      <c r="N8" s="16"/>
      <c r="O8" s="18" t="s">
        <v>5268</v>
      </c>
      <c r="P8" s="16"/>
      <c r="Q8" s="18" t="s">
        <v>6002</v>
      </c>
      <c r="R8" s="16"/>
      <c r="S8" s="18"/>
      <c r="T8" s="20"/>
    </row>
    <row r="9" spans="1:20" ht="15.95" customHeight="1" x14ac:dyDescent="0.25">
      <c r="A9" s="18" t="s">
        <v>682</v>
      </c>
      <c r="B9" s="16"/>
      <c r="C9" s="18" t="s">
        <v>1672</v>
      </c>
      <c r="D9" s="16"/>
      <c r="E9" s="18" t="s">
        <v>2391</v>
      </c>
      <c r="F9" s="16"/>
      <c r="G9" s="18" t="s">
        <v>939</v>
      </c>
      <c r="H9" s="16"/>
      <c r="I9" s="18" t="s">
        <v>3109</v>
      </c>
      <c r="J9" s="16"/>
      <c r="K9" s="18" t="s">
        <v>3856</v>
      </c>
      <c r="L9" s="16"/>
      <c r="M9" s="18" t="s">
        <v>4586</v>
      </c>
      <c r="N9" s="16"/>
      <c r="O9" s="18" t="s">
        <v>5269</v>
      </c>
      <c r="P9" s="16"/>
      <c r="Q9" s="18" t="s">
        <v>6003</v>
      </c>
      <c r="R9" s="16"/>
      <c r="S9" s="18"/>
      <c r="T9" s="20"/>
    </row>
    <row r="10" spans="1:20" ht="15.95" customHeight="1" x14ac:dyDescent="0.25">
      <c r="A10" s="18" t="s">
        <v>683</v>
      </c>
      <c r="B10" s="16"/>
      <c r="C10" s="18" t="s">
        <v>1673</v>
      </c>
      <c r="D10" s="16"/>
      <c r="E10" s="18" t="s">
        <v>2392</v>
      </c>
      <c r="F10" s="16"/>
      <c r="G10" s="18" t="s">
        <v>940</v>
      </c>
      <c r="H10" s="16"/>
      <c r="I10" s="18" t="s">
        <v>3110</v>
      </c>
      <c r="J10" s="16"/>
      <c r="K10" s="18" t="s">
        <v>3857</v>
      </c>
      <c r="L10" s="16"/>
      <c r="M10" s="18" t="s">
        <v>4587</v>
      </c>
      <c r="N10" s="16"/>
      <c r="O10" s="18" t="s">
        <v>5270</v>
      </c>
      <c r="P10" s="16"/>
      <c r="Q10" s="18" t="s">
        <v>6004</v>
      </c>
      <c r="R10" s="16"/>
      <c r="S10" s="18"/>
      <c r="T10" s="20"/>
    </row>
    <row r="11" spans="1:20" ht="15.95" customHeight="1" x14ac:dyDescent="0.25">
      <c r="A11" s="18" t="s">
        <v>684</v>
      </c>
      <c r="B11" s="16"/>
      <c r="C11" s="18" t="s">
        <v>1674</v>
      </c>
      <c r="D11" s="16"/>
      <c r="E11" s="18" t="s">
        <v>2393</v>
      </c>
      <c r="F11" s="16"/>
      <c r="G11" s="18" t="s">
        <v>941</v>
      </c>
      <c r="H11" s="16"/>
      <c r="I11" s="18" t="s">
        <v>3111</v>
      </c>
      <c r="J11" s="16"/>
      <c r="K11" s="18" t="s">
        <v>3858</v>
      </c>
      <c r="L11" s="16"/>
      <c r="M11" s="18" t="s">
        <v>4588</v>
      </c>
      <c r="N11" s="16"/>
      <c r="O11" s="18" t="s">
        <v>5271</v>
      </c>
      <c r="P11" s="16"/>
      <c r="Q11" s="18" t="s">
        <v>6005</v>
      </c>
      <c r="R11" s="16"/>
      <c r="S11" s="18"/>
      <c r="T11" s="20"/>
    </row>
    <row r="12" spans="1:20" ht="15.95" customHeight="1" x14ac:dyDescent="0.25">
      <c r="A12" s="18" t="s">
        <v>685</v>
      </c>
      <c r="B12" s="16"/>
      <c r="C12" s="18" t="s">
        <v>1675</v>
      </c>
      <c r="D12" s="16"/>
      <c r="E12" s="18" t="s">
        <v>2394</v>
      </c>
      <c r="F12" s="16"/>
      <c r="G12" s="18" t="s">
        <v>942</v>
      </c>
      <c r="H12" s="16"/>
      <c r="I12" s="18" t="s">
        <v>3112</v>
      </c>
      <c r="J12" s="16"/>
      <c r="K12" s="18" t="s">
        <v>3859</v>
      </c>
      <c r="L12" s="16"/>
      <c r="M12" s="18" t="s">
        <v>4589</v>
      </c>
      <c r="N12" s="16"/>
      <c r="O12" s="18" t="s">
        <v>5272</v>
      </c>
      <c r="P12" s="16"/>
      <c r="Q12" s="18" t="s">
        <v>6006</v>
      </c>
      <c r="R12" s="16"/>
      <c r="S12" s="18"/>
      <c r="T12" s="20"/>
    </row>
    <row r="13" spans="1:20" ht="15.95" customHeight="1" x14ac:dyDescent="0.25">
      <c r="A13" s="18" t="s">
        <v>686</v>
      </c>
      <c r="B13" s="16"/>
      <c r="C13" s="18" t="s">
        <v>1676</v>
      </c>
      <c r="D13" s="16"/>
      <c r="E13" s="18" t="s">
        <v>2395</v>
      </c>
      <c r="F13" s="16"/>
      <c r="G13" s="18" t="s">
        <v>943</v>
      </c>
      <c r="H13" s="16"/>
      <c r="I13" s="18" t="s">
        <v>3113</v>
      </c>
      <c r="J13" s="16"/>
      <c r="K13" s="18" t="s">
        <v>3860</v>
      </c>
      <c r="L13" s="16"/>
      <c r="M13" s="18" t="s">
        <v>4590</v>
      </c>
      <c r="N13" s="16"/>
      <c r="O13" s="18" t="s">
        <v>5273</v>
      </c>
      <c r="P13" s="16"/>
      <c r="Q13" s="18" t="s">
        <v>6007</v>
      </c>
      <c r="R13" s="16"/>
      <c r="S13" s="18"/>
      <c r="T13" s="20"/>
    </row>
    <row r="14" spans="1:20" ht="15.95" customHeight="1" x14ac:dyDescent="0.25">
      <c r="A14" s="18" t="s">
        <v>687</v>
      </c>
      <c r="B14" s="16"/>
      <c r="C14" s="18" t="s">
        <v>1677</v>
      </c>
      <c r="D14" s="16"/>
      <c r="E14" s="18" t="s">
        <v>2396</v>
      </c>
      <c r="F14" s="16"/>
      <c r="G14" s="18" t="s">
        <v>944</v>
      </c>
      <c r="H14" s="16"/>
      <c r="I14" s="18" t="s">
        <v>3114</v>
      </c>
      <c r="J14" s="16"/>
      <c r="K14" s="18" t="s">
        <v>3861</v>
      </c>
      <c r="L14" s="16"/>
      <c r="M14" s="18" t="s">
        <v>4591</v>
      </c>
      <c r="N14" s="16"/>
      <c r="O14" s="18" t="s">
        <v>5274</v>
      </c>
      <c r="P14" s="16"/>
      <c r="Q14" s="18" t="s">
        <v>6008</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688</v>
      </c>
      <c r="B16" s="16"/>
      <c r="C16" s="18" t="s">
        <v>1678</v>
      </c>
      <c r="D16" s="16"/>
      <c r="E16" s="18" t="s">
        <v>2397</v>
      </c>
      <c r="F16" s="16"/>
      <c r="G16" s="18" t="s">
        <v>945</v>
      </c>
      <c r="H16" s="16"/>
      <c r="I16" s="18" t="s">
        <v>3115</v>
      </c>
      <c r="J16" s="16"/>
      <c r="K16" s="18" t="s">
        <v>3862</v>
      </c>
      <c r="L16" s="16"/>
      <c r="M16" s="18" t="s">
        <v>4592</v>
      </c>
      <c r="N16" s="16"/>
      <c r="O16" s="18" t="s">
        <v>5275</v>
      </c>
      <c r="P16" s="16"/>
      <c r="Q16" s="18" t="s">
        <v>6009</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689</v>
      </c>
      <c r="B18" s="16"/>
      <c r="C18" s="18" t="s">
        <v>1679</v>
      </c>
      <c r="D18" s="16"/>
      <c r="E18" s="18" t="s">
        <v>2398</v>
      </c>
      <c r="F18" s="16"/>
      <c r="G18" s="18" t="s">
        <v>946</v>
      </c>
      <c r="H18" s="16"/>
      <c r="I18" s="18" t="s">
        <v>3116</v>
      </c>
      <c r="J18" s="16"/>
      <c r="K18" s="18" t="s">
        <v>3863</v>
      </c>
      <c r="L18" s="16"/>
      <c r="M18" s="18" t="s">
        <v>4593</v>
      </c>
      <c r="N18" s="16"/>
      <c r="O18" s="18" t="s">
        <v>5276</v>
      </c>
      <c r="P18" s="16"/>
      <c r="Q18" s="18" t="s">
        <v>6010</v>
      </c>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41" priority="2" stopIfTrue="1">
      <formula>NOT(ISERROR(A3))</formula>
    </cfRule>
  </conditionalFormatting>
  <conditionalFormatting sqref="A3:T51">
    <cfRule type="containsErrors" dxfId="440" priority="1" stopIfTrue="1">
      <formula>ISERROR(A3)</formula>
    </cfRule>
    <cfRule type="notContainsBlanks" dxfId="439" priority="3">
      <formula>LEN(TRIM(A3))&gt;0</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2B93F0-AC3C-4FED-984C-C2F3F6C3CB5E}">
  <sheetPr codeName="Sheet14"/>
  <dimension ref="A1:T51"/>
  <sheetViews>
    <sheetView workbookViewId="0">
      <selection activeCell="Q3" sqref="Q3:Q23"/>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8" t="s">
        <v>84</v>
      </c>
    </row>
    <row r="3" spans="1:20" ht="15.95" customHeight="1" x14ac:dyDescent="0.25">
      <c r="A3" s="17" t="s">
        <v>690</v>
      </c>
      <c r="B3" s="16" t="str">
        <f>TRIM(_xlfn.TEXTBEFORE(A3, ":"))</f>
        <v>Item Class</v>
      </c>
      <c r="C3" s="17" t="s">
        <v>1680</v>
      </c>
      <c r="D3" s="16" t="str">
        <f>TRIM(_xlfn.TEXTBEFORE(C3, ":"))</f>
        <v>Gegenstandsklasse</v>
      </c>
      <c r="E3" s="17" t="s">
        <v>2399</v>
      </c>
      <c r="F3" s="16" t="str">
        <f>TRIM(_xlfn.TEXTBEFORE(E3, ":"))</f>
        <v>Clase de objeto</v>
      </c>
      <c r="G3" s="17" t="s">
        <v>947</v>
      </c>
      <c r="H3" s="16" t="str">
        <f>TRIM(_xlfn.TEXTBEFORE(G3, ":"))</f>
        <v>Classe d'objet</v>
      </c>
      <c r="I3" s="17" t="s">
        <v>3117</v>
      </c>
      <c r="J3" s="16" t="str">
        <f>TRIM(_xlfn.TEXTBEFORE(I3, ":"))</f>
        <v>アイテムクラス</v>
      </c>
      <c r="K3" s="17" t="s">
        <v>3864</v>
      </c>
      <c r="L3" s="16" t="str">
        <f>TRIM(_xlfn.TEXTBEFORE(K3, ":"))</f>
        <v>아이템 종류</v>
      </c>
      <c r="M3" s="17" t="s">
        <v>4594</v>
      </c>
      <c r="N3" s="16" t="str">
        <f>TRIM(_xlfn.TEXTBEFORE(M3, ":"))</f>
        <v>Classe do Item</v>
      </c>
      <c r="O3" s="17" t="s">
        <v>5277</v>
      </c>
      <c r="P3" s="16" t="str">
        <f>TRIM(_xlfn.TEXTBEFORE(O3, ":"))</f>
        <v>Класс предмета</v>
      </c>
      <c r="Q3" s="17" t="s">
        <v>6011</v>
      </c>
      <c r="R3" s="16" t="str">
        <f>TRIM(_xlfn.TEXTBEFORE(Q3, ":"))</f>
        <v>ชนิดไอเทม</v>
      </c>
      <c r="S3" s="17"/>
      <c r="T3" s="20" t="e">
        <f>TRIM(_xlfn.TEXTBEFORE(S3, ":"))</f>
        <v>#N/A</v>
      </c>
    </row>
    <row r="4" spans="1:20" ht="15.95" customHeight="1" x14ac:dyDescent="0.25">
      <c r="A4" s="18" t="s">
        <v>470</v>
      </c>
      <c r="B4" s="16" t="str">
        <f>TRIM(_xlfn.TEXTAFTER(A3, ":"))</f>
        <v>Contracts</v>
      </c>
      <c r="C4" s="18" t="s">
        <v>1681</v>
      </c>
      <c r="D4" s="16" t="str">
        <f>TRIM(_xlfn.TEXTAFTER(C3, ":"))</f>
        <v>Aufträge</v>
      </c>
      <c r="E4" s="18" t="s">
        <v>2400</v>
      </c>
      <c r="F4" s="16" t="str">
        <f>TRIM(_xlfn.TEXTAFTER(E3, ":"))</f>
        <v>Contratos</v>
      </c>
      <c r="G4" s="18" t="s">
        <v>948</v>
      </c>
      <c r="H4" s="16" t="str">
        <f>TRIM(_xlfn.TEXTAFTER(G3, ":"))</f>
        <v>Contrats</v>
      </c>
      <c r="I4" s="18" t="s">
        <v>3118</v>
      </c>
      <c r="J4" s="16" t="str">
        <f>TRIM(_xlfn.TEXTAFTER(I3, ":"))</f>
        <v>依頼書</v>
      </c>
      <c r="K4" s="18" t="s">
        <v>3865</v>
      </c>
      <c r="L4" s="16" t="str">
        <f>TRIM(_xlfn.TEXTAFTER(K3, ":"))</f>
        <v>계약</v>
      </c>
      <c r="M4" s="18" t="s">
        <v>4595</v>
      </c>
      <c r="N4" s="16" t="str">
        <f>TRIM(_xlfn.TEXTAFTER(M3, ":"))</f>
        <v>Contratos</v>
      </c>
      <c r="O4" s="18" t="s">
        <v>5278</v>
      </c>
      <c r="P4" s="16" t="str">
        <f>TRIM(_xlfn.TEXTAFTER(O3, ":"))</f>
        <v>Контракты</v>
      </c>
      <c r="Q4" s="18" t="s">
        <v>6012</v>
      </c>
      <c r="R4" s="16" t="str">
        <f>TRIM(_xlfn.TEXTAFTER(Q3, ":"))</f>
        <v>สัญญาจ้าง</v>
      </c>
      <c r="S4" s="18"/>
      <c r="T4" s="20" t="e">
        <f>TRIM(_xlfn.TEXTAFTER(S3, ":"))</f>
        <v>#N/A</v>
      </c>
    </row>
    <row r="5" spans="1:20" ht="15.95" customHeight="1" x14ac:dyDescent="0.25">
      <c r="A5" s="18" t="s">
        <v>691</v>
      </c>
      <c r="B5" s="16" t="str">
        <f>TRIM(_xlfn.TEXTBEFORE(A4, ":"))</f>
        <v>Rarity</v>
      </c>
      <c r="C5" s="18" t="s">
        <v>1682</v>
      </c>
      <c r="D5" s="16" t="str">
        <f>TRIM(_xlfn.TEXTBEFORE(C4, ":"))</f>
        <v>Seltenheit</v>
      </c>
      <c r="E5" s="18" t="s">
        <v>2401</v>
      </c>
      <c r="F5" s="16" t="str">
        <f>TRIM(_xlfn.TEXTBEFORE(E4, ":"))</f>
        <v>Rareza</v>
      </c>
      <c r="G5" s="18" t="s">
        <v>949</v>
      </c>
      <c r="H5" s="16" t="str">
        <f>TRIM(_xlfn.TEXTBEFORE(G4, ":"))</f>
        <v>Rareté</v>
      </c>
      <c r="I5" s="18" t="s">
        <v>3119</v>
      </c>
      <c r="J5" s="16" t="str">
        <f>TRIM(_xlfn.TEXTBEFORE(I4, ":"))</f>
        <v>レアリティ</v>
      </c>
      <c r="K5" s="18" t="s">
        <v>3866</v>
      </c>
      <c r="L5" s="16" t="str">
        <f>TRIM(_xlfn.TEXTBEFORE(K4, ":"))</f>
        <v>아이템 희귀도</v>
      </c>
      <c r="M5" s="18" t="s">
        <v>4596</v>
      </c>
      <c r="N5" s="16" t="str">
        <f>TRIM(_xlfn.TEXTBEFORE(M4, ":"))</f>
        <v>Raridade</v>
      </c>
      <c r="O5" s="18" t="s">
        <v>5279</v>
      </c>
      <c r="P5" s="16" t="str">
        <f>TRIM(_xlfn.TEXTBEFORE(O4, ":"))</f>
        <v>Редкость</v>
      </c>
      <c r="Q5" s="18" t="s">
        <v>6013</v>
      </c>
      <c r="R5" s="16" t="str">
        <f>TRIM(_xlfn.TEXTBEFORE(Q4, ":"))</f>
        <v>ความหายาก</v>
      </c>
      <c r="S5" s="18"/>
      <c r="T5" s="20"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e">
        <f>TRIM(_xlfn.TEXTAFTER(S4,":"))</f>
        <v>#N/A</v>
      </c>
    </row>
    <row r="7" spans="1:20" ht="15.95" customHeight="1" x14ac:dyDescent="0.25">
      <c r="A7" s="18" t="s">
        <v>692</v>
      </c>
      <c r="B7" s="16"/>
      <c r="C7" s="18" t="s">
        <v>1683</v>
      </c>
      <c r="D7" s="16"/>
      <c r="E7" s="18" t="s">
        <v>2402</v>
      </c>
      <c r="F7" s="16"/>
      <c r="G7" s="18" t="s">
        <v>950</v>
      </c>
      <c r="H7" s="16"/>
      <c r="I7" s="18" t="s">
        <v>3120</v>
      </c>
      <c r="J7" s="16"/>
      <c r="K7" s="18" t="s">
        <v>3867</v>
      </c>
      <c r="L7" s="16"/>
      <c r="M7" s="18" t="s">
        <v>2402</v>
      </c>
      <c r="N7" s="16"/>
      <c r="O7" s="18" t="s">
        <v>5280</v>
      </c>
      <c r="P7" s="16"/>
      <c r="Q7" s="18" t="s">
        <v>6014</v>
      </c>
      <c r="R7" s="16"/>
      <c r="S7" s="18"/>
      <c r="T7" s="20"/>
    </row>
    <row r="8" spans="1:20" ht="15.95" customHeight="1" x14ac:dyDescent="0.25">
      <c r="A8" s="18" t="s">
        <v>693</v>
      </c>
      <c r="B8" s="16"/>
      <c r="C8" s="18" t="s">
        <v>1684</v>
      </c>
      <c r="D8" s="16"/>
      <c r="E8" s="18" t="s">
        <v>2403</v>
      </c>
      <c r="F8" s="16"/>
      <c r="G8" s="18" t="s">
        <v>951</v>
      </c>
      <c r="H8" s="16"/>
      <c r="I8" s="18" t="s">
        <v>3121</v>
      </c>
      <c r="J8" s="16"/>
      <c r="K8" s="18" t="s">
        <v>3868</v>
      </c>
      <c r="L8" s="16"/>
      <c r="M8" s="18" t="s">
        <v>4597</v>
      </c>
      <c r="N8" s="16"/>
      <c r="O8" s="18" t="s">
        <v>5281</v>
      </c>
      <c r="P8" s="16"/>
      <c r="Q8" s="18" t="s">
        <v>6015</v>
      </c>
      <c r="R8" s="16"/>
      <c r="S8" s="18"/>
      <c r="T8" s="20"/>
    </row>
    <row r="9" spans="1:20" ht="15.95" customHeight="1" x14ac:dyDescent="0.25">
      <c r="A9" s="18" t="s">
        <v>694</v>
      </c>
      <c r="B9" s="16"/>
      <c r="C9" s="18" t="s">
        <v>1685</v>
      </c>
      <c r="D9" s="16"/>
      <c r="E9" s="18" t="s">
        <v>2404</v>
      </c>
      <c r="F9" s="16"/>
      <c r="G9" s="18" t="s">
        <v>952</v>
      </c>
      <c r="H9" s="16"/>
      <c r="I9" s="18" t="s">
        <v>3122</v>
      </c>
      <c r="J9" s="16"/>
      <c r="K9" s="18" t="s">
        <v>3869</v>
      </c>
      <c r="L9" s="16"/>
      <c r="M9" s="18" t="s">
        <v>4598</v>
      </c>
      <c r="N9" s="16"/>
      <c r="O9" s="18" t="s">
        <v>5282</v>
      </c>
      <c r="P9" s="16"/>
      <c r="Q9" s="18" t="s">
        <v>6016</v>
      </c>
      <c r="R9" s="16"/>
      <c r="S9" s="18"/>
      <c r="T9" s="20"/>
    </row>
    <row r="10" spans="1:20" ht="15.95" customHeight="1" x14ac:dyDescent="0.25">
      <c r="A10" s="18" t="s">
        <v>695</v>
      </c>
      <c r="B10" s="16"/>
      <c r="C10" s="18" t="s">
        <v>1686</v>
      </c>
      <c r="D10" s="16"/>
      <c r="E10" s="18" t="s">
        <v>2405</v>
      </c>
      <c r="F10" s="16"/>
      <c r="G10" s="18" t="s">
        <v>953</v>
      </c>
      <c r="H10" s="16"/>
      <c r="I10" s="18" t="s">
        <v>3123</v>
      </c>
      <c r="J10" s="16"/>
      <c r="K10" s="18" t="s">
        <v>3870</v>
      </c>
      <c r="L10" s="16"/>
      <c r="M10" s="18" t="s">
        <v>4599</v>
      </c>
      <c r="N10" s="16"/>
      <c r="O10" s="18" t="s">
        <v>5283</v>
      </c>
      <c r="P10" s="16"/>
      <c r="Q10" s="18" t="s">
        <v>6017</v>
      </c>
      <c r="R10" s="16"/>
      <c r="S10" s="18"/>
      <c r="T10" s="20"/>
    </row>
    <row r="11" spans="1:20" ht="15.95" customHeight="1" x14ac:dyDescent="0.25">
      <c r="A11" s="18" t="s">
        <v>696</v>
      </c>
      <c r="B11" s="16"/>
      <c r="C11" s="18" t="s">
        <v>1687</v>
      </c>
      <c r="D11" s="16"/>
      <c r="E11" s="18" t="s">
        <v>2406</v>
      </c>
      <c r="F11" s="16"/>
      <c r="G11" s="18" t="s">
        <v>954</v>
      </c>
      <c r="H11" s="16"/>
      <c r="I11" s="18" t="s">
        <v>3124</v>
      </c>
      <c r="J11" s="16"/>
      <c r="K11" s="18" t="s">
        <v>3871</v>
      </c>
      <c r="L11" s="16"/>
      <c r="M11" s="18" t="s">
        <v>4600</v>
      </c>
      <c r="N11" s="16"/>
      <c r="O11" s="18" t="s">
        <v>5284</v>
      </c>
      <c r="P11" s="16"/>
      <c r="Q11" s="18" t="s">
        <v>6018</v>
      </c>
      <c r="R11" s="16"/>
      <c r="S11" s="18"/>
      <c r="T11" s="20"/>
    </row>
    <row r="12" spans="1:20" ht="15.95" customHeight="1" x14ac:dyDescent="0.25">
      <c r="A12" s="18" t="s">
        <v>697</v>
      </c>
      <c r="B12" s="16"/>
      <c r="C12" s="18" t="s">
        <v>1688</v>
      </c>
      <c r="D12" s="16"/>
      <c r="E12" s="18" t="s">
        <v>2407</v>
      </c>
      <c r="F12" s="16"/>
      <c r="G12" s="18" t="s">
        <v>955</v>
      </c>
      <c r="H12" s="16"/>
      <c r="I12" s="18" t="s">
        <v>3125</v>
      </c>
      <c r="J12" s="16"/>
      <c r="K12" s="18" t="s">
        <v>3872</v>
      </c>
      <c r="L12" s="16"/>
      <c r="M12" s="18" t="s">
        <v>4601</v>
      </c>
      <c r="N12" s="16"/>
      <c r="O12" s="18" t="s">
        <v>5285</v>
      </c>
      <c r="P12" s="16"/>
      <c r="Q12" s="18" t="s">
        <v>6019</v>
      </c>
      <c r="R12" s="16"/>
      <c r="S12" s="18"/>
      <c r="T12" s="20"/>
    </row>
    <row r="13" spans="1:20" ht="15.95" customHeight="1" x14ac:dyDescent="0.25">
      <c r="A13" s="18" t="s">
        <v>698</v>
      </c>
      <c r="B13" s="16"/>
      <c r="C13" s="18" t="s">
        <v>1689</v>
      </c>
      <c r="D13" s="16"/>
      <c r="E13" s="18" t="s">
        <v>2408</v>
      </c>
      <c r="F13" s="16"/>
      <c r="G13" s="18" t="s">
        <v>956</v>
      </c>
      <c r="H13" s="16"/>
      <c r="I13" s="18" t="s">
        <v>3126</v>
      </c>
      <c r="J13" s="16"/>
      <c r="K13" s="18" t="s">
        <v>3873</v>
      </c>
      <c r="L13" s="16"/>
      <c r="M13" s="18" t="s">
        <v>4602</v>
      </c>
      <c r="N13" s="16"/>
      <c r="O13" s="18" t="s">
        <v>5286</v>
      </c>
      <c r="P13" s="16"/>
      <c r="Q13" s="18" t="s">
        <v>6020</v>
      </c>
      <c r="R13" s="16"/>
      <c r="S13" s="18"/>
      <c r="T13" s="20"/>
    </row>
    <row r="14" spans="1:20" ht="15.95" customHeight="1" x14ac:dyDescent="0.25">
      <c r="A14" s="18" t="s">
        <v>699</v>
      </c>
      <c r="B14" s="16"/>
      <c r="C14" s="18" t="s">
        <v>1690</v>
      </c>
      <c r="D14" s="16"/>
      <c r="E14" s="18" t="s">
        <v>2409</v>
      </c>
      <c r="F14" s="16"/>
      <c r="G14" s="18" t="s">
        <v>957</v>
      </c>
      <c r="H14" s="16"/>
      <c r="I14" s="18" t="s">
        <v>3127</v>
      </c>
      <c r="J14" s="16"/>
      <c r="K14" s="18" t="s">
        <v>3874</v>
      </c>
      <c r="L14" s="16"/>
      <c r="M14" s="18" t="s">
        <v>4603</v>
      </c>
      <c r="N14" s="16"/>
      <c r="O14" s="18" t="s">
        <v>5287</v>
      </c>
      <c r="P14" s="16"/>
      <c r="Q14" s="18" t="s">
        <v>6021</v>
      </c>
      <c r="R14" s="16"/>
      <c r="S14" s="18"/>
      <c r="T14" s="20"/>
    </row>
    <row r="15" spans="1:20" ht="15.95" customHeight="1" x14ac:dyDescent="0.25">
      <c r="A15" s="18" t="s">
        <v>700</v>
      </c>
      <c r="B15" s="16"/>
      <c r="C15" s="18" t="s">
        <v>1691</v>
      </c>
      <c r="D15" s="16"/>
      <c r="E15" s="18" t="s">
        <v>2410</v>
      </c>
      <c r="F15" s="16"/>
      <c r="G15" s="18" t="s">
        <v>958</v>
      </c>
      <c r="H15" s="16"/>
      <c r="I15" s="18" t="s">
        <v>3128</v>
      </c>
      <c r="J15" s="16"/>
      <c r="K15" s="18" t="s">
        <v>3875</v>
      </c>
      <c r="L15" s="16"/>
      <c r="M15" s="18" t="s">
        <v>4604</v>
      </c>
      <c r="N15" s="16"/>
      <c r="O15" s="18" t="s">
        <v>5288</v>
      </c>
      <c r="P15" s="16"/>
      <c r="Q15" s="18" t="s">
        <v>6022</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701</v>
      </c>
      <c r="B17" s="16"/>
      <c r="C17" s="18" t="s">
        <v>1692</v>
      </c>
      <c r="D17" s="16"/>
      <c r="E17" s="18" t="s">
        <v>2411</v>
      </c>
      <c r="F17" s="16"/>
      <c r="G17" s="18" t="s">
        <v>959</v>
      </c>
      <c r="H17" s="16"/>
      <c r="I17" s="18" t="s">
        <v>3129</v>
      </c>
      <c r="J17" s="16"/>
      <c r="K17" s="18" t="s">
        <v>3876</v>
      </c>
      <c r="L17" s="16"/>
      <c r="M17" s="18" t="s">
        <v>4605</v>
      </c>
      <c r="N17" s="16"/>
      <c r="O17" s="18" t="s">
        <v>5289</v>
      </c>
      <c r="P17" s="16"/>
      <c r="Q17" s="18" t="s">
        <v>6023</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702</v>
      </c>
      <c r="B19" s="16"/>
      <c r="C19" s="18" t="s">
        <v>1693</v>
      </c>
      <c r="D19" s="16"/>
      <c r="E19" s="18" t="s">
        <v>2412</v>
      </c>
      <c r="F19" s="16"/>
      <c r="G19" s="18" t="s">
        <v>960</v>
      </c>
      <c r="H19" s="16"/>
      <c r="I19" s="18" t="s">
        <v>3130</v>
      </c>
      <c r="J19" s="16"/>
      <c r="K19" s="18" t="s">
        <v>3877</v>
      </c>
      <c r="L19" s="16"/>
      <c r="M19" s="18" t="s">
        <v>4606</v>
      </c>
      <c r="N19" s="16"/>
      <c r="O19" s="18" t="s">
        <v>5290</v>
      </c>
      <c r="P19" s="16"/>
      <c r="Q19" s="18" t="s">
        <v>6024</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703</v>
      </c>
      <c r="B21" s="16"/>
      <c r="C21" s="18" t="s">
        <v>1694</v>
      </c>
      <c r="D21" s="16"/>
      <c r="E21" s="18" t="s">
        <v>2413</v>
      </c>
      <c r="F21" s="16"/>
      <c r="G21" s="18" t="s">
        <v>961</v>
      </c>
      <c r="H21" s="16"/>
      <c r="I21" s="18" t="s">
        <v>3131</v>
      </c>
      <c r="J21" s="16"/>
      <c r="K21" s="18" t="s">
        <v>3878</v>
      </c>
      <c r="L21" s="16"/>
      <c r="M21" s="18" t="s">
        <v>4607</v>
      </c>
      <c r="N21" s="16"/>
      <c r="O21" s="18" t="s">
        <v>5291</v>
      </c>
      <c r="P21" s="16"/>
      <c r="Q21" s="18" t="s">
        <v>6025</v>
      </c>
      <c r="R21" s="16"/>
      <c r="S21" s="18"/>
      <c r="T21" s="20"/>
    </row>
    <row r="22" spans="1:20" ht="15.95" customHeight="1" x14ac:dyDescent="0.25">
      <c r="A22" s="18" t="s">
        <v>4</v>
      </c>
      <c r="B22" s="16"/>
      <c r="C22" s="18" t="s">
        <v>4</v>
      </c>
      <c r="D22" s="16"/>
      <c r="E22" s="18" t="s">
        <v>4</v>
      </c>
      <c r="F22" s="16"/>
      <c r="G22" s="18" t="s">
        <v>962</v>
      </c>
      <c r="H22" s="16"/>
      <c r="I22" s="18" t="s">
        <v>4</v>
      </c>
      <c r="J22" s="16"/>
      <c r="K22" s="18" t="s">
        <v>4</v>
      </c>
      <c r="L22" s="16"/>
      <c r="M22" s="18" t="s">
        <v>4</v>
      </c>
      <c r="N22" s="16"/>
      <c r="O22" s="18" t="s">
        <v>5292</v>
      </c>
      <c r="P22" s="16"/>
      <c r="Q22" s="18" t="s">
        <v>4</v>
      </c>
      <c r="R22" s="16"/>
      <c r="S22" s="18"/>
      <c r="T22" s="20"/>
    </row>
    <row r="23" spans="1:20" ht="15.95" customHeight="1" x14ac:dyDescent="0.25">
      <c r="A23" s="18" t="s">
        <v>704</v>
      </c>
      <c r="B23" s="16"/>
      <c r="C23" s="18" t="s">
        <v>1695</v>
      </c>
      <c r="D23" s="16"/>
      <c r="E23" s="18" t="s">
        <v>2414</v>
      </c>
      <c r="F23" s="16"/>
      <c r="G23" s="18" t="s">
        <v>4</v>
      </c>
      <c r="H23" s="16"/>
      <c r="I23" s="18" t="s">
        <v>3132</v>
      </c>
      <c r="J23" s="16"/>
      <c r="K23" s="18" t="s">
        <v>3879</v>
      </c>
      <c r="L23" s="16"/>
      <c r="M23" s="18" t="s">
        <v>4608</v>
      </c>
      <c r="N23" s="16"/>
      <c r="O23" s="18" t="s">
        <v>4</v>
      </c>
      <c r="P23" s="16"/>
      <c r="Q23" s="18" t="s">
        <v>6026</v>
      </c>
      <c r="R23" s="16"/>
      <c r="S23" s="18"/>
      <c r="T23" s="20"/>
    </row>
    <row r="24" spans="1:20" ht="15.95" customHeight="1" x14ac:dyDescent="0.25">
      <c r="A24" s="18"/>
      <c r="B24" s="16"/>
      <c r="C24" s="18"/>
      <c r="D24" s="16"/>
      <c r="E24" s="18"/>
      <c r="F24" s="16"/>
      <c r="G24" s="18" t="s">
        <v>963</v>
      </c>
      <c r="H24" s="16"/>
      <c r="I24" s="18"/>
      <c r="J24" s="16"/>
      <c r="K24" s="18"/>
      <c r="L24" s="16"/>
      <c r="M24" s="18"/>
      <c r="N24" s="16"/>
      <c r="O24" s="18" t="s">
        <v>5293</v>
      </c>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38" priority="2" stopIfTrue="1">
      <formula>NOT(ISERROR(A3))</formula>
    </cfRule>
  </conditionalFormatting>
  <conditionalFormatting sqref="A3:T51">
    <cfRule type="containsErrors" dxfId="437" priority="1" stopIfTrue="1">
      <formula>ISERROR(A3)</formula>
    </cfRule>
    <cfRule type="notContainsBlanks" dxfId="436" priority="3">
      <formula>LEN(TRIM(A3))&gt;0</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71E2B-B2C5-4EE3-9A24-06EADDAB0CDB}">
  <sheetPr codeName="Sheet15"/>
  <dimension ref="A1:T51"/>
  <sheetViews>
    <sheetView workbookViewId="0">
      <selection activeCell="Q3" sqref="Q3:Q2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9" t="s">
        <v>84</v>
      </c>
    </row>
    <row r="3" spans="1:20" ht="15.95" customHeight="1" x14ac:dyDescent="0.25">
      <c r="A3" s="17" t="s">
        <v>558</v>
      </c>
      <c r="B3" s="16" t="str">
        <f>TRIM(_xlfn.TEXTBEFORE(A3, ":"))</f>
        <v>Item Class</v>
      </c>
      <c r="C3" s="17" t="s">
        <v>1696</v>
      </c>
      <c r="D3" s="16" t="str">
        <f>TRIM(_xlfn.TEXTBEFORE(C3, ":"))</f>
        <v>Gegenstandsklasse</v>
      </c>
      <c r="E3" s="17" t="s">
        <v>2415</v>
      </c>
      <c r="F3" s="16" t="str">
        <f>TRIM(_xlfn.TEXTBEFORE(E3, ":"))</f>
        <v>Clase de objeto</v>
      </c>
      <c r="G3" s="17" t="s">
        <v>964</v>
      </c>
      <c r="H3" s="16" t="str">
        <f>TRIM(_xlfn.TEXTBEFORE(G3, ":"))</f>
        <v>Classe d'objet</v>
      </c>
      <c r="I3" s="17" t="s">
        <v>3133</v>
      </c>
      <c r="J3" s="16" t="str">
        <f>TRIM(_xlfn.TEXTBEFORE(I3, ":"))</f>
        <v>アイテムクラス</v>
      </c>
      <c r="K3" s="17" t="s">
        <v>3880</v>
      </c>
      <c r="L3" s="16" t="str">
        <f>TRIM(_xlfn.TEXTBEFORE(K3, ":"))</f>
        <v>아이템 종류</v>
      </c>
      <c r="M3" s="17" t="s">
        <v>4609</v>
      </c>
      <c r="N3" s="16" t="str">
        <f>TRIM(_xlfn.TEXTBEFORE(M3, ":"))</f>
        <v>Classe do Item</v>
      </c>
      <c r="O3" s="17" t="s">
        <v>5294</v>
      </c>
      <c r="P3" s="16" t="str">
        <f>TRIM(_xlfn.TEXTBEFORE(O3, ":"))</f>
        <v>Класс предмета</v>
      </c>
      <c r="Q3" s="17" t="s">
        <v>6027</v>
      </c>
      <c r="R3" s="16" t="str">
        <f>TRIM(_xlfn.TEXTBEFORE(Q3, ":"))</f>
        <v>ชนิดไอเทม</v>
      </c>
      <c r="S3" s="17"/>
      <c r="T3" s="16" t="e">
        <f>TRIM(_xlfn.TEXTBEFORE(S3, ":"))</f>
        <v>#N/A</v>
      </c>
    </row>
    <row r="4" spans="1:20" ht="15.95" customHeight="1" x14ac:dyDescent="0.25">
      <c r="A4" s="18" t="s">
        <v>496</v>
      </c>
      <c r="B4" s="16" t="str">
        <f>TRIM(_xlfn.TEXTAFTER(A3, ":"))</f>
        <v>Expedition Logbooks</v>
      </c>
      <c r="C4" s="18" t="s">
        <v>1652</v>
      </c>
      <c r="D4" s="16" t="str">
        <f>TRIM(_xlfn.TEXTAFTER(C3, ":"))</f>
        <v>Expeditions-Logbücher</v>
      </c>
      <c r="E4" s="18" t="s">
        <v>2372</v>
      </c>
      <c r="F4" s="16" t="str">
        <f>TRIM(_xlfn.TEXTAFTER(E3, ":"))</f>
        <v>Registros de expedición</v>
      </c>
      <c r="G4" s="18" t="s">
        <v>919</v>
      </c>
      <c r="H4" s="16" t="str">
        <f>TRIM(_xlfn.TEXTAFTER(G3, ":"))</f>
        <v>Journaux de bord d'Expédition</v>
      </c>
      <c r="I4" s="18" t="s">
        <v>3087</v>
      </c>
      <c r="J4" s="16" t="str">
        <f>TRIM(_xlfn.TEXTAFTER(I3, ":"))</f>
        <v>エクスペディションログブック</v>
      </c>
      <c r="K4" s="18" t="s">
        <v>3837</v>
      </c>
      <c r="L4" s="16" t="str">
        <f>TRIM(_xlfn.TEXTAFTER(K3, ":"))</f>
        <v>탐험 일지</v>
      </c>
      <c r="M4" s="18" t="s">
        <v>4566</v>
      </c>
      <c r="N4" s="16" t="str">
        <f>TRIM(_xlfn.TEXTAFTER(M3, ":"))</f>
        <v>Diários de Bordo Expedition</v>
      </c>
      <c r="O4" s="18" t="s">
        <v>5249</v>
      </c>
      <c r="P4" s="16" t="str">
        <f>TRIM(_xlfn.TEXTAFTER(O3, ":"))</f>
        <v>Журналы экспедиции</v>
      </c>
      <c r="Q4" s="18" t="s">
        <v>5986</v>
      </c>
      <c r="R4" s="16" t="str">
        <f>TRIM(_xlfn.TEXTAFTER(Q3, ":"))</f>
        <v>สมุดปูมเดินทางกองสำรวจ</v>
      </c>
      <c r="S4" s="18"/>
      <c r="T4" s="16" t="e">
        <f>TRIM(_xlfn.TEXTAFTER(S3, ":"))</f>
        <v>#N/A</v>
      </c>
    </row>
    <row r="5" spans="1:20" ht="15.95" customHeight="1" x14ac:dyDescent="0.25">
      <c r="A5" s="18" t="s">
        <v>559</v>
      </c>
      <c r="B5" s="16" t="str">
        <f>TRIM(_xlfn.TEXTBEFORE(A4, ":"))</f>
        <v>Rarity</v>
      </c>
      <c r="C5" s="18" t="s">
        <v>1697</v>
      </c>
      <c r="D5" s="16" t="str">
        <f>TRIM(_xlfn.TEXTBEFORE(C4, ":"))</f>
        <v>Seltenheit</v>
      </c>
      <c r="E5" s="18" t="s">
        <v>2416</v>
      </c>
      <c r="F5" s="16" t="str">
        <f>TRIM(_xlfn.TEXTBEFORE(E4, ":"))</f>
        <v>Rareza</v>
      </c>
      <c r="G5" s="18" t="s">
        <v>965</v>
      </c>
      <c r="H5" s="16" t="str">
        <f>TRIM(_xlfn.TEXTBEFORE(G4, ":"))</f>
        <v>Rareté</v>
      </c>
      <c r="I5" s="18" t="s">
        <v>3134</v>
      </c>
      <c r="J5" s="16" t="str">
        <f>TRIM(_xlfn.TEXTBEFORE(I4, ":"))</f>
        <v>レアリティ</v>
      </c>
      <c r="K5" s="18" t="s">
        <v>3881</v>
      </c>
      <c r="L5" s="16" t="str">
        <f>TRIM(_xlfn.TEXTBEFORE(K4, ":"))</f>
        <v>아이템 희귀도</v>
      </c>
      <c r="M5" s="18" t="s">
        <v>4610</v>
      </c>
      <c r="N5" s="16" t="str">
        <f>TRIM(_xlfn.TEXTBEFORE(M4, ":"))</f>
        <v>Raridade</v>
      </c>
      <c r="O5" s="18" t="s">
        <v>5295</v>
      </c>
      <c r="P5" s="16" t="str">
        <f>TRIM(_xlfn.TEXTBEFORE(O4, ":"))</f>
        <v>Редкость</v>
      </c>
      <c r="Q5" s="18" t="s">
        <v>6028</v>
      </c>
      <c r="R5" s="16" t="str">
        <f>TRIM(_xlfn.TEXTBEFORE(Q4, ":"))</f>
        <v>ความหายาก</v>
      </c>
      <c r="S5" s="18"/>
      <c r="T5" s="16"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16" t="e">
        <f>TRIM(_xlfn.TEXTAFTER(S4,":"))</f>
        <v>#N/A</v>
      </c>
    </row>
    <row r="7" spans="1:20" ht="15.95" customHeight="1" x14ac:dyDescent="0.25">
      <c r="A7" s="18" t="s">
        <v>560</v>
      </c>
      <c r="B7" s="16" t="str">
        <f>TRIM(_xlfn.TEXTBEFORE(A7,":"))</f>
        <v>Area Level</v>
      </c>
      <c r="C7" s="18" t="s">
        <v>1698</v>
      </c>
      <c r="D7" s="16" t="str">
        <f>TRIM(_xlfn.TEXTBEFORE(C7,":"))</f>
        <v>Gebietsstufe</v>
      </c>
      <c r="E7" s="18" t="s">
        <v>2417</v>
      </c>
      <c r="F7" s="16" t="str">
        <f>TRIM(_xlfn.TEXTBEFORE(E7,":"))</f>
        <v>Nivel del área</v>
      </c>
      <c r="G7" s="18" t="s">
        <v>966</v>
      </c>
      <c r="H7" s="16" t="str">
        <f>TRIM(_xlfn.TEXTBEFORE(G7,":"))</f>
        <v>Niveau de la zone</v>
      </c>
      <c r="I7" s="18" t="s">
        <v>3135</v>
      </c>
      <c r="J7" s="16" t="str">
        <f>TRIM(_xlfn.TEXTBEFORE(I7,":"))</f>
        <v>エリアレベル</v>
      </c>
      <c r="K7" s="18" t="s">
        <v>3882</v>
      </c>
      <c r="L7" s="16" t="str">
        <f>TRIM(_xlfn.TEXTBEFORE(K7,":"))</f>
        <v>지역 레벨</v>
      </c>
      <c r="M7" s="18" t="s">
        <v>4611</v>
      </c>
      <c r="N7" s="16" t="str">
        <f>TRIM(_xlfn.TEXTBEFORE(M7,":"))</f>
        <v>Nível da Área</v>
      </c>
      <c r="O7" s="18" t="s">
        <v>5296</v>
      </c>
      <c r="P7" s="16" t="str">
        <f>TRIM(_xlfn.TEXTBEFORE(O7,":"))</f>
        <v>Уровень области</v>
      </c>
      <c r="Q7" s="18" t="s">
        <v>6029</v>
      </c>
      <c r="R7" s="16" t="str">
        <f>TRIM(_xlfn.TEXTBEFORE(Q7,":"))</f>
        <v>ด่านเลเวล</v>
      </c>
      <c r="S7" s="18"/>
      <c r="T7" s="16" t="e">
        <f>TRIM(_xlfn.TEXTBEFORE(S7,":"))</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433</v>
      </c>
      <c r="B9" s="16"/>
      <c r="C9" s="18" t="s">
        <v>1699</v>
      </c>
      <c r="D9" s="16"/>
      <c r="E9" s="18" t="s">
        <v>2418</v>
      </c>
      <c r="F9" s="16"/>
      <c r="G9" s="18" t="s">
        <v>967</v>
      </c>
      <c r="H9" s="16"/>
      <c r="I9" s="18" t="s">
        <v>3136</v>
      </c>
      <c r="J9" s="16"/>
      <c r="K9" s="18" t="s">
        <v>3883</v>
      </c>
      <c r="L9" s="16"/>
      <c r="M9" s="18" t="s">
        <v>4612</v>
      </c>
      <c r="N9" s="16"/>
      <c r="O9" s="18" t="s">
        <v>5297</v>
      </c>
      <c r="P9" s="16"/>
      <c r="Q9" s="18" t="s">
        <v>6030</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561</v>
      </c>
      <c r="B11" s="16"/>
      <c r="C11" s="18" t="s">
        <v>1700</v>
      </c>
      <c r="D11" s="16"/>
      <c r="E11" s="18" t="s">
        <v>2419</v>
      </c>
      <c r="F11" s="16"/>
      <c r="G11" s="18" t="s">
        <v>968</v>
      </c>
      <c r="H11" s="16"/>
      <c r="I11" s="18" t="s">
        <v>3137</v>
      </c>
      <c r="J11" s="16"/>
      <c r="K11" s="18" t="s">
        <v>3884</v>
      </c>
      <c r="L11" s="16"/>
      <c r="M11" s="18" t="s">
        <v>4613</v>
      </c>
      <c r="N11" s="16"/>
      <c r="O11" s="18" t="s">
        <v>5298</v>
      </c>
      <c r="P11" s="16"/>
      <c r="Q11" s="18" t="s">
        <v>6031</v>
      </c>
      <c r="R11" s="16"/>
      <c r="S11" s="18"/>
      <c r="T11" s="16"/>
    </row>
    <row r="12" spans="1:20" ht="15.95" customHeight="1" x14ac:dyDescent="0.25">
      <c r="A12" s="18" t="s">
        <v>562</v>
      </c>
      <c r="B12" s="16"/>
      <c r="C12" s="18" t="s">
        <v>1701</v>
      </c>
      <c r="D12" s="16"/>
      <c r="E12" s="18" t="s">
        <v>2420</v>
      </c>
      <c r="F12" s="16"/>
      <c r="G12" s="18" t="s">
        <v>969</v>
      </c>
      <c r="H12" s="16"/>
      <c r="I12" s="18" t="s">
        <v>3138</v>
      </c>
      <c r="J12" s="16"/>
      <c r="K12" s="18" t="s">
        <v>3885</v>
      </c>
      <c r="L12" s="16"/>
      <c r="M12" s="18" t="s">
        <v>4614</v>
      </c>
      <c r="N12" s="16"/>
      <c r="O12" s="18" t="s">
        <v>5299</v>
      </c>
      <c r="P12" s="16"/>
      <c r="Q12" s="18" t="s">
        <v>6032</v>
      </c>
      <c r="R12" s="16"/>
      <c r="S12" s="18"/>
      <c r="T12" s="21"/>
    </row>
    <row r="13" spans="1:20" ht="15.95" customHeight="1" x14ac:dyDescent="0.25">
      <c r="A13" s="18" t="s">
        <v>563</v>
      </c>
      <c r="B13" s="16"/>
      <c r="C13" s="18" t="s">
        <v>1702</v>
      </c>
      <c r="D13" s="16"/>
      <c r="E13" s="18" t="s">
        <v>2421</v>
      </c>
      <c r="F13" s="16"/>
      <c r="G13" s="18" t="s">
        <v>970</v>
      </c>
      <c r="H13" s="16"/>
      <c r="I13" s="18" t="s">
        <v>3139</v>
      </c>
      <c r="J13" s="16"/>
      <c r="K13" s="18" t="s">
        <v>3886</v>
      </c>
      <c r="L13" s="16"/>
      <c r="M13" s="18" t="s">
        <v>4615</v>
      </c>
      <c r="N13" s="16"/>
      <c r="O13" s="18" t="s">
        <v>5300</v>
      </c>
      <c r="P13" s="16"/>
      <c r="Q13" s="18" t="s">
        <v>6033</v>
      </c>
      <c r="R13" s="16"/>
      <c r="S13" s="18"/>
      <c r="T13" s="21"/>
    </row>
    <row r="14" spans="1:20" ht="15.95" customHeight="1" x14ac:dyDescent="0.25">
      <c r="A14" s="18" t="s">
        <v>564</v>
      </c>
      <c r="B14" s="16"/>
      <c r="C14" s="18" t="s">
        <v>1703</v>
      </c>
      <c r="D14" s="16"/>
      <c r="E14" s="18" t="s">
        <v>2422</v>
      </c>
      <c r="F14" s="16"/>
      <c r="G14" s="18" t="s">
        <v>971</v>
      </c>
      <c r="H14" s="16"/>
      <c r="I14" s="18" t="s">
        <v>3140</v>
      </c>
      <c r="J14" s="16"/>
      <c r="K14" s="18" t="s">
        <v>3887</v>
      </c>
      <c r="L14" s="16"/>
      <c r="M14" s="18" t="s">
        <v>4616</v>
      </c>
      <c r="N14" s="16"/>
      <c r="O14" s="18" t="s">
        <v>5301</v>
      </c>
      <c r="P14" s="16"/>
      <c r="Q14" s="18" t="s">
        <v>6034</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565</v>
      </c>
      <c r="B16" s="16"/>
      <c r="C16" s="18" t="s">
        <v>1704</v>
      </c>
      <c r="D16" s="16"/>
      <c r="E16" s="18" t="s">
        <v>2423</v>
      </c>
      <c r="F16" s="16"/>
      <c r="G16" s="18" t="s">
        <v>972</v>
      </c>
      <c r="H16" s="16"/>
      <c r="I16" s="18" t="s">
        <v>3141</v>
      </c>
      <c r="J16" s="16"/>
      <c r="K16" s="18" t="s">
        <v>3888</v>
      </c>
      <c r="L16" s="16"/>
      <c r="M16" s="18" t="s">
        <v>4617</v>
      </c>
      <c r="N16" s="16"/>
      <c r="O16" s="18" t="s">
        <v>5302</v>
      </c>
      <c r="P16" s="16"/>
      <c r="Q16" s="18" t="s">
        <v>6035</v>
      </c>
      <c r="R16" s="16"/>
      <c r="S16" s="18"/>
      <c r="T16" s="21"/>
    </row>
    <row r="17" spans="1:20" ht="15.95" customHeight="1" x14ac:dyDescent="0.25">
      <c r="A17" s="18" t="s">
        <v>562</v>
      </c>
      <c r="B17" s="16"/>
      <c r="C17" s="18" t="s">
        <v>1701</v>
      </c>
      <c r="D17" s="16"/>
      <c r="E17" s="18" t="s">
        <v>2420</v>
      </c>
      <c r="F17" s="16"/>
      <c r="G17" s="18" t="s">
        <v>969</v>
      </c>
      <c r="H17" s="16"/>
      <c r="I17" s="18" t="s">
        <v>3138</v>
      </c>
      <c r="J17" s="16"/>
      <c r="K17" s="18" t="s">
        <v>3885</v>
      </c>
      <c r="L17" s="16"/>
      <c r="M17" s="18" t="s">
        <v>4614</v>
      </c>
      <c r="N17" s="16"/>
      <c r="O17" s="18" t="s">
        <v>5299</v>
      </c>
      <c r="P17" s="16"/>
      <c r="Q17" s="18" t="s">
        <v>6032</v>
      </c>
      <c r="R17" s="16"/>
      <c r="S17" s="18"/>
      <c r="T17" s="21"/>
    </row>
    <row r="18" spans="1:20" ht="15.95" customHeight="1" x14ac:dyDescent="0.25">
      <c r="A18" s="18" t="s">
        <v>566</v>
      </c>
      <c r="B18" s="16"/>
      <c r="C18" s="18" t="s">
        <v>1705</v>
      </c>
      <c r="D18" s="16"/>
      <c r="E18" s="18" t="s">
        <v>2424</v>
      </c>
      <c r="F18" s="16"/>
      <c r="G18" s="18" t="s">
        <v>973</v>
      </c>
      <c r="H18" s="16"/>
      <c r="I18" s="18" t="s">
        <v>3142</v>
      </c>
      <c r="J18" s="16"/>
      <c r="K18" s="18" t="s">
        <v>3889</v>
      </c>
      <c r="L18" s="16"/>
      <c r="M18" s="18" t="s">
        <v>4618</v>
      </c>
      <c r="N18" s="16"/>
      <c r="O18" s="18" t="s">
        <v>5303</v>
      </c>
      <c r="P18" s="16"/>
      <c r="Q18" s="18" t="s">
        <v>6036</v>
      </c>
      <c r="R18" s="16"/>
      <c r="S18" s="18"/>
      <c r="T18" s="21"/>
    </row>
    <row r="19" spans="1:20" ht="15.95" customHeight="1" x14ac:dyDescent="0.25">
      <c r="A19" s="18" t="s">
        <v>567</v>
      </c>
      <c r="B19" s="16"/>
      <c r="C19" s="18" t="s">
        <v>1706</v>
      </c>
      <c r="D19" s="16"/>
      <c r="E19" s="18" t="s">
        <v>2425</v>
      </c>
      <c r="F19" s="16"/>
      <c r="G19" s="18" t="s">
        <v>974</v>
      </c>
      <c r="H19" s="16"/>
      <c r="I19" s="18" t="s">
        <v>3143</v>
      </c>
      <c r="J19" s="16"/>
      <c r="K19" s="18" t="s">
        <v>3890</v>
      </c>
      <c r="L19" s="16"/>
      <c r="M19" s="18" t="s">
        <v>4619</v>
      </c>
      <c r="N19" s="16"/>
      <c r="O19" s="18" t="s">
        <v>5304</v>
      </c>
      <c r="P19" s="16"/>
      <c r="Q19" s="18" t="s">
        <v>6037</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568</v>
      </c>
      <c r="B21" s="16"/>
      <c r="C21" s="18" t="s">
        <v>1707</v>
      </c>
      <c r="D21" s="16"/>
      <c r="E21" s="18" t="s">
        <v>2426</v>
      </c>
      <c r="F21" s="16"/>
      <c r="G21" s="18" t="s">
        <v>975</v>
      </c>
      <c r="H21" s="16"/>
      <c r="I21" s="18" t="s">
        <v>3144</v>
      </c>
      <c r="J21" s="16"/>
      <c r="K21" s="18" t="s">
        <v>3891</v>
      </c>
      <c r="L21" s="16"/>
      <c r="M21" s="18" t="s">
        <v>4620</v>
      </c>
      <c r="N21" s="16"/>
      <c r="O21" s="18" t="s">
        <v>5305</v>
      </c>
      <c r="P21" s="16"/>
      <c r="Q21" s="18" t="s">
        <v>6038</v>
      </c>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35" priority="22" stopIfTrue="1">
      <formula>NOT(ISERROR(A3))</formula>
    </cfRule>
  </conditionalFormatting>
  <conditionalFormatting sqref="A3:T6 A7 C7 E7 G7 I7 K7 M7 O7 Q7 S7 A8:T51">
    <cfRule type="notContainsBlanks" dxfId="434" priority="23">
      <formula>LEN(TRIM(A3))&gt;0</formula>
    </cfRule>
  </conditionalFormatting>
  <conditionalFormatting sqref="A3:T51">
    <cfRule type="containsErrors" dxfId="433" priority="1" stopIfTrue="1">
      <formula>ISERROR(A3)</formula>
    </cfRule>
  </conditionalFormatting>
  <conditionalFormatting sqref="B7">
    <cfRule type="notContainsBlanks" dxfId="432" priority="20">
      <formula>LEN(TRIM(B7))&gt;0</formula>
    </cfRule>
  </conditionalFormatting>
  <conditionalFormatting sqref="D7">
    <cfRule type="notContainsBlanks" dxfId="431" priority="18">
      <formula>LEN(TRIM(D7))&gt;0</formula>
    </cfRule>
  </conditionalFormatting>
  <conditionalFormatting sqref="F7">
    <cfRule type="notContainsBlanks" dxfId="430" priority="16">
      <formula>LEN(TRIM(F7))&gt;0</formula>
    </cfRule>
  </conditionalFormatting>
  <conditionalFormatting sqref="H7">
    <cfRule type="notContainsBlanks" dxfId="429" priority="14">
      <formula>LEN(TRIM(H7))&gt;0</formula>
    </cfRule>
  </conditionalFormatting>
  <conditionalFormatting sqref="J7">
    <cfRule type="notContainsBlanks" dxfId="428" priority="12">
      <formula>LEN(TRIM(J7))&gt;0</formula>
    </cfRule>
  </conditionalFormatting>
  <conditionalFormatting sqref="L7">
    <cfRule type="notContainsBlanks" dxfId="427" priority="10">
      <formula>LEN(TRIM(L7))&gt;0</formula>
    </cfRule>
  </conditionalFormatting>
  <conditionalFormatting sqref="N7">
    <cfRule type="notContainsBlanks" dxfId="426" priority="8">
      <formula>LEN(TRIM(N7))&gt;0</formula>
    </cfRule>
  </conditionalFormatting>
  <conditionalFormatting sqref="P7">
    <cfRule type="notContainsBlanks" dxfId="425" priority="6">
      <formula>LEN(TRIM(P7))&gt;0</formula>
    </cfRule>
  </conditionalFormatting>
  <conditionalFormatting sqref="R7">
    <cfRule type="notContainsBlanks" dxfId="424" priority="4">
      <formula>LEN(TRIM(R7))&gt;0</formula>
    </cfRule>
  </conditionalFormatting>
  <conditionalFormatting sqref="T7">
    <cfRule type="notContainsBlanks" dxfId="423" priority="2">
      <formula>LEN(TRIM(T7))&gt;0</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7F4D65-4352-487D-B6A7-1DFC0529E5BB}">
  <sheetPr codeName="Sheet16"/>
  <dimension ref="A1:T51"/>
  <sheetViews>
    <sheetView workbookViewId="0">
      <selection activeCell="Q3" sqref="Q3:Q18"/>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9" t="s">
        <v>84</v>
      </c>
    </row>
    <row r="3" spans="1:20" ht="15.95" customHeight="1" x14ac:dyDescent="0.25">
      <c r="A3" s="17" t="s">
        <v>495</v>
      </c>
      <c r="B3" s="16" t="str">
        <f>TRIM(_xlfn.TEXTBEFORE(A3, ":"))</f>
        <v>Item Class</v>
      </c>
      <c r="C3" s="17" t="s">
        <v>1651</v>
      </c>
      <c r="D3" s="16" t="str">
        <f>TRIM(_xlfn.TEXTBEFORE(C3, ":"))</f>
        <v>Gegenstandsklasse</v>
      </c>
      <c r="E3" s="17" t="s">
        <v>2371</v>
      </c>
      <c r="F3" s="16" t="str">
        <f>TRIM(_xlfn.TEXTBEFORE(E3, ":"))</f>
        <v>Clase de objeto</v>
      </c>
      <c r="G3" s="17" t="s">
        <v>918</v>
      </c>
      <c r="H3" s="16" t="str">
        <f>TRIM(_xlfn.TEXTBEFORE(G3, ":"))</f>
        <v>Classe d'objet</v>
      </c>
      <c r="I3" s="17" t="s">
        <v>3086</v>
      </c>
      <c r="J3" s="16" t="str">
        <f>TRIM(_xlfn.TEXTBEFORE(I3, ":"))</f>
        <v>アイテムクラス</v>
      </c>
      <c r="K3" s="17" t="s">
        <v>3836</v>
      </c>
      <c r="L3" s="16" t="str">
        <f>TRIM(_xlfn.TEXTBEFORE(K3, ":"))</f>
        <v>아이템 종류</v>
      </c>
      <c r="M3" s="17" t="s">
        <v>4565</v>
      </c>
      <c r="N3" s="16" t="str">
        <f>TRIM(_xlfn.TEXTBEFORE(M3, ":"))</f>
        <v>Classe do Item</v>
      </c>
      <c r="O3" s="17" t="s">
        <v>5248</v>
      </c>
      <c r="P3" s="16" t="str">
        <f>TRIM(_xlfn.TEXTBEFORE(O3, ":"))</f>
        <v>Класс предмета</v>
      </c>
      <c r="Q3" s="17" t="s">
        <v>5985</v>
      </c>
      <c r="R3" s="16" t="str">
        <f>TRIM(_xlfn.TEXTBEFORE(Q3, ":"))</f>
        <v>ชนิดไอเทม</v>
      </c>
      <c r="S3" s="17"/>
      <c r="T3" s="16" t="e">
        <f>TRIM(_xlfn.TEXTBEFORE(S3, ":"))</f>
        <v>#N/A</v>
      </c>
    </row>
    <row r="4" spans="1:20" ht="15.95" customHeight="1" x14ac:dyDescent="0.25">
      <c r="A4" s="18" t="s">
        <v>470</v>
      </c>
      <c r="B4" s="16" t="str">
        <f>TRIM(_xlfn.TEXTAFTER(A3, ":"))</f>
        <v>Maps</v>
      </c>
      <c r="C4" s="18" t="s">
        <v>1681</v>
      </c>
      <c r="D4" s="16" t="str">
        <f>TRIM(_xlfn.TEXTAFTER(C3, ":"))</f>
        <v>Karten</v>
      </c>
      <c r="E4" s="18" t="s">
        <v>2400</v>
      </c>
      <c r="F4" s="16" t="str">
        <f>TRIM(_xlfn.TEXTAFTER(E3, ":"))</f>
        <v>Mapas</v>
      </c>
      <c r="G4" s="18" t="s">
        <v>948</v>
      </c>
      <c r="H4" s="16" t="str">
        <f>TRIM(_xlfn.TEXTAFTER(G3, ":"))</f>
        <v>Cartes</v>
      </c>
      <c r="I4" s="18" t="s">
        <v>3118</v>
      </c>
      <c r="J4" s="16" t="str">
        <f>TRIM(_xlfn.TEXTAFTER(I3, ":"))</f>
        <v>マップ</v>
      </c>
      <c r="K4" s="18" t="s">
        <v>3865</v>
      </c>
      <c r="L4" s="16" t="str">
        <f>TRIM(_xlfn.TEXTAFTER(K3, ":"))</f>
        <v>지도</v>
      </c>
      <c r="M4" s="18" t="s">
        <v>4595</v>
      </c>
      <c r="N4" s="16" t="str">
        <f>TRIM(_xlfn.TEXTAFTER(M3, ":"))</f>
        <v>Mapas</v>
      </c>
      <c r="O4" s="18" t="s">
        <v>5278</v>
      </c>
      <c r="P4" s="16" t="str">
        <f>TRIM(_xlfn.TEXTAFTER(O3, ":"))</f>
        <v>Карты</v>
      </c>
      <c r="Q4" s="18" t="s">
        <v>6012</v>
      </c>
      <c r="R4" s="16" t="str">
        <f>TRIM(_xlfn.TEXTAFTER(Q3, ":"))</f>
        <v>แผนที่</v>
      </c>
      <c r="S4" s="18"/>
      <c r="T4" s="16" t="e">
        <f>TRIM(_xlfn.TEXTAFTER(S3, ":"))</f>
        <v>#N/A</v>
      </c>
    </row>
    <row r="5" spans="1:20" ht="15.95" customHeight="1" x14ac:dyDescent="0.25">
      <c r="A5" s="18" t="s">
        <v>544</v>
      </c>
      <c r="B5" s="16" t="str">
        <f>TRIM(_xlfn.TEXTBEFORE(A4, ":"))</f>
        <v>Rarity</v>
      </c>
      <c r="C5" s="18" t="s">
        <v>1708</v>
      </c>
      <c r="D5" s="16" t="str">
        <f>TRIM(_xlfn.TEXTBEFORE(C4, ":"))</f>
        <v>Seltenheit</v>
      </c>
      <c r="E5" s="18" t="s">
        <v>2427</v>
      </c>
      <c r="F5" s="16" t="str">
        <f>TRIM(_xlfn.TEXTBEFORE(E4, ":"))</f>
        <v>Rareza</v>
      </c>
      <c r="G5" s="18" t="s">
        <v>976</v>
      </c>
      <c r="H5" s="16" t="str">
        <f>TRIM(_xlfn.TEXTBEFORE(G4, ":"))</f>
        <v>Rareté</v>
      </c>
      <c r="I5" s="18" t="s">
        <v>3145</v>
      </c>
      <c r="J5" s="16" t="str">
        <f>TRIM(_xlfn.TEXTBEFORE(I4, ":"))</f>
        <v>レアリティ</v>
      </c>
      <c r="K5" s="18" t="s">
        <v>3892</v>
      </c>
      <c r="L5" s="16" t="str">
        <f>TRIM(_xlfn.TEXTBEFORE(K4, ":"))</f>
        <v>아이템 희귀도</v>
      </c>
      <c r="M5" s="18" t="s">
        <v>4621</v>
      </c>
      <c r="N5" s="16" t="str">
        <f>TRIM(_xlfn.TEXTBEFORE(M4, ":"))</f>
        <v>Raridade</v>
      </c>
      <c r="O5" s="18" t="s">
        <v>5306</v>
      </c>
      <c r="P5" s="16" t="str">
        <f>TRIM(_xlfn.TEXTBEFORE(O4, ":"))</f>
        <v>Редкость</v>
      </c>
      <c r="Q5" s="18" t="s">
        <v>544</v>
      </c>
      <c r="R5" s="16" t="str">
        <f>TRIM(_xlfn.TEXTBEFORE(Q4, ":"))</f>
        <v>ความหายาก</v>
      </c>
      <c r="S5" s="18"/>
      <c r="T5" s="16"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16" t="e">
        <f>TRIM(_xlfn.TEXTAFTER(S4,":"))</f>
        <v>#N/A</v>
      </c>
    </row>
    <row r="7" spans="1:20" ht="15.95" customHeight="1" x14ac:dyDescent="0.25">
      <c r="A7" s="18" t="s">
        <v>545</v>
      </c>
      <c r="B7" s="16"/>
      <c r="C7" s="18" t="s">
        <v>1709</v>
      </c>
      <c r="D7" s="16"/>
      <c r="E7" s="18" t="s">
        <v>2428</v>
      </c>
      <c r="F7" s="16"/>
      <c r="G7" s="18" t="s">
        <v>977</v>
      </c>
      <c r="H7" s="16"/>
      <c r="I7" s="18" t="s">
        <v>3146</v>
      </c>
      <c r="J7" s="16"/>
      <c r="K7" s="18" t="s">
        <v>3893</v>
      </c>
      <c r="L7" s="16"/>
      <c r="M7" s="18" t="s">
        <v>4622</v>
      </c>
      <c r="N7" s="16"/>
      <c r="O7" s="18" t="s">
        <v>5307</v>
      </c>
      <c r="P7" s="16"/>
      <c r="Q7" s="18" t="s">
        <v>6039</v>
      </c>
      <c r="R7" s="16"/>
      <c r="S7" s="18"/>
      <c r="T7" s="16"/>
    </row>
    <row r="8" spans="1:20" ht="15.95" customHeight="1" x14ac:dyDescent="0.25">
      <c r="A8" s="18" t="s">
        <v>546</v>
      </c>
      <c r="B8" s="16" t="str">
        <f>TRIM(_xlfn.TEXTBEFORE(A8,":"))</f>
        <v>Item Quantity</v>
      </c>
      <c r="C8" s="18" t="s">
        <v>1710</v>
      </c>
      <c r="D8" s="16" t="str">
        <f>TRIM(_xlfn.TEXTBEFORE(C8,":"))</f>
        <v>Gegenstandsmenge</v>
      </c>
      <c r="E8" s="18" t="s">
        <v>2429</v>
      </c>
      <c r="F8" s="16" t="str">
        <f>TRIM(_xlfn.TEXTBEFORE(E8,":"))</f>
        <v>Cantidad de objetos</v>
      </c>
      <c r="G8" s="18" t="s">
        <v>978</v>
      </c>
      <c r="H8" s="16" t="str">
        <f>TRIM(_xlfn.TEXTBEFORE(G8,":"))</f>
        <v>Quantité d'objets</v>
      </c>
      <c r="I8" s="18" t="s">
        <v>3147</v>
      </c>
      <c r="J8" s="16" t="str">
        <f>TRIM(_xlfn.TEXTBEFORE(I8,":"))</f>
        <v>アイテム数量</v>
      </c>
      <c r="K8" s="18" t="s">
        <v>3894</v>
      </c>
      <c r="L8" s="16" t="str">
        <f>TRIM(_xlfn.TEXTBEFORE(K8,":"))</f>
        <v>아이템 수량</v>
      </c>
      <c r="M8" s="18" t="s">
        <v>4623</v>
      </c>
      <c r="N8" s="16" t="str">
        <f>TRIM(_xlfn.TEXTBEFORE(M8,":"))</f>
        <v>Quantidade de Itens</v>
      </c>
      <c r="O8" s="18" t="s">
        <v>5308</v>
      </c>
      <c r="P8" s="16" t="str">
        <f>TRIM(_xlfn.TEXTBEFORE(O8,":"))</f>
        <v>Количество предметов</v>
      </c>
      <c r="Q8" s="18" t="s">
        <v>6040</v>
      </c>
      <c r="R8" s="16" t="str">
        <f>TRIM(_xlfn.TEXTBEFORE(Q8,":"))</f>
        <v>จำนวนของไอเทม</v>
      </c>
      <c r="S8" s="18"/>
      <c r="T8" s="16" t="e">
        <f>TRIM(_xlfn.TEXTBEFORE(S8,":"))</f>
        <v>#N/A</v>
      </c>
    </row>
    <row r="9" spans="1:20" ht="15.95" customHeight="1" x14ac:dyDescent="0.25">
      <c r="A9" s="18" t="s">
        <v>547</v>
      </c>
      <c r="B9" s="16" t="str">
        <f>TRIM(_xlfn.TEXTBEFORE(A9,":"))</f>
        <v>Item Rarity</v>
      </c>
      <c r="C9" s="18" t="s">
        <v>1711</v>
      </c>
      <c r="D9" s="16" t="str">
        <f>TRIM(_xlfn.TEXTBEFORE(C9,":"))</f>
        <v>Gegenstandsseltenheit</v>
      </c>
      <c r="E9" s="18" t="s">
        <v>2430</v>
      </c>
      <c r="F9" s="16" t="str">
        <f>TRIM(_xlfn.TEXTBEFORE(E9,":"))</f>
        <v>Rareza de objetos</v>
      </c>
      <c r="G9" s="18" t="s">
        <v>979</v>
      </c>
      <c r="H9" s="16" t="str">
        <f>TRIM(_xlfn.TEXTBEFORE(G9,":"))</f>
        <v>Rareté des objets</v>
      </c>
      <c r="I9" s="18" t="s">
        <v>3148</v>
      </c>
      <c r="J9" s="16" t="str">
        <f>TRIM(_xlfn.TEXTBEFORE(I9,":"))</f>
        <v>アイテムレアリティ</v>
      </c>
      <c r="K9" s="18" t="s">
        <v>3895</v>
      </c>
      <c r="L9" s="16" t="str">
        <f>TRIM(_xlfn.TEXTBEFORE(K9,":"))</f>
        <v>아이템 희귀도</v>
      </c>
      <c r="M9" s="18" t="s">
        <v>4624</v>
      </c>
      <c r="N9" s="16" t="str">
        <f>TRIM(_xlfn.TEXTBEFORE(M9,":"))</f>
        <v>Raridade de Itens</v>
      </c>
      <c r="O9" s="18" t="s">
        <v>5309</v>
      </c>
      <c r="P9" s="16" t="str">
        <f>TRIM(_xlfn.TEXTBEFORE(O9,":"))</f>
        <v>Редкость предметов</v>
      </c>
      <c r="Q9" s="18" t="s">
        <v>6041</v>
      </c>
      <c r="R9" s="16" t="str">
        <f>TRIM(_xlfn.TEXTBEFORE(Q9,":"))</f>
        <v>ระดับความหายากของไอเทม</v>
      </c>
      <c r="S9" s="18"/>
      <c r="T9" s="16" t="e">
        <f>TRIM(_xlfn.TEXTBEFORE(S9,":"))</f>
        <v>#N/A</v>
      </c>
    </row>
    <row r="10" spans="1:20" ht="15.95" customHeight="1" x14ac:dyDescent="0.25">
      <c r="A10" s="18" t="s">
        <v>548</v>
      </c>
      <c r="B10" s="16" t="str">
        <f>TRIM(_xlfn.TEXTBEFORE(A10,":"))</f>
        <v>Monster Pack Size</v>
      </c>
      <c r="C10" s="18" t="s">
        <v>1712</v>
      </c>
      <c r="D10" s="16" t="str">
        <f>TRIM(_xlfn.TEXTBEFORE(C10,":"))</f>
        <v>Monstergruppengröße</v>
      </c>
      <c r="E10" s="18" t="s">
        <v>2431</v>
      </c>
      <c r="F10" s="16" t="str">
        <f>TRIM(_xlfn.TEXTBEFORE(E10,":"))</f>
        <v>Tamaño de los grupos de monstruos</v>
      </c>
      <c r="G10" s="18" t="s">
        <v>980</v>
      </c>
      <c r="H10" s="16" t="str">
        <f>TRIM(_xlfn.TEXTBEFORE(G10,":"))</f>
        <v>Taille des groupes de monstres</v>
      </c>
      <c r="I10" s="18" t="s">
        <v>3149</v>
      </c>
      <c r="J10" s="16" t="str">
        <f>TRIM(_xlfn.TEXTBEFORE(I10,":"))</f>
        <v>モンスターパックサイズ</v>
      </c>
      <c r="K10" s="18" t="s">
        <v>3896</v>
      </c>
      <c r="L10" s="16" t="str">
        <f>TRIM(_xlfn.TEXTBEFORE(K10,":"))</f>
        <v>몬스터 무리 규모</v>
      </c>
      <c r="M10" s="18" t="s">
        <v>4625</v>
      </c>
      <c r="N10" s="16" t="str">
        <f>TRIM(_xlfn.TEXTBEFORE(M10,":"))</f>
        <v>Tamanho do Grupo de Monstros</v>
      </c>
      <c r="O10" s="18" t="s">
        <v>5310</v>
      </c>
      <c r="P10" s="16" t="str">
        <f>TRIM(_xlfn.TEXTBEFORE(O10,":"))</f>
        <v>Размер групп монстров</v>
      </c>
      <c r="Q10" s="18" t="s">
        <v>6042</v>
      </c>
      <c r="R10" s="16" t="str">
        <f>TRIM(_xlfn.TEXTBEFORE(Q10,":"))</f>
        <v>ขนาดกองมอนสเตอร์</v>
      </c>
      <c r="S10" s="18"/>
      <c r="T10" s="16" t="e">
        <f>TRIM(_xlfn.TEXTBEFORE(S10,":"))</f>
        <v>#N/A</v>
      </c>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5.95" customHeight="1" x14ac:dyDescent="0.25">
      <c r="A12" s="18" t="s">
        <v>88</v>
      </c>
      <c r="B12" s="16"/>
      <c r="C12" s="18" t="s">
        <v>1713</v>
      </c>
      <c r="D12" s="16"/>
      <c r="E12" s="18" t="s">
        <v>2432</v>
      </c>
      <c r="F12" s="16"/>
      <c r="G12" s="18" t="s">
        <v>981</v>
      </c>
      <c r="H12" s="16"/>
      <c r="I12" s="18" t="s">
        <v>3150</v>
      </c>
      <c r="J12" s="16"/>
      <c r="K12" s="18" t="s">
        <v>3897</v>
      </c>
      <c r="L12" s="16"/>
      <c r="M12" s="18" t="s">
        <v>4626</v>
      </c>
      <c r="N12" s="16"/>
      <c r="O12" s="18" t="s">
        <v>5311</v>
      </c>
      <c r="P12" s="16"/>
      <c r="Q12" s="18" t="s">
        <v>6043</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549</v>
      </c>
      <c r="B14" s="16"/>
      <c r="C14" s="18" t="s">
        <v>1714</v>
      </c>
      <c r="D14" s="16"/>
      <c r="E14" s="18" t="s">
        <v>2433</v>
      </c>
      <c r="F14" s="16"/>
      <c r="G14" s="18" t="s">
        <v>982</v>
      </c>
      <c r="H14" s="16"/>
      <c r="I14" s="18" t="s">
        <v>3151</v>
      </c>
      <c r="J14" s="16"/>
      <c r="K14" s="18" t="s">
        <v>3898</v>
      </c>
      <c r="L14" s="16"/>
      <c r="M14" s="18" t="s">
        <v>4627</v>
      </c>
      <c r="N14" s="16"/>
      <c r="O14" s="18" t="s">
        <v>5312</v>
      </c>
      <c r="P14" s="16"/>
      <c r="Q14" s="18" t="s">
        <v>6044</v>
      </c>
      <c r="R14" s="16"/>
      <c r="S14" s="18"/>
      <c r="T14" s="21"/>
    </row>
    <row r="15" spans="1:20" ht="15.95" customHeight="1" x14ac:dyDescent="0.25">
      <c r="A15" s="18" t="s">
        <v>550</v>
      </c>
      <c r="B15" s="16"/>
      <c r="C15" s="18" t="s">
        <v>1715</v>
      </c>
      <c r="D15" s="16"/>
      <c r="E15" s="18" t="s">
        <v>2434</v>
      </c>
      <c r="F15" s="16"/>
      <c r="G15" s="18" t="s">
        <v>983</v>
      </c>
      <c r="H15" s="16"/>
      <c r="I15" s="18" t="s">
        <v>3152</v>
      </c>
      <c r="J15" s="16"/>
      <c r="K15" s="18" t="s">
        <v>3899</v>
      </c>
      <c r="L15" s="16"/>
      <c r="M15" s="18" t="s">
        <v>4628</v>
      </c>
      <c r="N15" s="16"/>
      <c r="O15" s="18" t="s">
        <v>5313</v>
      </c>
      <c r="P15" s="16"/>
      <c r="Q15" s="18" t="s">
        <v>6045</v>
      </c>
      <c r="R15" s="16"/>
      <c r="S15" s="18"/>
      <c r="T15" s="21"/>
    </row>
    <row r="16" spans="1:20" ht="15.95" customHeight="1" x14ac:dyDescent="0.25">
      <c r="A16" s="18" t="s">
        <v>551</v>
      </c>
      <c r="B16" s="16"/>
      <c r="C16" s="18" t="s">
        <v>1716</v>
      </c>
      <c r="D16" s="16"/>
      <c r="E16" s="18" t="s">
        <v>2435</v>
      </c>
      <c r="F16" s="16"/>
      <c r="G16" s="18" t="s">
        <v>984</v>
      </c>
      <c r="H16" s="16"/>
      <c r="I16" s="18" t="s">
        <v>3153</v>
      </c>
      <c r="J16" s="16"/>
      <c r="K16" s="18" t="s">
        <v>3900</v>
      </c>
      <c r="L16" s="16"/>
      <c r="M16" s="18" t="s">
        <v>4629</v>
      </c>
      <c r="N16" s="16"/>
      <c r="O16" s="18" t="s">
        <v>5314</v>
      </c>
      <c r="P16" s="16"/>
      <c r="Q16" s="18" t="s">
        <v>6046</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501</v>
      </c>
      <c r="B18" s="16"/>
      <c r="C18" s="18" t="s">
        <v>1659</v>
      </c>
      <c r="D18" s="16"/>
      <c r="E18" s="18" t="s">
        <v>2379</v>
      </c>
      <c r="F18" s="16"/>
      <c r="G18" s="18" t="s">
        <v>926</v>
      </c>
      <c r="H18" s="16"/>
      <c r="I18" s="18" t="s">
        <v>3094</v>
      </c>
      <c r="J18" s="16"/>
      <c r="K18" s="18" t="s">
        <v>3844</v>
      </c>
      <c r="L18" s="16"/>
      <c r="M18" s="18" t="s">
        <v>4573</v>
      </c>
      <c r="N18" s="16"/>
      <c r="O18" s="18" t="s">
        <v>5256</v>
      </c>
      <c r="P18" s="16"/>
      <c r="Q18" s="18" t="s">
        <v>5992</v>
      </c>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22" priority="42" stopIfTrue="1">
      <formula>NOT(ISERROR(A3))</formula>
    </cfRule>
  </conditionalFormatting>
  <conditionalFormatting sqref="A3:T7 A8:A10 C8:C10 E8:E10 G8:G10 I8:I10 K8:K10 M8:M10 O8:O10 Q8:Q10 S8:S10 A11:T51">
    <cfRule type="notContainsBlanks" dxfId="421" priority="43">
      <formula>LEN(TRIM(A3))&gt;0</formula>
    </cfRule>
  </conditionalFormatting>
  <conditionalFormatting sqref="A3:T51">
    <cfRule type="containsErrors" dxfId="420" priority="1" stopIfTrue="1">
      <formula>ISERROR(A3)</formula>
    </cfRule>
  </conditionalFormatting>
  <conditionalFormatting sqref="B8:B10">
    <cfRule type="notContainsBlanks" dxfId="419" priority="38">
      <formula>LEN(TRIM(B8))&gt;0</formula>
    </cfRule>
  </conditionalFormatting>
  <conditionalFormatting sqref="D8:D10">
    <cfRule type="notContainsBlanks" dxfId="418" priority="34">
      <formula>LEN(TRIM(D8))&gt;0</formula>
    </cfRule>
  </conditionalFormatting>
  <conditionalFormatting sqref="F8:F10">
    <cfRule type="notContainsBlanks" dxfId="417" priority="30">
      <formula>LEN(TRIM(F8))&gt;0</formula>
    </cfRule>
  </conditionalFormatting>
  <conditionalFormatting sqref="H8:H10">
    <cfRule type="notContainsBlanks" dxfId="416" priority="26">
      <formula>LEN(TRIM(H8))&gt;0</formula>
    </cfRule>
  </conditionalFormatting>
  <conditionalFormatting sqref="J8:J10">
    <cfRule type="notContainsBlanks" dxfId="415" priority="22">
      <formula>LEN(TRIM(J8))&gt;0</formula>
    </cfRule>
  </conditionalFormatting>
  <conditionalFormatting sqref="L8:L10">
    <cfRule type="notContainsBlanks" dxfId="414" priority="18">
      <formula>LEN(TRIM(L8))&gt;0</formula>
    </cfRule>
  </conditionalFormatting>
  <conditionalFormatting sqref="N8:N10">
    <cfRule type="notContainsBlanks" dxfId="413" priority="14">
      <formula>LEN(TRIM(N8))&gt;0</formula>
    </cfRule>
  </conditionalFormatting>
  <conditionalFormatting sqref="P8:P10">
    <cfRule type="notContainsBlanks" dxfId="412" priority="10">
      <formula>LEN(TRIM(P8))&gt;0</formula>
    </cfRule>
  </conditionalFormatting>
  <conditionalFormatting sqref="R8:R10">
    <cfRule type="notContainsBlanks" dxfId="411" priority="6">
      <formula>LEN(TRIM(R8))&gt;0</formula>
    </cfRule>
  </conditionalFormatting>
  <conditionalFormatting sqref="T8:T10">
    <cfRule type="notContainsBlanks" dxfId="410" priority="2">
      <formula>LEN(TRIM(T8))&gt;0</formula>
    </cfRule>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C58B8-D573-4245-B438-FF64530DB016}">
  <sheetPr codeName="Sheet17"/>
  <dimension ref="A1:T51"/>
  <sheetViews>
    <sheetView workbookViewId="0">
      <selection activeCell="Q3" sqref="Q3:Q1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8" t="s">
        <v>84</v>
      </c>
    </row>
    <row r="3" spans="1:20" ht="15.95" customHeight="1" x14ac:dyDescent="0.25">
      <c r="A3" s="17" t="s">
        <v>668</v>
      </c>
      <c r="B3" s="16" t="str">
        <f>TRIM(_xlfn.TEXTBEFORE(A3, ":"))</f>
        <v>Item Class</v>
      </c>
      <c r="C3" s="17" t="s">
        <v>1717</v>
      </c>
      <c r="D3" s="16" t="str">
        <f>TRIM(_xlfn.TEXTBEFORE(C3, ":"))</f>
        <v>Gegenstandsklasse</v>
      </c>
      <c r="E3" s="17" t="s">
        <v>2436</v>
      </c>
      <c r="F3" s="16" t="str">
        <f>TRIM(_xlfn.TEXTBEFORE(E3, ":"))</f>
        <v>Clase de objeto</v>
      </c>
      <c r="G3" s="17" t="s">
        <v>985</v>
      </c>
      <c r="H3" s="16" t="str">
        <f>TRIM(_xlfn.TEXTBEFORE(G3, ":"))</f>
        <v>Classe d'objet</v>
      </c>
      <c r="I3" s="17" t="s">
        <v>3154</v>
      </c>
      <c r="J3" s="16" t="str">
        <f>TRIM(_xlfn.TEXTBEFORE(I3, ":"))</f>
        <v>アイテムクラス</v>
      </c>
      <c r="K3" s="17" t="s">
        <v>3901</v>
      </c>
      <c r="L3" s="16" t="str">
        <f>TRIM(_xlfn.TEXTBEFORE(K3, ":"))</f>
        <v>아이템 종류</v>
      </c>
      <c r="M3" s="17" t="s">
        <v>4630</v>
      </c>
      <c r="N3" s="16" t="str">
        <f>TRIM(_xlfn.TEXTBEFORE(M3, ":"))</f>
        <v>Classe do Item</v>
      </c>
      <c r="O3" s="17" t="s">
        <v>5315</v>
      </c>
      <c r="P3" s="16" t="str">
        <f>TRIM(_xlfn.TEXTBEFORE(O3, ":"))</f>
        <v>Класс предмета</v>
      </c>
      <c r="Q3" s="17" t="s">
        <v>6047</v>
      </c>
      <c r="R3" s="16" t="str">
        <f>TRIM(_xlfn.TEXTBEFORE(Q3, ":"))</f>
        <v>ชนิดไอเทม</v>
      </c>
      <c r="S3" s="17"/>
      <c r="T3" s="20" t="e">
        <f>TRIM(_xlfn.TEXTBEFORE(S3, ":"))</f>
        <v>#N/A</v>
      </c>
    </row>
    <row r="4" spans="1:20" ht="15.95" customHeight="1" x14ac:dyDescent="0.25">
      <c r="A4" s="18" t="s">
        <v>496</v>
      </c>
      <c r="B4" s="16" t="str">
        <f>TRIM(_xlfn.TEXTAFTER(A3, ":"))</f>
        <v>Map Fragments</v>
      </c>
      <c r="C4" s="18" t="s">
        <v>1652</v>
      </c>
      <c r="D4" s="16" t="str">
        <f>TRIM(_xlfn.TEXTAFTER(C3, ":"))</f>
        <v>Kartenfragmente</v>
      </c>
      <c r="E4" s="18" t="s">
        <v>2372</v>
      </c>
      <c r="F4" s="16" t="str">
        <f>TRIM(_xlfn.TEXTAFTER(E3, ":"))</f>
        <v>Fragmentos de mapa</v>
      </c>
      <c r="G4" s="18" t="s">
        <v>919</v>
      </c>
      <c r="H4" s="16" t="str">
        <f>TRIM(_xlfn.TEXTAFTER(G3, ":"))</f>
        <v>Fragments de carte</v>
      </c>
      <c r="I4" s="18" t="s">
        <v>3087</v>
      </c>
      <c r="J4" s="16" t="str">
        <f>TRIM(_xlfn.TEXTAFTER(I3, ":"))</f>
        <v>マップの断片</v>
      </c>
      <c r="K4" s="18" t="s">
        <v>3837</v>
      </c>
      <c r="L4" s="16" t="str">
        <f>TRIM(_xlfn.TEXTAFTER(K3, ":"))</f>
        <v>지도 조각</v>
      </c>
      <c r="M4" s="18" t="s">
        <v>4566</v>
      </c>
      <c r="N4" s="16" t="str">
        <f>TRIM(_xlfn.TEXTAFTER(M3, ":"))</f>
        <v>Fragmentos de Mapas</v>
      </c>
      <c r="O4" s="18" t="s">
        <v>5249</v>
      </c>
      <c r="P4" s="16" t="str">
        <f>TRIM(_xlfn.TEXTAFTER(O3, ":"))</f>
        <v>Обрывки карт</v>
      </c>
      <c r="Q4" s="18" t="s">
        <v>5986</v>
      </c>
      <c r="R4" s="16" t="str">
        <f>TRIM(_xlfn.TEXTAFTER(Q3, ":"))</f>
        <v>ชิ้นส่วนแผนที่</v>
      </c>
      <c r="S4" s="18"/>
      <c r="T4" s="20" t="e">
        <f>TRIM(_xlfn.TEXTAFTER(S3, ":"))</f>
        <v>#N/A</v>
      </c>
    </row>
    <row r="5" spans="1:20" ht="15.95" customHeight="1" x14ac:dyDescent="0.25">
      <c r="A5" s="18" t="s">
        <v>669</v>
      </c>
      <c r="B5" s="16" t="str">
        <f>TRIM(_xlfn.TEXTBEFORE(A4, ":"))</f>
        <v>Rarity</v>
      </c>
      <c r="C5" s="18" t="s">
        <v>1718</v>
      </c>
      <c r="D5" s="16" t="str">
        <f>TRIM(_xlfn.TEXTBEFORE(C4, ":"))</f>
        <v>Seltenheit</v>
      </c>
      <c r="E5" s="18" t="s">
        <v>2437</v>
      </c>
      <c r="F5" s="16" t="str">
        <f>TRIM(_xlfn.TEXTBEFORE(E4, ":"))</f>
        <v>Rareza</v>
      </c>
      <c r="G5" s="18" t="s">
        <v>986</v>
      </c>
      <c r="H5" s="16" t="str">
        <f>TRIM(_xlfn.TEXTBEFORE(G4, ":"))</f>
        <v>Rareté</v>
      </c>
      <c r="I5" s="18" t="s">
        <v>3155</v>
      </c>
      <c r="J5" s="16" t="str">
        <f>TRIM(_xlfn.TEXTBEFORE(I4, ":"))</f>
        <v>レアリティ</v>
      </c>
      <c r="K5" s="18" t="s">
        <v>3902</v>
      </c>
      <c r="L5" s="16" t="str">
        <f>TRIM(_xlfn.TEXTBEFORE(K4, ":"))</f>
        <v>아이템 희귀도</v>
      </c>
      <c r="M5" s="18" t="s">
        <v>4631</v>
      </c>
      <c r="N5" s="16" t="str">
        <f>TRIM(_xlfn.TEXTBEFORE(M4, ":"))</f>
        <v>Raridade</v>
      </c>
      <c r="O5" s="18" t="s">
        <v>5316</v>
      </c>
      <c r="P5" s="16" t="str">
        <f>TRIM(_xlfn.TEXTBEFORE(O4, ":"))</f>
        <v>Редкость</v>
      </c>
      <c r="Q5" s="18" t="s">
        <v>6048</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585</v>
      </c>
      <c r="B7" s="16"/>
      <c r="C7" s="18" t="s">
        <v>1632</v>
      </c>
      <c r="D7" s="16"/>
      <c r="E7" s="18" t="s">
        <v>2353</v>
      </c>
      <c r="F7" s="16"/>
      <c r="G7" s="18" t="s">
        <v>901</v>
      </c>
      <c r="H7" s="16"/>
      <c r="I7" s="18" t="s">
        <v>3068</v>
      </c>
      <c r="J7" s="16"/>
      <c r="K7" s="18" t="s">
        <v>3818</v>
      </c>
      <c r="L7" s="16"/>
      <c r="M7" s="18" t="s">
        <v>4546</v>
      </c>
      <c r="N7" s="16"/>
      <c r="O7" s="18" t="s">
        <v>5230</v>
      </c>
      <c r="P7" s="16"/>
      <c r="Q7" s="18" t="s">
        <v>5969</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670</v>
      </c>
      <c r="B9" s="16"/>
      <c r="C9" s="18" t="s">
        <v>1719</v>
      </c>
      <c r="D9" s="16"/>
      <c r="E9" s="18" t="s">
        <v>2438</v>
      </c>
      <c r="F9" s="16"/>
      <c r="G9" s="18" t="s">
        <v>987</v>
      </c>
      <c r="H9" s="16"/>
      <c r="I9" s="18" t="s">
        <v>3156</v>
      </c>
      <c r="J9" s="16"/>
      <c r="K9" s="18" t="s">
        <v>3903</v>
      </c>
      <c r="L9" s="16"/>
      <c r="M9" s="18" t="s">
        <v>4632</v>
      </c>
      <c r="N9" s="16"/>
      <c r="O9" s="18" t="s">
        <v>5317</v>
      </c>
      <c r="P9" s="16"/>
      <c r="Q9" s="18" t="s">
        <v>6049</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671</v>
      </c>
      <c r="B11" s="16"/>
      <c r="C11" s="18" t="s">
        <v>1720</v>
      </c>
      <c r="D11" s="16"/>
      <c r="E11" s="18" t="s">
        <v>2439</v>
      </c>
      <c r="F11" s="16"/>
      <c r="G11" s="18" t="s">
        <v>988</v>
      </c>
      <c r="H11" s="16"/>
      <c r="I11" s="18" t="s">
        <v>3157</v>
      </c>
      <c r="J11" s="16"/>
      <c r="K11" s="18" t="s">
        <v>3904</v>
      </c>
      <c r="L11" s="16"/>
      <c r="M11" s="18" t="s">
        <v>4633</v>
      </c>
      <c r="N11" s="16"/>
      <c r="O11" s="18" t="s">
        <v>5318</v>
      </c>
      <c r="P11" s="16"/>
      <c r="Q11" s="18" t="s">
        <v>6050</v>
      </c>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09" priority="2" stopIfTrue="1">
      <formula>NOT(ISERROR(A3))</formula>
    </cfRule>
  </conditionalFormatting>
  <conditionalFormatting sqref="A3:T51">
    <cfRule type="containsErrors" dxfId="408" priority="1" stopIfTrue="1">
      <formula>ISERROR(A3)</formula>
    </cfRule>
    <cfRule type="notContainsBlanks" dxfId="407" priority="3">
      <formula>LEN(TRIM(A3))&gt;0</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19D524-222B-4301-8EF7-53962688966E}">
  <sheetPr codeName="Sheet18"/>
  <dimension ref="A1:T51"/>
  <sheetViews>
    <sheetView workbookViewId="0">
      <selection activeCell="C34" sqref="C3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8" t="s">
        <v>84</v>
      </c>
    </row>
    <row r="3" spans="1:20" ht="15.95" customHeight="1" x14ac:dyDescent="0.25">
      <c r="A3" s="17" t="s">
        <v>760</v>
      </c>
      <c r="B3" s="16" t="str">
        <f>TRIM(_xlfn.TEXTBEFORE(A3, ":"))</f>
        <v>Item Class</v>
      </c>
      <c r="C3" s="17" t="s">
        <v>1721</v>
      </c>
      <c r="D3" s="16" t="str">
        <f>TRIM(_xlfn.TEXTBEFORE(C3, ":"))</f>
        <v>Gegenstandsklasse</v>
      </c>
      <c r="E3" s="17" t="s">
        <v>2440</v>
      </c>
      <c r="F3" s="16" t="str">
        <f>TRIM(_xlfn.TEXTBEFORE(E3, ":"))</f>
        <v>Clase de objeto</v>
      </c>
      <c r="G3" s="17" t="s">
        <v>989</v>
      </c>
      <c r="H3" s="16" t="str">
        <f>TRIM(_xlfn.TEXTBEFORE(G3, ":"))</f>
        <v>Classe d'objet</v>
      </c>
      <c r="I3" s="17" t="s">
        <v>3158</v>
      </c>
      <c r="J3" s="16" t="str">
        <f>TRIM(_xlfn.TEXTBEFORE(I3, ":"))</f>
        <v>アイテムクラス</v>
      </c>
      <c r="K3" s="17" t="s">
        <v>3905</v>
      </c>
      <c r="L3" s="16" t="str">
        <f>TRIM(_xlfn.TEXTBEFORE(K3, ":"))</f>
        <v>아이템 종류</v>
      </c>
      <c r="M3" s="17" t="s">
        <v>4634</v>
      </c>
      <c r="N3" s="16" t="str">
        <f>TRIM(_xlfn.TEXTBEFORE(M3, ":"))</f>
        <v>Classe do Item</v>
      </c>
      <c r="O3" s="17" t="s">
        <v>5319</v>
      </c>
      <c r="P3" s="16" t="str">
        <f>TRIM(_xlfn.TEXTBEFORE(O3, ":"))</f>
        <v>Класс предмета</v>
      </c>
      <c r="Q3" s="17" t="s">
        <v>6051</v>
      </c>
      <c r="R3" s="16" t="str">
        <f>TRIM(_xlfn.TEXTBEFORE(Q3, ":"))</f>
        <v>ชนิดไอเทม</v>
      </c>
      <c r="S3" s="17"/>
      <c r="T3" s="20" t="e">
        <f>TRIM(_xlfn.TEXTBEFORE(S3, ":"))</f>
        <v>#N/A</v>
      </c>
    </row>
    <row r="4" spans="1:20" ht="15.95" customHeight="1" x14ac:dyDescent="0.25">
      <c r="A4" s="18" t="s">
        <v>470</v>
      </c>
      <c r="B4" s="16" t="str">
        <f>TRIM(_xlfn.TEXTAFTER(A3, ":"))</f>
        <v>Memories</v>
      </c>
      <c r="C4" s="18" t="s">
        <v>1681</v>
      </c>
      <c r="D4" s="16" t="str">
        <f>TRIM(_xlfn.TEXTAFTER(C3, ":"))</f>
        <v>Erinnerungen</v>
      </c>
      <c r="E4" s="18" t="s">
        <v>2400</v>
      </c>
      <c r="F4" s="16" t="str">
        <f>TRIM(_xlfn.TEXTAFTER(E3, ":"))</f>
        <v>Recuerdos</v>
      </c>
      <c r="G4" s="18" t="s">
        <v>948</v>
      </c>
      <c r="H4" s="16" t="str">
        <f>TRIM(_xlfn.TEXTAFTER(G3, ":"))</f>
        <v>Souvenirs</v>
      </c>
      <c r="I4" s="18" t="s">
        <v>3118</v>
      </c>
      <c r="J4" s="16" t="str">
        <f>TRIM(_xlfn.TEXTAFTER(I3, ":"))</f>
        <v>記憶</v>
      </c>
      <c r="K4" s="18" t="s">
        <v>3865</v>
      </c>
      <c r="L4" s="16" t="str">
        <f>TRIM(_xlfn.TEXTAFTER(K3, ":"))</f>
        <v>기억</v>
      </c>
      <c r="M4" s="18" t="s">
        <v>4595</v>
      </c>
      <c r="N4" s="16" t="str">
        <f>TRIM(_xlfn.TEXTAFTER(M3, ":"))</f>
        <v>Memórias</v>
      </c>
      <c r="O4" s="18" t="s">
        <v>5278</v>
      </c>
      <c r="P4" s="16" t="str">
        <f>TRIM(_xlfn.TEXTAFTER(O3, ":"))</f>
        <v>Воспоминания</v>
      </c>
      <c r="Q4" s="18" t="s">
        <v>6012</v>
      </c>
      <c r="R4" s="16" t="str">
        <f>TRIM(_xlfn.TEXTAFTER(Q3, ":"))</f>
        <v>ความทรงจำ</v>
      </c>
      <c r="S4" s="18"/>
      <c r="T4" s="20" t="e">
        <f>TRIM(_xlfn.TEXTAFTER(S3, ":"))</f>
        <v>#N/A</v>
      </c>
    </row>
    <row r="5" spans="1:20" ht="15.95" customHeight="1" x14ac:dyDescent="0.25">
      <c r="A5" s="18" t="s">
        <v>761</v>
      </c>
      <c r="B5" s="16" t="str">
        <f>TRIM(_xlfn.TEXTBEFORE(A4, ":"))</f>
        <v>Rarity</v>
      </c>
      <c r="C5" s="18" t="s">
        <v>1722</v>
      </c>
      <c r="D5" s="16" t="str">
        <f>TRIM(_xlfn.TEXTBEFORE(C4, ":"))</f>
        <v>Seltenheit</v>
      </c>
      <c r="E5" s="18" t="s">
        <v>2441</v>
      </c>
      <c r="F5" s="16" t="str">
        <f>TRIM(_xlfn.TEXTBEFORE(E4, ":"))</f>
        <v>Rareza</v>
      </c>
      <c r="G5" s="18" t="s">
        <v>990</v>
      </c>
      <c r="H5" s="16" t="str">
        <f>TRIM(_xlfn.TEXTBEFORE(G4, ":"))</f>
        <v>Rareté</v>
      </c>
      <c r="I5" s="18" t="s">
        <v>3159</v>
      </c>
      <c r="J5" s="16" t="str">
        <f>TRIM(_xlfn.TEXTBEFORE(I4, ":"))</f>
        <v>レアリティ</v>
      </c>
      <c r="K5" s="18" t="s">
        <v>3906</v>
      </c>
      <c r="L5" s="16" t="str">
        <f>TRIM(_xlfn.TEXTBEFORE(K4, ":"))</f>
        <v>아이템 희귀도</v>
      </c>
      <c r="M5" s="18" t="s">
        <v>4635</v>
      </c>
      <c r="N5" s="16" t="str">
        <f>TRIM(_xlfn.TEXTBEFORE(M4, ":"))</f>
        <v>Raridade</v>
      </c>
      <c r="O5" s="18" t="s">
        <v>5320</v>
      </c>
      <c r="P5" s="16" t="str">
        <f>TRIM(_xlfn.TEXTBEFORE(O4, ":"))</f>
        <v>Редкость</v>
      </c>
      <c r="Q5" s="18" t="s">
        <v>6052</v>
      </c>
      <c r="R5" s="16" t="str">
        <f>TRIM(_xlfn.TEXTBEFORE(Q4, ":"))</f>
        <v>ความหายาก</v>
      </c>
      <c r="S5" s="18"/>
      <c r="T5" s="20"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e">
        <f>TRIM(_xlfn.TEXTAFTER(S4,":"))</f>
        <v>#N/A</v>
      </c>
    </row>
    <row r="7" spans="1:20" ht="15.95" customHeight="1" x14ac:dyDescent="0.25">
      <c r="A7" s="18" t="s">
        <v>88</v>
      </c>
      <c r="B7" s="16"/>
      <c r="C7" s="18" t="s">
        <v>1713</v>
      </c>
      <c r="D7" s="16"/>
      <c r="E7" s="18" t="s">
        <v>2432</v>
      </c>
      <c r="F7" s="16"/>
      <c r="G7" s="18" t="s">
        <v>981</v>
      </c>
      <c r="H7" s="16"/>
      <c r="I7" s="18" t="s">
        <v>3150</v>
      </c>
      <c r="J7" s="16"/>
      <c r="K7" s="18" t="s">
        <v>3897</v>
      </c>
      <c r="L7" s="16"/>
      <c r="M7" s="18" t="s">
        <v>4626</v>
      </c>
      <c r="N7" s="16"/>
      <c r="O7" s="18" t="s">
        <v>5311</v>
      </c>
      <c r="P7" s="16"/>
      <c r="Q7" s="18" t="s">
        <v>6043</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762</v>
      </c>
      <c r="B9" s="16"/>
      <c r="C9" s="18" t="s">
        <v>1723</v>
      </c>
      <c r="D9" s="16"/>
      <c r="E9" s="18" t="s">
        <v>2442</v>
      </c>
      <c r="F9" s="16"/>
      <c r="G9" s="18" t="s">
        <v>991</v>
      </c>
      <c r="H9" s="16"/>
      <c r="I9" s="18" t="s">
        <v>3160</v>
      </c>
      <c r="J9" s="16"/>
      <c r="K9" s="18" t="s">
        <v>3907</v>
      </c>
      <c r="L9" s="16"/>
      <c r="M9" s="18" t="s">
        <v>4636</v>
      </c>
      <c r="N9" s="16"/>
      <c r="O9" s="18" t="s">
        <v>5321</v>
      </c>
      <c r="P9" s="16"/>
      <c r="Q9" s="18" t="s">
        <v>6053</v>
      </c>
      <c r="R9" s="16"/>
      <c r="S9" s="18"/>
      <c r="T9" s="20"/>
    </row>
    <row r="10" spans="1:20" ht="15.95" customHeight="1" x14ac:dyDescent="0.25">
      <c r="A10" s="18" t="s">
        <v>763</v>
      </c>
      <c r="B10" s="16"/>
      <c r="C10" s="18" t="s">
        <v>1724</v>
      </c>
      <c r="D10" s="16"/>
      <c r="E10" s="18" t="s">
        <v>2443</v>
      </c>
      <c r="F10" s="16"/>
      <c r="G10" s="18" t="s">
        <v>992</v>
      </c>
      <c r="H10" s="16"/>
      <c r="I10" s="18" t="s">
        <v>3161</v>
      </c>
      <c r="J10" s="16"/>
      <c r="K10" s="18" t="s">
        <v>3908</v>
      </c>
      <c r="L10" s="16"/>
      <c r="M10" s="18" t="s">
        <v>4637</v>
      </c>
      <c r="N10" s="16"/>
      <c r="O10" s="18" t="s">
        <v>5322</v>
      </c>
      <c r="P10" s="16"/>
      <c r="Q10" s="18" t="s">
        <v>6054</v>
      </c>
      <c r="R10" s="16"/>
      <c r="S10" s="18"/>
      <c r="T10" s="20"/>
    </row>
    <row r="11" spans="1:20" ht="15.95" customHeight="1" x14ac:dyDescent="0.25">
      <c r="A11" s="18" t="s">
        <v>764</v>
      </c>
      <c r="B11" s="16"/>
      <c r="C11" s="18" t="s">
        <v>1725</v>
      </c>
      <c r="D11" s="16"/>
      <c r="E11" s="18" t="s">
        <v>2444</v>
      </c>
      <c r="F11" s="16"/>
      <c r="G11" s="18" t="s">
        <v>993</v>
      </c>
      <c r="H11" s="16"/>
      <c r="I11" s="18" t="s">
        <v>3162</v>
      </c>
      <c r="J11" s="16"/>
      <c r="K11" s="18" t="s">
        <v>3909</v>
      </c>
      <c r="L11" s="16"/>
      <c r="M11" s="18" t="s">
        <v>4638</v>
      </c>
      <c r="N11" s="16"/>
      <c r="O11" s="18" t="s">
        <v>5323</v>
      </c>
      <c r="P11" s="16"/>
      <c r="Q11" s="18" t="s">
        <v>6055</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765</v>
      </c>
      <c r="B13" s="16"/>
      <c r="C13" s="18" t="s">
        <v>1726</v>
      </c>
      <c r="D13" s="16"/>
      <c r="E13" s="18" t="s">
        <v>2445</v>
      </c>
      <c r="F13" s="16"/>
      <c r="G13" s="18" t="s">
        <v>994</v>
      </c>
      <c r="H13" s="16"/>
      <c r="I13" s="18" t="s">
        <v>3163</v>
      </c>
      <c r="J13" s="16"/>
      <c r="K13" s="18" t="s">
        <v>3910</v>
      </c>
      <c r="L13" s="16"/>
      <c r="M13" s="18" t="s">
        <v>4639</v>
      </c>
      <c r="N13" s="16"/>
      <c r="O13" s="18" t="s">
        <v>5324</v>
      </c>
      <c r="P13" s="16"/>
      <c r="Q13" s="18" t="s">
        <v>6056</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766</v>
      </c>
      <c r="B15" s="16"/>
      <c r="C15" s="18" t="s">
        <v>1727</v>
      </c>
      <c r="D15" s="16"/>
      <c r="E15" s="18" t="s">
        <v>2446</v>
      </c>
      <c r="F15" s="16"/>
      <c r="G15" s="18" t="s">
        <v>995</v>
      </c>
      <c r="H15" s="16"/>
      <c r="I15" s="18" t="s">
        <v>3164</v>
      </c>
      <c r="J15" s="16"/>
      <c r="K15" s="18" t="s">
        <v>3911</v>
      </c>
      <c r="L15" s="16"/>
      <c r="M15" s="18" t="s">
        <v>4640</v>
      </c>
      <c r="N15" s="16"/>
      <c r="O15" s="18" t="s">
        <v>5325</v>
      </c>
      <c r="P15" s="16"/>
      <c r="Q15" s="18" t="s">
        <v>6057</v>
      </c>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06" priority="2" stopIfTrue="1">
      <formula>NOT(ISERROR(A3))</formula>
    </cfRule>
  </conditionalFormatting>
  <conditionalFormatting sqref="A3:T51">
    <cfRule type="containsErrors" dxfId="405" priority="1" stopIfTrue="1">
      <formula>ISERROR(A3)</formula>
    </cfRule>
    <cfRule type="notContainsBlanks" dxfId="404" priority="3">
      <formula>LEN(TRIM(A3))&gt;0</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5938A3-897B-4598-B9B6-A774339C51ED}">
  <sheetPr codeName="Sheet19"/>
  <dimension ref="A1:T51"/>
  <sheetViews>
    <sheetView workbookViewId="0">
      <selection activeCell="Q3" sqref="Q3:Q1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8" t="s">
        <v>84</v>
      </c>
    </row>
    <row r="3" spans="1:20" ht="15.95" customHeight="1" x14ac:dyDescent="0.25">
      <c r="A3" s="17" t="s">
        <v>672</v>
      </c>
      <c r="B3" s="16" t="str">
        <f>TRIM(_xlfn.TEXTBEFORE(A3, ":"))</f>
        <v>Item Class</v>
      </c>
      <c r="C3" s="17" t="s">
        <v>1728</v>
      </c>
      <c r="D3" s="16" t="str">
        <f>TRIM(_xlfn.TEXTBEFORE(C3, ":"))</f>
        <v>Gegenstandsklasse</v>
      </c>
      <c r="E3" s="17" t="s">
        <v>2447</v>
      </c>
      <c r="F3" s="16" t="str">
        <f>TRIM(_xlfn.TEXTBEFORE(E3, ":"))</f>
        <v>Clase de objeto</v>
      </c>
      <c r="G3" s="17" t="s">
        <v>996</v>
      </c>
      <c r="H3" s="16" t="str">
        <f>TRIM(_xlfn.TEXTBEFORE(G3, ":"))</f>
        <v>Classe d'objet</v>
      </c>
      <c r="I3" s="17" t="s">
        <v>3165</v>
      </c>
      <c r="J3" s="16" t="str">
        <f>TRIM(_xlfn.TEXTBEFORE(I3, ":"))</f>
        <v>アイテムクラス</v>
      </c>
      <c r="K3" s="17" t="s">
        <v>3912</v>
      </c>
      <c r="L3" s="16" t="str">
        <f>TRIM(_xlfn.TEXTBEFORE(K3, ":"))</f>
        <v>아이템 종류</v>
      </c>
      <c r="M3" s="17" t="s">
        <v>4641</v>
      </c>
      <c r="N3" s="16" t="str">
        <f>TRIM(_xlfn.TEXTBEFORE(M3, ":"))</f>
        <v>Classe do Item</v>
      </c>
      <c r="O3" s="17" t="s">
        <v>5326</v>
      </c>
      <c r="P3" s="16" t="str">
        <f>TRIM(_xlfn.TEXTBEFORE(O3, ":"))</f>
        <v>Класс предмета</v>
      </c>
      <c r="Q3" s="17" t="s">
        <v>6058</v>
      </c>
      <c r="R3" s="16" t="str">
        <f>TRIM(_xlfn.TEXTBEFORE(Q3, ":"))</f>
        <v>ชนิดไอเทม</v>
      </c>
      <c r="S3" s="17"/>
      <c r="T3" s="20" t="e">
        <f>TRIM(_xlfn.TEXTBEFORE(S3, ":"))</f>
        <v>#N/A</v>
      </c>
    </row>
    <row r="4" spans="1:20" ht="15.95" customHeight="1" x14ac:dyDescent="0.25">
      <c r="A4" s="18" t="s">
        <v>496</v>
      </c>
      <c r="B4" s="16" t="str">
        <f>TRIM(_xlfn.TEXTAFTER(A3, ":"))</f>
        <v>Misc Map Items</v>
      </c>
      <c r="C4" s="18" t="s">
        <v>1652</v>
      </c>
      <c r="D4" s="16" t="str">
        <f>TRIM(_xlfn.TEXTAFTER(C3, ":"))</f>
        <v>Sonstige Kartengegenstände</v>
      </c>
      <c r="E4" s="18" t="s">
        <v>2372</v>
      </c>
      <c r="F4" s="16" t="str">
        <f>TRIM(_xlfn.TEXTAFTER(E3, ":"))</f>
        <v>Objetos misceláneos de mapa</v>
      </c>
      <c r="G4" s="18" t="s">
        <v>919</v>
      </c>
      <c r="H4" s="16" t="str">
        <f>TRIM(_xlfn.TEXTAFTER(G3, ":"))</f>
        <v>Objets de Carte divers</v>
      </c>
      <c r="I4" s="18" t="s">
        <v>3087</v>
      </c>
      <c r="J4" s="16" t="str">
        <f>TRIM(_xlfn.TEXTAFTER(I3, ":"))</f>
        <v>その他マップアイテム</v>
      </c>
      <c r="K4" s="18" t="s">
        <v>3837</v>
      </c>
      <c r="L4" s="16" t="str">
        <f>TRIM(_xlfn.TEXTAFTER(K3, ":"))</f>
        <v>기타 지도 아이템</v>
      </c>
      <c r="M4" s="18" t="s">
        <v>4566</v>
      </c>
      <c r="N4" s="16" t="str">
        <f>TRIM(_xlfn.TEXTAFTER(M3, ":"))</f>
        <v>Itens Mapas Variados</v>
      </c>
      <c r="O4" s="18" t="s">
        <v>5249</v>
      </c>
      <c r="P4" s="16" t="str">
        <f>TRIM(_xlfn.TEXTAFTER(O3, ":"))</f>
        <v>Прочие предметы карт</v>
      </c>
      <c r="Q4" s="18" t="s">
        <v>5986</v>
      </c>
      <c r="R4" s="16" t="str">
        <f>TRIM(_xlfn.TEXTAFTER(Q3, ":"))</f>
        <v>ไอเทมแผนที่อื่นๆ</v>
      </c>
      <c r="S4" s="18"/>
      <c r="T4" s="20" t="e">
        <f>TRIM(_xlfn.TEXTAFTER(S3, ":"))</f>
        <v>#N/A</v>
      </c>
    </row>
    <row r="5" spans="1:20" ht="15.95" customHeight="1" x14ac:dyDescent="0.25">
      <c r="A5" s="18" t="s">
        <v>673</v>
      </c>
      <c r="B5" s="16" t="str">
        <f>TRIM(_xlfn.TEXTBEFORE(A4, ":"))</f>
        <v>Rarity</v>
      </c>
      <c r="C5" s="18" t="s">
        <v>1729</v>
      </c>
      <c r="D5" s="16" t="str">
        <f>TRIM(_xlfn.TEXTBEFORE(C4, ":"))</f>
        <v>Seltenheit</v>
      </c>
      <c r="E5" s="18" t="s">
        <v>2448</v>
      </c>
      <c r="F5" s="16" t="str">
        <f>TRIM(_xlfn.TEXTBEFORE(E4, ":"))</f>
        <v>Rareza</v>
      </c>
      <c r="G5" s="18" t="s">
        <v>997</v>
      </c>
      <c r="H5" s="16" t="str">
        <f>TRIM(_xlfn.TEXTBEFORE(G4, ":"))</f>
        <v>Rareté</v>
      </c>
      <c r="I5" s="18" t="s">
        <v>3166</v>
      </c>
      <c r="J5" s="16" t="str">
        <f>TRIM(_xlfn.TEXTBEFORE(I4, ":"))</f>
        <v>レアリティ</v>
      </c>
      <c r="K5" s="18" t="s">
        <v>3913</v>
      </c>
      <c r="L5" s="16" t="str">
        <f>TRIM(_xlfn.TEXTBEFORE(K4, ":"))</f>
        <v>아이템 희귀도</v>
      </c>
      <c r="M5" s="18" t="s">
        <v>4642</v>
      </c>
      <c r="N5" s="16" t="str">
        <f>TRIM(_xlfn.TEXTBEFORE(M4, ":"))</f>
        <v>Raridade</v>
      </c>
      <c r="O5" s="18" t="s">
        <v>5327</v>
      </c>
      <c r="P5" s="16" t="str">
        <f>TRIM(_xlfn.TEXTBEFORE(O4, ":"))</f>
        <v>Редкость</v>
      </c>
      <c r="Q5" s="18" t="s">
        <v>6059</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254</v>
      </c>
      <c r="B7" s="16"/>
      <c r="C7" s="18" t="s">
        <v>1730</v>
      </c>
      <c r="D7" s="16"/>
      <c r="E7" s="18" t="s">
        <v>2449</v>
      </c>
      <c r="F7" s="16"/>
      <c r="G7" s="18" t="s">
        <v>998</v>
      </c>
      <c r="H7" s="16"/>
      <c r="I7" s="18" t="s">
        <v>3167</v>
      </c>
      <c r="J7" s="16"/>
      <c r="K7" s="18" t="s">
        <v>3914</v>
      </c>
      <c r="L7" s="16"/>
      <c r="M7" s="18" t="s">
        <v>4643</v>
      </c>
      <c r="N7" s="16"/>
      <c r="O7" s="18" t="s">
        <v>5328</v>
      </c>
      <c r="P7" s="16"/>
      <c r="Q7" s="18" t="s">
        <v>6060</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674</v>
      </c>
      <c r="B9" s="16"/>
      <c r="C9" s="18" t="s">
        <v>1731</v>
      </c>
      <c r="D9" s="16"/>
      <c r="E9" s="18" t="s">
        <v>2450</v>
      </c>
      <c r="F9" s="16"/>
      <c r="G9" s="18" t="s">
        <v>999</v>
      </c>
      <c r="H9" s="16"/>
      <c r="I9" s="18" t="s">
        <v>3168</v>
      </c>
      <c r="J9" s="16"/>
      <c r="K9" s="18" t="s">
        <v>3915</v>
      </c>
      <c r="L9" s="16"/>
      <c r="M9" s="18" t="s">
        <v>4644</v>
      </c>
      <c r="N9" s="16"/>
      <c r="O9" s="18" t="s">
        <v>5329</v>
      </c>
      <c r="P9" s="16"/>
      <c r="Q9" s="18" t="s">
        <v>6061</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675</v>
      </c>
      <c r="B11" s="16"/>
      <c r="C11" s="18" t="s">
        <v>1732</v>
      </c>
      <c r="D11" s="16"/>
      <c r="E11" s="18" t="s">
        <v>2451</v>
      </c>
      <c r="F11" s="16"/>
      <c r="G11" s="18" t="s">
        <v>1000</v>
      </c>
      <c r="H11" s="16"/>
      <c r="I11" s="18" t="s">
        <v>3169</v>
      </c>
      <c r="J11" s="16"/>
      <c r="K11" s="18" t="s">
        <v>3916</v>
      </c>
      <c r="L11" s="16"/>
      <c r="M11" s="18" t="s">
        <v>4645</v>
      </c>
      <c r="N11" s="16"/>
      <c r="O11" s="18" t="s">
        <v>5330</v>
      </c>
      <c r="P11" s="16"/>
      <c r="Q11" s="18" t="s">
        <v>6062</v>
      </c>
      <c r="R11" s="16"/>
      <c r="S11" s="18"/>
      <c r="T11" s="20"/>
    </row>
    <row r="12" spans="1:20" ht="15.95" customHeight="1" x14ac:dyDescent="0.25">
      <c r="A12" s="18" t="s">
        <v>676</v>
      </c>
      <c r="B12" s="16"/>
      <c r="C12" s="18" t="s">
        <v>1733</v>
      </c>
      <c r="D12" s="16"/>
      <c r="E12" s="18" t="s">
        <v>2452</v>
      </c>
      <c r="F12" s="16"/>
      <c r="G12" s="18" t="s">
        <v>1001</v>
      </c>
      <c r="H12" s="16"/>
      <c r="I12" s="18" t="s">
        <v>3170</v>
      </c>
      <c r="J12" s="16"/>
      <c r="K12" s="18" t="s">
        <v>3917</v>
      </c>
      <c r="L12" s="16"/>
      <c r="M12" s="18" t="s">
        <v>4646</v>
      </c>
      <c r="N12" s="16"/>
      <c r="O12" s="18" t="s">
        <v>5331</v>
      </c>
      <c r="P12" s="16"/>
      <c r="Q12" s="18" t="s">
        <v>6063</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677</v>
      </c>
      <c r="B14" s="16"/>
      <c r="C14" s="18" t="s">
        <v>1734</v>
      </c>
      <c r="D14" s="16"/>
      <c r="E14" s="18" t="s">
        <v>2453</v>
      </c>
      <c r="F14" s="16"/>
      <c r="G14" s="18" t="s">
        <v>1002</v>
      </c>
      <c r="H14" s="16"/>
      <c r="I14" s="18" t="s">
        <v>3171</v>
      </c>
      <c r="J14" s="16"/>
      <c r="K14" s="18" t="s">
        <v>3918</v>
      </c>
      <c r="L14" s="16"/>
      <c r="M14" s="18" t="s">
        <v>4647</v>
      </c>
      <c r="N14" s="16"/>
      <c r="O14" s="18" t="s">
        <v>5332</v>
      </c>
      <c r="P14" s="16"/>
      <c r="Q14" s="18" t="s">
        <v>6064</v>
      </c>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03" priority="2" stopIfTrue="1">
      <formula>NOT(ISERROR(A3))</formula>
    </cfRule>
  </conditionalFormatting>
  <conditionalFormatting sqref="A3:T51">
    <cfRule type="containsErrors" dxfId="402" priority="1" stopIfTrue="1">
      <formula>ISERROR(A3)</formula>
    </cfRule>
    <cfRule type="notContainsBlanks" dxfId="401" priority="3">
      <formula>LEN(TRIM(A3))&gt;0</formula>
    </cfRule>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E281E9-D352-4219-81D4-922101FCC99E}">
  <sheetPr codeName="Sheet20"/>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8" t="s">
        <v>84</v>
      </c>
    </row>
    <row r="3" spans="1:20" ht="15.95" customHeight="1" x14ac:dyDescent="0.25">
      <c r="A3" s="17" t="s">
        <v>838</v>
      </c>
      <c r="B3" s="16" t="str">
        <f>TRIM(_xlfn.TEXTBEFORE(A3, ":"))</f>
        <v>Item Class</v>
      </c>
      <c r="C3" s="17" t="s">
        <v>2287</v>
      </c>
      <c r="D3" s="16" t="str">
        <f>TRIM(_xlfn.TEXTBEFORE(C3, ":"))</f>
        <v>Gegenstandsklasse</v>
      </c>
      <c r="E3" s="17" t="s">
        <v>2292</v>
      </c>
      <c r="F3" s="16" t="str">
        <f>TRIM(_xlfn.TEXTBEFORE(E3, ":"))</f>
        <v>Clase de objeto</v>
      </c>
      <c r="G3" s="17" t="s">
        <v>1571</v>
      </c>
      <c r="H3" s="16" t="str">
        <f>TRIM(_xlfn.TEXTBEFORE(G3, ":"))</f>
        <v>Classe d'objet</v>
      </c>
      <c r="I3" s="17" t="s">
        <v>3750</v>
      </c>
      <c r="J3" s="16" t="str">
        <f>TRIM(_xlfn.TEXTBEFORE(I3, ":"))</f>
        <v>アイテムクラス</v>
      </c>
      <c r="K3" s="17" t="s">
        <v>3754</v>
      </c>
      <c r="L3" s="16" t="str">
        <f>TRIM(_xlfn.TEXTBEFORE(K3, ":"))</f>
        <v>아이템 종류</v>
      </c>
      <c r="M3" s="17" t="s">
        <v>5156</v>
      </c>
      <c r="N3" s="16" t="str">
        <f>TRIM(_xlfn.TEXTBEFORE(M3, ":"))</f>
        <v>Classe do Item</v>
      </c>
      <c r="O3" s="17" t="s">
        <v>5906</v>
      </c>
      <c r="P3" s="16" t="str">
        <f>TRIM(_xlfn.TEXTBEFORE(O3, ":"))</f>
        <v>Класс предмета</v>
      </c>
      <c r="Q3" s="17" t="s">
        <v>5910</v>
      </c>
      <c r="R3" s="16" t="str">
        <f>TRIM(_xlfn.TEXTBEFORE(Q3, ":"))</f>
        <v>ชนิดไอเทม</v>
      </c>
      <c r="S3" s="17"/>
      <c r="T3" s="20" t="e">
        <f>TRIM(_xlfn.TEXTBEFORE(S3, ":"))</f>
        <v>#N/A</v>
      </c>
    </row>
    <row r="4" spans="1:20" ht="15.95" customHeight="1" x14ac:dyDescent="0.25">
      <c r="A4" s="18" t="s">
        <v>553</v>
      </c>
      <c r="B4" s="16" t="str">
        <f>TRIM(_xlfn.TEXTAFTER(A3, ":"))</f>
        <v>Sanctum Research</v>
      </c>
      <c r="C4" s="18" t="s">
        <v>1625</v>
      </c>
      <c r="D4" s="16" t="str">
        <f>TRIM(_xlfn.TEXTAFTER(C3, ":"))</f>
        <v>Sanktum-Forschungsauftrag</v>
      </c>
      <c r="E4" s="18" t="s">
        <v>2293</v>
      </c>
      <c r="F4" s="16" t="str">
        <f>TRIM(_xlfn.TEXTAFTER(E3, ":"))</f>
        <v>Investigación del santuario</v>
      </c>
      <c r="G4" s="18" t="s">
        <v>848</v>
      </c>
      <c r="H4" s="16" t="str">
        <f>TRIM(_xlfn.TEXTAFTER(G3, ":"))</f>
        <v>Recherche du Sanctuaire</v>
      </c>
      <c r="I4" s="18" t="s">
        <v>3061</v>
      </c>
      <c r="J4" s="16" t="str">
        <f>TRIM(_xlfn.TEXTAFTER(I3, ":"))</f>
        <v>サンクタム調査書</v>
      </c>
      <c r="K4" s="18" t="s">
        <v>3755</v>
      </c>
      <c r="L4" s="16" t="str">
        <f>TRIM(_xlfn.TEXTAFTER(K3, ":"))</f>
        <v>성역 연구</v>
      </c>
      <c r="M4" s="18" t="s">
        <v>4539</v>
      </c>
      <c r="N4" s="16" t="str">
        <f>TRIM(_xlfn.TEXTAFTER(M3, ":"))</f>
        <v>Pesquisa Sanctum</v>
      </c>
      <c r="O4" s="18" t="s">
        <v>5223</v>
      </c>
      <c r="P4" s="16" t="str">
        <f>TRIM(_xlfn.TEXTAFTER(O3, ":"))</f>
        <v>Исследования Святилища</v>
      </c>
      <c r="Q4" s="18" t="s">
        <v>5911</v>
      </c>
      <c r="R4" s="16" t="str">
        <f>TRIM(_xlfn.TEXTAFTER(Q3, ":"))</f>
        <v>บทวิจัยเทวสถาน</v>
      </c>
      <c r="S4" s="18"/>
      <c r="T4" s="20" t="e">
        <f>TRIM(_xlfn.TEXTAFTER(S3, ":"))</f>
        <v>#N/A</v>
      </c>
    </row>
    <row r="5" spans="1:20" ht="15.95" customHeight="1" x14ac:dyDescent="0.25">
      <c r="A5" s="18" t="s">
        <v>839</v>
      </c>
      <c r="B5" s="16" t="str">
        <f>TRIM(_xlfn.TEXTBEFORE(A4, ":"))</f>
        <v>Rarity</v>
      </c>
      <c r="C5" s="18" t="s">
        <v>2288</v>
      </c>
      <c r="D5" s="16" t="str">
        <f>TRIM(_xlfn.TEXTBEFORE(C4, ":"))</f>
        <v>Seltenheit</v>
      </c>
      <c r="E5" s="18" t="s">
        <v>2294</v>
      </c>
      <c r="F5" s="16" t="str">
        <f>TRIM(_xlfn.TEXTBEFORE(E4, ":"))</f>
        <v>Rareza</v>
      </c>
      <c r="G5" s="18" t="s">
        <v>1572</v>
      </c>
      <c r="H5" s="16" t="str">
        <f>TRIM(_xlfn.TEXTBEFORE(G4, ":"))</f>
        <v>Rareté</v>
      </c>
      <c r="I5" s="18" t="s">
        <v>3751</v>
      </c>
      <c r="J5" s="16" t="str">
        <f>TRIM(_xlfn.TEXTBEFORE(I4, ":"))</f>
        <v>レアリティ</v>
      </c>
      <c r="K5" s="18" t="s">
        <v>3756</v>
      </c>
      <c r="L5" s="16" t="str">
        <f>TRIM(_xlfn.TEXTBEFORE(K4, ":"))</f>
        <v>아이템 희귀도</v>
      </c>
      <c r="M5" s="18" t="s">
        <v>5157</v>
      </c>
      <c r="N5" s="16" t="str">
        <f>TRIM(_xlfn.TEXTBEFORE(M4, ":"))</f>
        <v>Raridade</v>
      </c>
      <c r="O5" s="18" t="s">
        <v>5907</v>
      </c>
      <c r="P5" s="16" t="str">
        <f>TRIM(_xlfn.TEXTBEFORE(O4, ":"))</f>
        <v>Редкость</v>
      </c>
      <c r="Q5" s="18" t="s">
        <v>5912</v>
      </c>
      <c r="R5" s="16" t="str">
        <f>TRIM(_xlfn.TEXTBEFORE(Q4, ":"))</f>
        <v>ความหายาก</v>
      </c>
      <c r="S5" s="18"/>
      <c r="T5" s="20"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20" t="e">
        <f>TRIM(_xlfn.TEXTAFTER(S4,":"))</f>
        <v>#N/A</v>
      </c>
    </row>
    <row r="7" spans="1:20" ht="15.95" customHeight="1" x14ac:dyDescent="0.25">
      <c r="A7" s="18" t="s">
        <v>840</v>
      </c>
      <c r="B7" s="16"/>
      <c r="C7" s="18" t="s">
        <v>2289</v>
      </c>
      <c r="D7" s="16"/>
      <c r="E7" s="18" t="s">
        <v>2295</v>
      </c>
      <c r="F7" s="16"/>
      <c r="G7" s="18" t="s">
        <v>1573</v>
      </c>
      <c r="H7" s="16"/>
      <c r="I7" s="18" t="s">
        <v>3752</v>
      </c>
      <c r="J7" s="16"/>
      <c r="K7" s="18" t="s">
        <v>3757</v>
      </c>
      <c r="L7" s="16"/>
      <c r="M7" s="18" t="s">
        <v>5158</v>
      </c>
      <c r="N7" s="16"/>
      <c r="O7" s="18" t="s">
        <v>5908</v>
      </c>
      <c r="P7" s="16"/>
      <c r="Q7" s="18" t="s">
        <v>5913</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82</v>
      </c>
      <c r="B9" s="16"/>
      <c r="C9" s="18" t="s">
        <v>1662</v>
      </c>
      <c r="D9" s="16"/>
      <c r="E9" s="18" t="s">
        <v>2296</v>
      </c>
      <c r="F9" s="16"/>
      <c r="G9" s="18" t="s">
        <v>929</v>
      </c>
      <c r="H9" s="16"/>
      <c r="I9" s="18" t="s">
        <v>3098</v>
      </c>
      <c r="J9" s="16"/>
      <c r="K9" s="18" t="s">
        <v>3758</v>
      </c>
      <c r="L9" s="16"/>
      <c r="M9" s="18" t="s">
        <v>4576</v>
      </c>
      <c r="N9" s="16"/>
      <c r="O9" s="18" t="s">
        <v>5259</v>
      </c>
      <c r="P9" s="16"/>
      <c r="Q9" s="18" t="s">
        <v>5914</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841</v>
      </c>
      <c r="B11" s="16"/>
      <c r="C11" s="18" t="s">
        <v>841</v>
      </c>
      <c r="D11" s="16"/>
      <c r="E11" s="18" t="s">
        <v>841</v>
      </c>
      <c r="F11" s="16"/>
      <c r="G11" s="18" t="s">
        <v>841</v>
      </c>
      <c r="H11" s="16"/>
      <c r="I11" s="18" t="s">
        <v>841</v>
      </c>
      <c r="J11" s="16"/>
      <c r="K11" s="18" t="s">
        <v>3759</v>
      </c>
      <c r="L11" s="16"/>
      <c r="M11" s="18" t="s">
        <v>841</v>
      </c>
      <c r="N11" s="16"/>
      <c r="O11" s="18" t="s">
        <v>841</v>
      </c>
      <c r="P11" s="16"/>
      <c r="Q11" s="18" t="s">
        <v>5915</v>
      </c>
      <c r="R11" s="16"/>
      <c r="S11" s="18"/>
      <c r="T11" s="20"/>
    </row>
    <row r="12" spans="1:20" ht="15.95" customHeight="1" x14ac:dyDescent="0.25">
      <c r="A12" s="18" t="s">
        <v>842</v>
      </c>
      <c r="B12" s="16"/>
      <c r="C12" s="18" t="s">
        <v>2290</v>
      </c>
      <c r="D12" s="16"/>
      <c r="E12" s="18" t="s">
        <v>842</v>
      </c>
      <c r="F12" s="16"/>
      <c r="G12" s="18" t="s">
        <v>842</v>
      </c>
      <c r="H12" s="16"/>
      <c r="I12" s="18" t="s">
        <v>842</v>
      </c>
      <c r="J12" s="16"/>
      <c r="K12" s="18" t="s">
        <v>3760</v>
      </c>
      <c r="L12" s="16"/>
      <c r="M12" s="18" t="s">
        <v>842</v>
      </c>
      <c r="N12" s="16"/>
      <c r="O12" s="18" t="s">
        <v>842</v>
      </c>
      <c r="P12" s="16"/>
      <c r="Q12" s="18" t="s">
        <v>5916</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843</v>
      </c>
      <c r="B14" s="16"/>
      <c r="C14" s="18" t="s">
        <v>2291</v>
      </c>
      <c r="D14" s="16"/>
      <c r="E14" s="18" t="s">
        <v>2297</v>
      </c>
      <c r="F14" s="16"/>
      <c r="G14" s="18" t="s">
        <v>1574</v>
      </c>
      <c r="H14" s="16"/>
      <c r="I14" s="18" t="s">
        <v>3753</v>
      </c>
      <c r="J14" s="16"/>
      <c r="K14" s="18" t="s">
        <v>3761</v>
      </c>
      <c r="L14" s="16"/>
      <c r="M14" s="18" t="s">
        <v>5159</v>
      </c>
      <c r="N14" s="16"/>
      <c r="O14" s="18" t="s">
        <v>5909</v>
      </c>
      <c r="P14" s="16"/>
      <c r="Q14" s="18" t="s">
        <v>5917</v>
      </c>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00" priority="2" stopIfTrue="1">
      <formula>NOT(ISERROR(A3))</formula>
    </cfRule>
  </conditionalFormatting>
  <conditionalFormatting sqref="A3:T51">
    <cfRule type="containsErrors" dxfId="399" priority="1" stopIfTrue="1">
      <formula>ISERROR(A3)</formula>
    </cfRule>
    <cfRule type="notContainsBlanks" dxfId="398" priority="3">
      <formula>LEN(TRIM(A3))&gt;0</formula>
    </cfRule>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DE9F78-3449-4B7A-86B2-D2791905F1A0}">
  <sheetPr codeName="Sheet21"/>
  <dimension ref="A1:T51"/>
  <sheetViews>
    <sheetView topLeftCell="A9" workbookViewId="0">
      <selection activeCell="Q3" sqref="Q3:Q18"/>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8" t="s">
        <v>84</v>
      </c>
    </row>
    <row r="3" spans="1:20" ht="15.95" customHeight="1" x14ac:dyDescent="0.25">
      <c r="A3" s="17" t="s">
        <v>645</v>
      </c>
      <c r="B3" s="16" t="str">
        <f>TRIM(_xlfn.TEXTBEFORE(A3, ":"))</f>
        <v>Item Class</v>
      </c>
      <c r="C3" s="17" t="s">
        <v>1735</v>
      </c>
      <c r="D3" s="16" t="str">
        <f>TRIM(_xlfn.TEXTBEFORE(C3, ":"))</f>
        <v>Gegenstandsklasse</v>
      </c>
      <c r="E3" s="17" t="s">
        <v>2454</v>
      </c>
      <c r="F3" s="16" t="str">
        <f>TRIM(_xlfn.TEXTBEFORE(E3, ":"))</f>
        <v>Clase de objeto</v>
      </c>
      <c r="G3" s="17" t="s">
        <v>1003</v>
      </c>
      <c r="H3" s="16" t="str">
        <f>TRIM(_xlfn.TEXTBEFORE(G3, ":"))</f>
        <v>Classe d'objet</v>
      </c>
      <c r="I3" s="17" t="s">
        <v>3172</v>
      </c>
      <c r="J3" s="16" t="str">
        <f>TRIM(_xlfn.TEXTBEFORE(I3, ":"))</f>
        <v>アイテムクラス</v>
      </c>
      <c r="K3" s="17" t="s">
        <v>3919</v>
      </c>
      <c r="L3" s="16" t="str">
        <f>TRIM(_xlfn.TEXTBEFORE(K3, ":"))</f>
        <v>아이템 종류</v>
      </c>
      <c r="M3" s="17" t="s">
        <v>4648</v>
      </c>
      <c r="N3" s="16" t="str">
        <f>TRIM(_xlfn.TEXTBEFORE(M3, ":"))</f>
        <v>Classe do Item</v>
      </c>
      <c r="O3" s="17" t="s">
        <v>5333</v>
      </c>
      <c r="P3" s="16" t="str">
        <f>TRIM(_xlfn.TEXTBEFORE(O3, ":"))</f>
        <v>Класс предмета</v>
      </c>
      <c r="Q3" s="17" t="s">
        <v>6065</v>
      </c>
      <c r="R3" s="16" t="str">
        <f>TRIM(_xlfn.TEXTBEFORE(Q3, ":"))</f>
        <v>ชนิดไอเทม</v>
      </c>
      <c r="S3" s="17"/>
      <c r="T3" s="20" t="e">
        <f>TRIM(_xlfn.TEXTBEFORE(S3, ":"))</f>
        <v>#N/A</v>
      </c>
    </row>
    <row r="4" spans="1:20" ht="15.95" customHeight="1" x14ac:dyDescent="0.25">
      <c r="A4" s="18" t="s">
        <v>496</v>
      </c>
      <c r="B4" s="16" t="str">
        <f>TRIM(_xlfn.TEXTAFTER(A3, ":"))</f>
        <v>Hybrid Flasks</v>
      </c>
      <c r="C4" s="18" t="s">
        <v>1652</v>
      </c>
      <c r="D4" s="16" t="str">
        <f>TRIM(_xlfn.TEXTAFTER(C3, ":"))</f>
        <v>Hybridfläschchen</v>
      </c>
      <c r="E4" s="18" t="s">
        <v>2372</v>
      </c>
      <c r="F4" s="16" t="str">
        <f>TRIM(_xlfn.TEXTAFTER(E3, ":"))</f>
        <v>Frascos híbridos</v>
      </c>
      <c r="G4" s="18" t="s">
        <v>919</v>
      </c>
      <c r="H4" s="16" t="str">
        <f>TRIM(_xlfn.TEXTAFTER(G3, ":"))</f>
        <v>Flacons hybrides</v>
      </c>
      <c r="I4" s="18" t="s">
        <v>3087</v>
      </c>
      <c r="J4" s="16" t="str">
        <f>TRIM(_xlfn.TEXTAFTER(I3, ":"))</f>
        <v>ハイブリッドフラスコ</v>
      </c>
      <c r="K4" s="18" t="s">
        <v>3837</v>
      </c>
      <c r="L4" s="16" t="str">
        <f>TRIM(_xlfn.TEXTAFTER(K3, ":"))</f>
        <v>하이브리드 플라스크</v>
      </c>
      <c r="M4" s="18" t="s">
        <v>4566</v>
      </c>
      <c r="N4" s="16" t="str">
        <f>TRIM(_xlfn.TEXTAFTER(M3, ":"))</f>
        <v>Frascos Híbridos</v>
      </c>
      <c r="O4" s="18" t="s">
        <v>5249</v>
      </c>
      <c r="P4" s="16" t="str">
        <f>TRIM(_xlfn.TEXTAFTER(O3, ":"))</f>
        <v>Флаконы равновесия</v>
      </c>
      <c r="Q4" s="18" t="s">
        <v>5986</v>
      </c>
      <c r="R4" s="16" t="str">
        <f>TRIM(_xlfn.TEXTAFTER(Q3, ":"))</f>
        <v>ขวดยาผสม</v>
      </c>
      <c r="S4" s="18"/>
      <c r="T4" s="20" t="e">
        <f>TRIM(_xlfn.TEXTAFTER(S3, ":"))</f>
        <v>#N/A</v>
      </c>
    </row>
    <row r="5" spans="1:20" ht="15.95" customHeight="1" x14ac:dyDescent="0.25">
      <c r="A5" s="18" t="s">
        <v>646</v>
      </c>
      <c r="B5" s="16" t="str">
        <f>TRIM(_xlfn.TEXTBEFORE(A4, ":"))</f>
        <v>Rarity</v>
      </c>
      <c r="C5" s="18" t="s">
        <v>1736</v>
      </c>
      <c r="D5" s="16" t="str">
        <f>TRIM(_xlfn.TEXTBEFORE(C4, ":"))</f>
        <v>Seltenheit</v>
      </c>
      <c r="E5" s="18" t="s">
        <v>2455</v>
      </c>
      <c r="F5" s="16" t="str">
        <f>TRIM(_xlfn.TEXTBEFORE(E4, ":"))</f>
        <v>Rareza</v>
      </c>
      <c r="G5" s="18" t="s">
        <v>1004</v>
      </c>
      <c r="H5" s="16" t="str">
        <f>TRIM(_xlfn.TEXTBEFORE(G4, ":"))</f>
        <v>Rareté</v>
      </c>
      <c r="I5" s="18" t="s">
        <v>3173</v>
      </c>
      <c r="J5" s="16" t="str">
        <f>TRIM(_xlfn.TEXTBEFORE(I4, ":"))</f>
        <v>レアリティ</v>
      </c>
      <c r="K5" s="18" t="s">
        <v>3920</v>
      </c>
      <c r="L5" s="16" t="str">
        <f>TRIM(_xlfn.TEXTBEFORE(K4, ":"))</f>
        <v>아이템 희귀도</v>
      </c>
      <c r="M5" s="18" t="s">
        <v>4649</v>
      </c>
      <c r="N5" s="16" t="str">
        <f>TRIM(_xlfn.TEXTBEFORE(M4, ":"))</f>
        <v>Raridade</v>
      </c>
      <c r="O5" s="18" t="s">
        <v>5334</v>
      </c>
      <c r="P5" s="16" t="str">
        <f>TRIM(_xlfn.TEXTBEFORE(O4, ":"))</f>
        <v>Редкость</v>
      </c>
      <c r="Q5" s="18" t="s">
        <v>646</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647</v>
      </c>
      <c r="B7" s="16"/>
      <c r="C7" s="18" t="s">
        <v>1737</v>
      </c>
      <c r="D7" s="16"/>
      <c r="E7" s="18" t="s">
        <v>2456</v>
      </c>
      <c r="F7" s="16"/>
      <c r="G7" s="18" t="s">
        <v>1005</v>
      </c>
      <c r="H7" s="16"/>
      <c r="I7" s="18" t="s">
        <v>3174</v>
      </c>
      <c r="J7" s="16"/>
      <c r="K7" s="18" t="s">
        <v>3921</v>
      </c>
      <c r="L7" s="16"/>
      <c r="M7" s="18" t="s">
        <v>4650</v>
      </c>
      <c r="N7" s="16"/>
      <c r="O7" s="18" t="s">
        <v>5335</v>
      </c>
      <c r="P7" s="16"/>
      <c r="Q7" s="18" t="s">
        <v>6066</v>
      </c>
      <c r="R7" s="16"/>
      <c r="S7" s="18"/>
      <c r="T7" s="20"/>
    </row>
    <row r="8" spans="1:20" ht="15.95" customHeight="1" x14ac:dyDescent="0.25">
      <c r="A8" s="18" t="s">
        <v>648</v>
      </c>
      <c r="B8" s="16"/>
      <c r="C8" s="18" t="s">
        <v>1738</v>
      </c>
      <c r="D8" s="16"/>
      <c r="E8" s="18" t="s">
        <v>2457</v>
      </c>
      <c r="F8" s="16"/>
      <c r="G8" s="18" t="s">
        <v>1006</v>
      </c>
      <c r="H8" s="16"/>
      <c r="I8" s="18" t="s">
        <v>3175</v>
      </c>
      <c r="J8" s="16"/>
      <c r="K8" s="18" t="s">
        <v>3922</v>
      </c>
      <c r="L8" s="16"/>
      <c r="M8" s="18" t="s">
        <v>4651</v>
      </c>
      <c r="N8" s="16"/>
      <c r="O8" s="18" t="s">
        <v>5336</v>
      </c>
      <c r="P8" s="16"/>
      <c r="Q8" s="18" t="s">
        <v>6067</v>
      </c>
      <c r="R8" s="16"/>
      <c r="S8" s="18"/>
      <c r="T8" s="20"/>
    </row>
    <row r="9" spans="1:20" ht="15.95" customHeight="1" x14ac:dyDescent="0.25">
      <c r="A9" s="18" t="s">
        <v>649</v>
      </c>
      <c r="B9" s="16"/>
      <c r="C9" s="18" t="s">
        <v>1739</v>
      </c>
      <c r="D9" s="16"/>
      <c r="E9" s="18" t="s">
        <v>2458</v>
      </c>
      <c r="F9" s="16"/>
      <c r="G9" s="18" t="s">
        <v>1007</v>
      </c>
      <c r="H9" s="16"/>
      <c r="I9" s="18" t="s">
        <v>3176</v>
      </c>
      <c r="J9" s="16"/>
      <c r="K9" s="18" t="s">
        <v>3923</v>
      </c>
      <c r="L9" s="16"/>
      <c r="M9" s="18" t="s">
        <v>4652</v>
      </c>
      <c r="N9" s="16"/>
      <c r="O9" s="18" t="s">
        <v>5337</v>
      </c>
      <c r="P9" s="16"/>
      <c r="Q9" s="18" t="s">
        <v>6068</v>
      </c>
      <c r="R9" s="16"/>
      <c r="S9" s="18"/>
      <c r="T9" s="20"/>
    </row>
    <row r="10" spans="1:20" ht="15.95" customHeight="1" x14ac:dyDescent="0.25">
      <c r="A10" s="18" t="s">
        <v>650</v>
      </c>
      <c r="B10" s="16"/>
      <c r="C10" s="18" t="s">
        <v>1740</v>
      </c>
      <c r="D10" s="16"/>
      <c r="E10" s="18" t="s">
        <v>2459</v>
      </c>
      <c r="F10" s="16"/>
      <c r="G10" s="18" t="s">
        <v>1008</v>
      </c>
      <c r="H10" s="16"/>
      <c r="I10" s="18" t="s">
        <v>3177</v>
      </c>
      <c r="J10" s="16"/>
      <c r="K10" s="18" t="s">
        <v>3924</v>
      </c>
      <c r="L10" s="16"/>
      <c r="M10" s="18" t="s">
        <v>4653</v>
      </c>
      <c r="N10" s="16"/>
      <c r="O10" s="18" t="s">
        <v>5338</v>
      </c>
      <c r="P10" s="16"/>
      <c r="Q10" s="18" t="s">
        <v>6069</v>
      </c>
      <c r="R10" s="16"/>
      <c r="S10" s="18"/>
      <c r="T10" s="20"/>
    </row>
    <row r="11" spans="1:20" ht="15.95" customHeight="1" x14ac:dyDescent="0.25">
      <c r="A11" s="18" t="s">
        <v>472</v>
      </c>
      <c r="B11" s="16"/>
      <c r="C11" s="18" t="s">
        <v>1741</v>
      </c>
      <c r="D11" s="16"/>
      <c r="E11" s="18" t="s">
        <v>2460</v>
      </c>
      <c r="F11" s="16"/>
      <c r="G11" s="18" t="s">
        <v>1009</v>
      </c>
      <c r="H11" s="16"/>
      <c r="I11" s="18" t="s">
        <v>3178</v>
      </c>
      <c r="J11" s="16"/>
      <c r="K11" s="18" t="s">
        <v>3925</v>
      </c>
      <c r="L11" s="16"/>
      <c r="M11" s="18" t="s">
        <v>4654</v>
      </c>
      <c r="N11" s="16"/>
      <c r="O11" s="18" t="s">
        <v>5339</v>
      </c>
      <c r="P11" s="16"/>
      <c r="Q11" s="18" t="s">
        <v>6070</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81</v>
      </c>
      <c r="B13" s="16"/>
      <c r="C13" s="18" t="s">
        <v>1589</v>
      </c>
      <c r="D13" s="16"/>
      <c r="E13" s="18" t="s">
        <v>2308</v>
      </c>
      <c r="F13" s="16"/>
      <c r="G13" s="18" t="s">
        <v>5</v>
      </c>
      <c r="H13" s="16"/>
      <c r="I13" s="18" t="s">
        <v>3018</v>
      </c>
      <c r="J13" s="16"/>
      <c r="K13" s="18" t="s">
        <v>3772</v>
      </c>
      <c r="L13" s="16"/>
      <c r="M13" s="18" t="s">
        <v>2308</v>
      </c>
      <c r="N13" s="16"/>
      <c r="O13" s="18" t="s">
        <v>5183</v>
      </c>
      <c r="P13" s="16"/>
      <c r="Q13" s="18" t="s">
        <v>5928</v>
      </c>
      <c r="R13" s="16"/>
      <c r="S13" s="18"/>
      <c r="T13" s="20"/>
    </row>
    <row r="14" spans="1:20" ht="15.95" customHeight="1" x14ac:dyDescent="0.25">
      <c r="A14" s="18" t="s">
        <v>289</v>
      </c>
      <c r="B14" s="16"/>
      <c r="C14" s="18" t="s">
        <v>1742</v>
      </c>
      <c r="D14" s="16"/>
      <c r="E14" s="18" t="s">
        <v>2461</v>
      </c>
      <c r="F14" s="16"/>
      <c r="G14" s="18" t="s">
        <v>1010</v>
      </c>
      <c r="H14" s="16"/>
      <c r="I14" s="18" t="s">
        <v>3179</v>
      </c>
      <c r="J14" s="16"/>
      <c r="K14" s="18" t="s">
        <v>3926</v>
      </c>
      <c r="L14" s="16"/>
      <c r="M14" s="18" t="s">
        <v>4655</v>
      </c>
      <c r="N14" s="16"/>
      <c r="O14" s="18" t="s">
        <v>5340</v>
      </c>
      <c r="P14" s="16"/>
      <c r="Q14" s="18" t="s">
        <v>6071</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292</v>
      </c>
      <c r="B16" s="16"/>
      <c r="C16" s="18" t="s">
        <v>1743</v>
      </c>
      <c r="D16" s="16"/>
      <c r="E16" s="18" t="s">
        <v>2462</v>
      </c>
      <c r="F16" s="16"/>
      <c r="G16" s="18" t="s">
        <v>1011</v>
      </c>
      <c r="H16" s="16"/>
      <c r="I16" s="18" t="s">
        <v>3180</v>
      </c>
      <c r="J16" s="16"/>
      <c r="K16" s="18" t="s">
        <v>3927</v>
      </c>
      <c r="L16" s="16"/>
      <c r="M16" s="18" t="s">
        <v>4656</v>
      </c>
      <c r="N16" s="16"/>
      <c r="O16" s="18" t="s">
        <v>5341</v>
      </c>
      <c r="P16" s="16"/>
      <c r="Q16" s="18" t="s">
        <v>6072</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473</v>
      </c>
      <c r="B18" s="16"/>
      <c r="C18" s="18" t="s">
        <v>1744</v>
      </c>
      <c r="D18" s="16"/>
      <c r="E18" s="18" t="s">
        <v>2463</v>
      </c>
      <c r="F18" s="16"/>
      <c r="G18" s="18" t="s">
        <v>1012</v>
      </c>
      <c r="H18" s="16"/>
      <c r="I18" s="18" t="s">
        <v>3181</v>
      </c>
      <c r="J18" s="16"/>
      <c r="K18" s="18" t="s">
        <v>3928</v>
      </c>
      <c r="L18" s="16"/>
      <c r="M18" s="18" t="s">
        <v>4657</v>
      </c>
      <c r="N18" s="16"/>
      <c r="O18" s="18" t="s">
        <v>5342</v>
      </c>
      <c r="P18" s="16"/>
      <c r="Q18" s="18" t="s">
        <v>6073</v>
      </c>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97" priority="2" stopIfTrue="1">
      <formula>NOT(ISERROR(A3))</formula>
    </cfRule>
  </conditionalFormatting>
  <conditionalFormatting sqref="A3:T51">
    <cfRule type="containsErrors" dxfId="396" priority="1" stopIfTrue="1">
      <formula>ISERROR(A3)</formula>
    </cfRule>
    <cfRule type="notContainsBlanks" dxfId="395" priority="3">
      <formula>LEN(TRIM(A3))&gt;0</formula>
    </cfRule>
  </conditionalFormatting>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C2E452-3067-45A4-9CE4-A27E93A768D3}">
  <sheetPr codeName="Sheet22"/>
  <dimension ref="A1:T51"/>
  <sheetViews>
    <sheetView workbookViewId="0">
      <selection activeCell="Q3" sqref="Q3:Q1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8" t="s">
        <v>84</v>
      </c>
    </row>
    <row r="3" spans="1:20" ht="15.95" customHeight="1" x14ac:dyDescent="0.25">
      <c r="A3" s="16" t="s">
        <v>640</v>
      </c>
      <c r="B3" s="16" t="str">
        <f>TRIM(_xlfn.TEXTBEFORE(A3, ":"))</f>
        <v>Item Class</v>
      </c>
      <c r="C3" s="17" t="s">
        <v>1745</v>
      </c>
      <c r="D3" s="16" t="str">
        <f>TRIM(_xlfn.TEXTBEFORE(C3, ":"))</f>
        <v>Gegenstandsklasse</v>
      </c>
      <c r="E3" s="17" t="s">
        <v>2464</v>
      </c>
      <c r="F3" s="16" t="str">
        <f>TRIM(_xlfn.TEXTBEFORE(E3, ":"))</f>
        <v>Clase de objeto</v>
      </c>
      <c r="G3" s="17" t="s">
        <v>1013</v>
      </c>
      <c r="H3" s="16" t="str">
        <f>TRIM(_xlfn.TEXTBEFORE(G3, ":"))</f>
        <v>Classe d'objet</v>
      </c>
      <c r="I3" s="17" t="s">
        <v>3182</v>
      </c>
      <c r="J3" s="16" t="str">
        <f>TRIM(_xlfn.TEXTBEFORE(I3, ":"))</f>
        <v>アイテムクラス</v>
      </c>
      <c r="K3" s="17" t="s">
        <v>3929</v>
      </c>
      <c r="L3" s="16" t="str">
        <f>TRIM(_xlfn.TEXTBEFORE(K3, ":"))</f>
        <v>아이템 종류</v>
      </c>
      <c r="M3" s="17" t="s">
        <v>4658</v>
      </c>
      <c r="N3" s="16" t="str">
        <f>TRIM(_xlfn.TEXTBEFORE(M3, ":"))</f>
        <v>Classe do Item</v>
      </c>
      <c r="O3" s="17" t="s">
        <v>5343</v>
      </c>
      <c r="P3" s="16" t="str">
        <f>TRIM(_xlfn.TEXTBEFORE(O3, ":"))</f>
        <v>Класс предмета</v>
      </c>
      <c r="Q3" s="17" t="s">
        <v>6074</v>
      </c>
      <c r="R3" s="16" t="str">
        <f>TRIM(_xlfn.TEXTBEFORE(Q3, ":"))</f>
        <v>ชนิดไอเทม</v>
      </c>
      <c r="S3" s="17"/>
      <c r="T3" s="20" t="e">
        <f>TRIM(_xlfn.TEXTBEFORE(S3, ":"))</f>
        <v>#N/A</v>
      </c>
    </row>
    <row r="4" spans="1:20" ht="15.95" customHeight="1" x14ac:dyDescent="0.25">
      <c r="A4" s="18" t="s">
        <v>496</v>
      </c>
      <c r="B4" s="16" t="str">
        <f>TRIM(_xlfn.TEXTAFTER(A3, ":"))</f>
        <v>Mana Flasks</v>
      </c>
      <c r="C4" s="18" t="s">
        <v>1652</v>
      </c>
      <c r="D4" s="16" t="str">
        <f>TRIM(_xlfn.TEXTAFTER(C3, ":"))</f>
        <v>Manafläschchen</v>
      </c>
      <c r="E4" s="18" t="s">
        <v>2372</v>
      </c>
      <c r="F4" s="16" t="str">
        <f>TRIM(_xlfn.TEXTAFTER(E3, ":"))</f>
        <v>Frascos de maná</v>
      </c>
      <c r="G4" s="18" t="s">
        <v>919</v>
      </c>
      <c r="H4" s="16" t="str">
        <f>TRIM(_xlfn.TEXTAFTER(G3, ":"))</f>
        <v>Flacons de Mana</v>
      </c>
      <c r="I4" s="18" t="s">
        <v>3087</v>
      </c>
      <c r="J4" s="16" t="str">
        <f>TRIM(_xlfn.TEXTAFTER(I3, ":"))</f>
        <v>マナフラスコ</v>
      </c>
      <c r="K4" s="18" t="s">
        <v>3837</v>
      </c>
      <c r="L4" s="16" t="str">
        <f>TRIM(_xlfn.TEXTAFTER(K3, ":"))</f>
        <v>마나 플라스크</v>
      </c>
      <c r="M4" s="18" t="s">
        <v>4566</v>
      </c>
      <c r="N4" s="16" t="str">
        <f>TRIM(_xlfn.TEXTAFTER(M3, ":"))</f>
        <v>Frascos de Mana</v>
      </c>
      <c r="O4" s="18" t="s">
        <v>5249</v>
      </c>
      <c r="P4" s="16" t="str">
        <f>TRIM(_xlfn.TEXTAFTER(O3, ":"))</f>
        <v>Флаконы маны</v>
      </c>
      <c r="Q4" s="18" t="s">
        <v>5986</v>
      </c>
      <c r="R4" s="16" t="str">
        <f>TRIM(_xlfn.TEXTAFTER(Q3, ":"))</f>
        <v>ขวดยามานา</v>
      </c>
      <c r="S4" s="18"/>
      <c r="T4" s="20" t="e">
        <f>TRIM(_xlfn.TEXTAFTER(S3, ":"))</f>
        <v>#N/A</v>
      </c>
    </row>
    <row r="5" spans="1:20" ht="15.95" customHeight="1" x14ac:dyDescent="0.25">
      <c r="A5" s="18" t="s">
        <v>641</v>
      </c>
      <c r="B5" s="16" t="str">
        <f>TRIM(_xlfn.TEXTBEFORE(A4, ":"))</f>
        <v>Rarity</v>
      </c>
      <c r="C5" s="18" t="s">
        <v>1746</v>
      </c>
      <c r="D5" s="16" t="str">
        <f>TRIM(_xlfn.TEXTBEFORE(C4, ":"))</f>
        <v>Seltenheit</v>
      </c>
      <c r="E5" s="18" t="s">
        <v>2465</v>
      </c>
      <c r="F5" s="16" t="str">
        <f>TRIM(_xlfn.TEXTBEFORE(E4, ":"))</f>
        <v>Rareza</v>
      </c>
      <c r="G5" s="18" t="s">
        <v>1014</v>
      </c>
      <c r="H5" s="16" t="str">
        <f>TRIM(_xlfn.TEXTBEFORE(G4, ":"))</f>
        <v>Rareté</v>
      </c>
      <c r="I5" s="18" t="s">
        <v>3183</v>
      </c>
      <c r="J5" s="16" t="str">
        <f>TRIM(_xlfn.TEXTBEFORE(I4, ":"))</f>
        <v>レアリティ</v>
      </c>
      <c r="K5" s="18" t="s">
        <v>3930</v>
      </c>
      <c r="L5" s="16" t="str">
        <f>TRIM(_xlfn.TEXTBEFORE(K4, ":"))</f>
        <v>아이템 희귀도</v>
      </c>
      <c r="M5" s="18" t="s">
        <v>4659</v>
      </c>
      <c r="N5" s="16" t="str">
        <f>TRIM(_xlfn.TEXTBEFORE(M4, ":"))</f>
        <v>Raridade</v>
      </c>
      <c r="O5" s="18" t="s">
        <v>5344</v>
      </c>
      <c r="P5" s="16" t="str">
        <f>TRIM(_xlfn.TEXTBEFORE(O4, ":"))</f>
        <v>Редкость</v>
      </c>
      <c r="Q5" s="18" t="s">
        <v>641</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642</v>
      </c>
      <c r="B7" s="16"/>
      <c r="C7" s="18" t="s">
        <v>1747</v>
      </c>
      <c r="D7" s="16"/>
      <c r="E7" s="18" t="s">
        <v>2466</v>
      </c>
      <c r="F7" s="16"/>
      <c r="G7" s="18" t="s">
        <v>1015</v>
      </c>
      <c r="H7" s="16"/>
      <c r="I7" s="18" t="s">
        <v>3184</v>
      </c>
      <c r="J7" s="16"/>
      <c r="K7" s="18" t="s">
        <v>3931</v>
      </c>
      <c r="L7" s="16"/>
      <c r="M7" s="18" t="s">
        <v>4660</v>
      </c>
      <c r="N7" s="16"/>
      <c r="O7" s="18" t="s">
        <v>5345</v>
      </c>
      <c r="P7" s="16"/>
      <c r="Q7" s="18" t="s">
        <v>6075</v>
      </c>
      <c r="R7" s="16"/>
      <c r="S7" s="18"/>
      <c r="T7" s="20"/>
    </row>
    <row r="8" spans="1:20" ht="15.95" customHeight="1" x14ac:dyDescent="0.25">
      <c r="A8" s="18" t="s">
        <v>643</v>
      </c>
      <c r="B8" s="16"/>
      <c r="C8" s="18" t="s">
        <v>1748</v>
      </c>
      <c r="D8" s="16"/>
      <c r="E8" s="18" t="s">
        <v>2467</v>
      </c>
      <c r="F8" s="16"/>
      <c r="G8" s="18" t="s">
        <v>1016</v>
      </c>
      <c r="H8" s="16"/>
      <c r="I8" s="18" t="s">
        <v>3185</v>
      </c>
      <c r="J8" s="16"/>
      <c r="K8" s="18" t="s">
        <v>3932</v>
      </c>
      <c r="L8" s="16"/>
      <c r="M8" s="18" t="s">
        <v>4661</v>
      </c>
      <c r="N8" s="16"/>
      <c r="O8" s="18" t="s">
        <v>5346</v>
      </c>
      <c r="P8" s="16"/>
      <c r="Q8" s="18" t="s">
        <v>6076</v>
      </c>
      <c r="R8" s="16"/>
      <c r="S8" s="18"/>
      <c r="T8" s="20"/>
    </row>
    <row r="9" spans="1:20" ht="15.95" customHeight="1" x14ac:dyDescent="0.25">
      <c r="A9" s="18" t="s">
        <v>644</v>
      </c>
      <c r="B9" s="16"/>
      <c r="C9" s="18" t="s">
        <v>1749</v>
      </c>
      <c r="D9" s="16"/>
      <c r="E9" s="18" t="s">
        <v>2468</v>
      </c>
      <c r="F9" s="16"/>
      <c r="G9" s="18" t="s">
        <v>1017</v>
      </c>
      <c r="H9" s="16"/>
      <c r="I9" s="18" t="s">
        <v>3186</v>
      </c>
      <c r="J9" s="16"/>
      <c r="K9" s="18" t="s">
        <v>3933</v>
      </c>
      <c r="L9" s="16"/>
      <c r="M9" s="18" t="s">
        <v>4662</v>
      </c>
      <c r="N9" s="16"/>
      <c r="O9" s="18" t="s">
        <v>5347</v>
      </c>
      <c r="P9" s="16"/>
      <c r="Q9" s="18" t="s">
        <v>6077</v>
      </c>
      <c r="R9" s="16"/>
      <c r="S9" s="18"/>
      <c r="T9" s="20"/>
    </row>
    <row r="10" spans="1:20" ht="15.95" customHeight="1" x14ac:dyDescent="0.25">
      <c r="A10" s="18" t="s">
        <v>472</v>
      </c>
      <c r="B10" s="16"/>
      <c r="C10" s="18" t="s">
        <v>1741</v>
      </c>
      <c r="D10" s="16"/>
      <c r="E10" s="18" t="s">
        <v>2460</v>
      </c>
      <c r="F10" s="16"/>
      <c r="G10" s="18" t="s">
        <v>1009</v>
      </c>
      <c r="H10" s="16"/>
      <c r="I10" s="18" t="s">
        <v>3178</v>
      </c>
      <c r="J10" s="16"/>
      <c r="K10" s="18" t="s">
        <v>3925</v>
      </c>
      <c r="L10" s="16"/>
      <c r="M10" s="18" t="s">
        <v>4654</v>
      </c>
      <c r="N10" s="16"/>
      <c r="O10" s="18" t="s">
        <v>5339</v>
      </c>
      <c r="P10" s="16"/>
      <c r="Q10" s="18" t="s">
        <v>6070</v>
      </c>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5.95" customHeight="1" x14ac:dyDescent="0.25">
      <c r="A12" s="18" t="s">
        <v>81</v>
      </c>
      <c r="B12" s="16"/>
      <c r="C12" s="18" t="s">
        <v>1589</v>
      </c>
      <c r="D12" s="16"/>
      <c r="E12" s="18" t="s">
        <v>2308</v>
      </c>
      <c r="F12" s="16"/>
      <c r="G12" s="18" t="s">
        <v>5</v>
      </c>
      <c r="H12" s="16"/>
      <c r="I12" s="18" t="s">
        <v>3018</v>
      </c>
      <c r="J12" s="16"/>
      <c r="K12" s="18" t="s">
        <v>3772</v>
      </c>
      <c r="L12" s="16"/>
      <c r="M12" s="18" t="s">
        <v>2308</v>
      </c>
      <c r="N12" s="16"/>
      <c r="O12" s="18" t="s">
        <v>5183</v>
      </c>
      <c r="P12" s="16"/>
      <c r="Q12" s="18" t="s">
        <v>5928</v>
      </c>
      <c r="R12" s="16"/>
      <c r="S12" s="18"/>
      <c r="T12" s="20"/>
    </row>
    <row r="13" spans="1:20" ht="15.95" customHeight="1" x14ac:dyDescent="0.25">
      <c r="A13" s="18" t="s">
        <v>638</v>
      </c>
      <c r="B13" s="16"/>
      <c r="C13" s="18" t="s">
        <v>1750</v>
      </c>
      <c r="D13" s="16"/>
      <c r="E13" s="18" t="s">
        <v>2469</v>
      </c>
      <c r="F13" s="16"/>
      <c r="G13" s="18" t="s">
        <v>1018</v>
      </c>
      <c r="H13" s="16"/>
      <c r="I13" s="18" t="s">
        <v>3187</v>
      </c>
      <c r="J13" s="16"/>
      <c r="K13" s="18" t="s">
        <v>3934</v>
      </c>
      <c r="L13" s="16"/>
      <c r="M13" s="18" t="s">
        <v>4663</v>
      </c>
      <c r="N13" s="16"/>
      <c r="O13" s="18" t="s">
        <v>5348</v>
      </c>
      <c r="P13" s="16"/>
      <c r="Q13" s="18" t="s">
        <v>6078</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231</v>
      </c>
      <c r="B15" s="16"/>
      <c r="C15" s="18" t="s">
        <v>1751</v>
      </c>
      <c r="D15" s="16"/>
      <c r="E15" s="18" t="s">
        <v>2470</v>
      </c>
      <c r="F15" s="16"/>
      <c r="G15" s="18" t="s">
        <v>1019</v>
      </c>
      <c r="H15" s="16"/>
      <c r="I15" s="18" t="s">
        <v>3188</v>
      </c>
      <c r="J15" s="16"/>
      <c r="K15" s="18" t="s">
        <v>3935</v>
      </c>
      <c r="L15" s="16"/>
      <c r="M15" s="18" t="s">
        <v>4664</v>
      </c>
      <c r="N15" s="16"/>
      <c r="O15" s="18" t="s">
        <v>5349</v>
      </c>
      <c r="P15" s="16"/>
      <c r="Q15" s="18" t="s">
        <v>6079</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473</v>
      </c>
      <c r="B17" s="16"/>
      <c r="C17" s="18" t="s">
        <v>1744</v>
      </c>
      <c r="D17" s="16"/>
      <c r="E17" s="18" t="s">
        <v>2463</v>
      </c>
      <c r="F17" s="16"/>
      <c r="G17" s="18" t="s">
        <v>1012</v>
      </c>
      <c r="H17" s="16"/>
      <c r="I17" s="18" t="s">
        <v>3181</v>
      </c>
      <c r="J17" s="16"/>
      <c r="K17" s="18" t="s">
        <v>3928</v>
      </c>
      <c r="L17" s="16"/>
      <c r="M17" s="18" t="s">
        <v>4657</v>
      </c>
      <c r="N17" s="16"/>
      <c r="O17" s="18" t="s">
        <v>5342</v>
      </c>
      <c r="P17" s="16"/>
      <c r="Q17" s="18" t="s">
        <v>6073</v>
      </c>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94" priority="2" stopIfTrue="1">
      <formula>NOT(ISERROR(A3))</formula>
    </cfRule>
  </conditionalFormatting>
  <conditionalFormatting sqref="A3:T51">
    <cfRule type="containsErrors" dxfId="393" priority="1" stopIfTrue="1">
      <formula>ISERROR(A3)</formula>
    </cfRule>
    <cfRule type="notContainsBlanks" dxfId="392" priority="3">
      <formula>LEN(TRIM(A3))&gt;0</formula>
    </cfRule>
  </conditionalFormatting>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427096-134D-47E9-938C-FF7F57C6FE17}">
  <sheetPr codeName="Sheet23"/>
  <dimension ref="A1:T51"/>
  <sheetViews>
    <sheetView workbookViewId="0">
      <selection activeCell="Q3" sqref="Q3:Q17"/>
    </sheetView>
  </sheetViews>
  <sheetFormatPr defaultRowHeight="15" x14ac:dyDescent="0.25"/>
  <cols>
    <col min="1" max="1" width="44.7109375" customWidth="1"/>
    <col min="2" max="2" width="13.85546875" customWidth="1"/>
    <col min="16" max="16" width="28.28515625" customWidth="1"/>
  </cols>
  <sheetData>
    <row r="1" spans="1:20" x14ac:dyDescent="0.25">
      <c r="A1" s="24"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8" t="s">
        <v>84</v>
      </c>
    </row>
    <row r="3" spans="1:20" ht="15.95" customHeight="1" x14ac:dyDescent="0.25">
      <c r="A3" s="17" t="s">
        <v>633</v>
      </c>
      <c r="B3" s="16" t="str">
        <f>TRIM(_xlfn.TEXTBEFORE(A3, ":"))</f>
        <v>Item Class</v>
      </c>
      <c r="C3" s="17" t="s">
        <v>1752</v>
      </c>
      <c r="D3" s="16" t="str">
        <f>TRIM(_xlfn.TEXTBEFORE(C3, ":"))</f>
        <v>Gegenstandsklasse</v>
      </c>
      <c r="E3" s="17" t="s">
        <v>2471</v>
      </c>
      <c r="F3" s="16" t="str">
        <f>TRIM(_xlfn.TEXTBEFORE(E3, ":"))</f>
        <v>Clase de objeto</v>
      </c>
      <c r="G3" s="17" t="s">
        <v>1020</v>
      </c>
      <c r="H3" s="16" t="str">
        <f>TRIM(_xlfn.TEXTBEFORE(G3, ":"))</f>
        <v>Classe d'objet</v>
      </c>
      <c r="I3" s="17" t="s">
        <v>3189</v>
      </c>
      <c r="J3" s="16" t="str">
        <f>TRIM(_xlfn.TEXTBEFORE(I3, ":"))</f>
        <v>アイテムクラス</v>
      </c>
      <c r="K3" s="17" t="s">
        <v>3936</v>
      </c>
      <c r="L3" s="16" t="str">
        <f>TRIM(_xlfn.TEXTBEFORE(K3, ":"))</f>
        <v>아이템 종류</v>
      </c>
      <c r="M3" s="17" t="s">
        <v>4665</v>
      </c>
      <c r="N3" s="16" t="str">
        <f>TRIM(_xlfn.TEXTBEFORE(M3, ":"))</f>
        <v>Classe do Item</v>
      </c>
      <c r="O3" s="17" t="s">
        <v>5350</v>
      </c>
      <c r="P3" s="16" t="str">
        <f>TRIM(_xlfn.TEXTBEFORE(O3, ":"))</f>
        <v>Класс предмета</v>
      </c>
      <c r="Q3" s="17" t="s">
        <v>6080</v>
      </c>
      <c r="R3" s="16" t="str">
        <f>TRIM(_xlfn.TEXTBEFORE(Q3, ":"))</f>
        <v>ชนิดไอเทม</v>
      </c>
      <c r="S3" s="17"/>
      <c r="T3" s="20" t="e">
        <f>TRIM(_xlfn.TEXTBEFORE(S3, ":"))</f>
        <v>#N/A</v>
      </c>
    </row>
    <row r="4" spans="1:20" ht="15.95" customHeight="1" x14ac:dyDescent="0.25">
      <c r="A4" s="18" t="s">
        <v>496</v>
      </c>
      <c r="B4" s="16" t="str">
        <f>TRIM(_xlfn.TEXTAFTER(A3, ":"))</f>
        <v>Life Flasks</v>
      </c>
      <c r="C4" s="18" t="s">
        <v>1652</v>
      </c>
      <c r="D4" s="16" t="str">
        <f>TRIM(_xlfn.TEXTAFTER(C3, ":"))</f>
        <v>Lebensfläschchen</v>
      </c>
      <c r="E4" s="18" t="s">
        <v>2372</v>
      </c>
      <c r="F4" s="16" t="str">
        <f>TRIM(_xlfn.TEXTAFTER(E3, ":"))</f>
        <v>Frascos de vida</v>
      </c>
      <c r="G4" s="18" t="s">
        <v>919</v>
      </c>
      <c r="H4" s="16" t="str">
        <f>TRIM(_xlfn.TEXTAFTER(G3, ":"))</f>
        <v>Flacons de Vie</v>
      </c>
      <c r="I4" s="18" t="s">
        <v>3087</v>
      </c>
      <c r="J4" s="16" t="str">
        <f>TRIM(_xlfn.TEXTAFTER(I3, ":"))</f>
        <v>ライフフラスコ</v>
      </c>
      <c r="K4" s="18" t="s">
        <v>3837</v>
      </c>
      <c r="L4" s="16" t="str">
        <f>TRIM(_xlfn.TEXTAFTER(K3, ":"))</f>
        <v>생명력 플라스크</v>
      </c>
      <c r="M4" s="18" t="s">
        <v>4566</v>
      </c>
      <c r="N4" s="16" t="str">
        <f>TRIM(_xlfn.TEXTAFTER(M3, ":"))</f>
        <v>Frascos de Vida</v>
      </c>
      <c r="O4" s="18" t="s">
        <v>5249</v>
      </c>
      <c r="P4" s="16" t="str">
        <f>TRIM(_xlfn.TEXTAFTER(O3, ":"))</f>
        <v>Флаконы жизни</v>
      </c>
      <c r="Q4" s="18" t="s">
        <v>5986</v>
      </c>
      <c r="R4" s="16" t="str">
        <f>TRIM(_xlfn.TEXTAFTER(Q3, ":"))</f>
        <v>ขวดยาพลังชีวิต</v>
      </c>
      <c r="S4" s="18"/>
      <c r="T4" s="20" t="e">
        <f>TRIM(_xlfn.TEXTAFTER(S3, ":"))</f>
        <v>#N/A</v>
      </c>
    </row>
    <row r="5" spans="1:20" ht="15.95" customHeight="1" x14ac:dyDescent="0.25">
      <c r="A5" s="18" t="s">
        <v>634</v>
      </c>
      <c r="B5" s="16" t="str">
        <f>TRIM(_xlfn.TEXTBEFORE(A4, ":"))</f>
        <v>Rarity</v>
      </c>
      <c r="C5" s="18" t="s">
        <v>1753</v>
      </c>
      <c r="D5" s="16" t="str">
        <f>TRIM(_xlfn.TEXTBEFORE(C4, ":"))</f>
        <v>Seltenheit</v>
      </c>
      <c r="E5" s="18" t="s">
        <v>2472</v>
      </c>
      <c r="F5" s="16" t="str">
        <f>TRIM(_xlfn.TEXTBEFORE(E4, ":"))</f>
        <v>Rareza</v>
      </c>
      <c r="G5" s="18" t="s">
        <v>1021</v>
      </c>
      <c r="H5" s="16" t="str">
        <f>TRIM(_xlfn.TEXTBEFORE(G4, ":"))</f>
        <v>Rareté</v>
      </c>
      <c r="I5" s="18" t="s">
        <v>3190</v>
      </c>
      <c r="J5" s="16" t="str">
        <f>TRIM(_xlfn.TEXTBEFORE(I4, ":"))</f>
        <v>レアリティ</v>
      </c>
      <c r="K5" s="18" t="s">
        <v>3937</v>
      </c>
      <c r="L5" s="16" t="str">
        <f>TRIM(_xlfn.TEXTBEFORE(K4, ":"))</f>
        <v>아이템 희귀도</v>
      </c>
      <c r="M5" s="18" t="s">
        <v>4666</v>
      </c>
      <c r="N5" s="16" t="str">
        <f>TRIM(_xlfn.TEXTBEFORE(M4, ":"))</f>
        <v>Raridade</v>
      </c>
      <c r="O5" s="18" t="s">
        <v>5351</v>
      </c>
      <c r="P5" s="16" t="str">
        <f>TRIM(_xlfn.TEXTBEFORE(O4, ":"))</f>
        <v>Редкость</v>
      </c>
      <c r="Q5" s="18" t="s">
        <v>634</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635</v>
      </c>
      <c r="B7" s="16" t="str">
        <f>TRIM(_xlfn.TEXTBEFORE(A5, " "))</f>
        <v>Superior</v>
      </c>
      <c r="C7" s="18" t="s">
        <v>1754</v>
      </c>
      <c r="D7" s="16" t="str">
        <f>TRIM(_xlfn.TEXTAFTER(C5, " ",-1 ))</f>
        <v>(hochwertig)</v>
      </c>
      <c r="E7" s="18" t="s">
        <v>2473</v>
      </c>
      <c r="F7" s="16" t="str">
        <f>TRIM(_xlfn.TEXTAFTER(E5, " ", -1))</f>
        <v>Superior</v>
      </c>
      <c r="G7" s="18" t="s">
        <v>1022</v>
      </c>
      <c r="H7" s="16" t="str">
        <f>TRIM(_xlfn.TEXTAFTER(G5, " ", -1))</f>
        <v>supérieur</v>
      </c>
      <c r="I7" s="18" t="s">
        <v>3191</v>
      </c>
      <c r="J7" s="16" t="s">
        <v>3195</v>
      </c>
      <c r="K7" s="18" t="s">
        <v>3938</v>
      </c>
      <c r="L7" s="16" t="s">
        <v>4488</v>
      </c>
      <c r="M7" s="18" t="s">
        <v>4667</v>
      </c>
      <c r="N7" s="16" t="str">
        <f>TRIM(_xlfn.TEXTAFTER(M5, " ", -1))</f>
        <v>Superior</v>
      </c>
      <c r="O7" s="18" t="s">
        <v>5352</v>
      </c>
      <c r="P7" s="16" t="str">
        <f>TRIM(_xlfn.TEXTAFTER(O5, " ", -2))</f>
        <v>высокого качества</v>
      </c>
      <c r="Q7" s="18" t="s">
        <v>6081</v>
      </c>
      <c r="R7" s="16" t="str">
        <f>TRIM(_xlfn.TEXTBEFORE(Q5, " "))</f>
        <v>Superior</v>
      </c>
      <c r="S7" s="18"/>
      <c r="T7" s="16" t="e">
        <f>TRIM(_xlfn.TEXTBEFORE(S5, " "))</f>
        <v>#N/A</v>
      </c>
    </row>
    <row r="8" spans="1:20" ht="15.95" customHeight="1" x14ac:dyDescent="0.25">
      <c r="A8" s="18" t="s">
        <v>636</v>
      </c>
      <c r="B8" s="16" t="str">
        <f>TRIM(_xlfn.TEXTBEFORE(A7, ":"))</f>
        <v>Quality</v>
      </c>
      <c r="C8" s="18" t="s">
        <v>1755</v>
      </c>
      <c r="D8" s="16" t="str">
        <f>TRIM(_xlfn.TEXTBEFORE(C7, ":"))</f>
        <v>Qualität</v>
      </c>
      <c r="E8" s="18" t="s">
        <v>2474</v>
      </c>
      <c r="F8" s="16" t="str">
        <f>TRIM(_xlfn.TEXTBEFORE(E7, ":"))</f>
        <v>Calidad</v>
      </c>
      <c r="G8" s="18" t="s">
        <v>1023</v>
      </c>
      <c r="H8" s="16" t="str">
        <f>TRIM(_xlfn.TEXTBEFORE(G7, ":"))</f>
        <v>Qualité</v>
      </c>
      <c r="I8" s="18" t="s">
        <v>3192</v>
      </c>
      <c r="J8" s="16" t="str">
        <f>TRIM(_xlfn.TEXTBEFORE(I7, ":"))</f>
        <v>品質</v>
      </c>
      <c r="K8" s="18" t="s">
        <v>3939</v>
      </c>
      <c r="L8" s="16" t="str">
        <f>TRIM(_xlfn.TEXTBEFORE(K7, ":"))</f>
        <v>퀄리티</v>
      </c>
      <c r="M8" s="18" t="s">
        <v>4668</v>
      </c>
      <c r="N8" s="16" t="str">
        <f>TRIM(_xlfn.TEXTBEFORE(M7, ":"))</f>
        <v>Qualidade</v>
      </c>
      <c r="O8" s="18" t="s">
        <v>5353</v>
      </c>
      <c r="P8" s="16" t="str">
        <f>TRIM(_xlfn.TEXTBEFORE(O7, ":"))</f>
        <v>Качество</v>
      </c>
      <c r="Q8" s="18" t="s">
        <v>6082</v>
      </c>
      <c r="R8" s="16" t="str">
        <f>TRIM(_xlfn.TEXTBEFORE(Q7, ":"))</f>
        <v>ค่าคุณภาพ</v>
      </c>
      <c r="S8" s="18"/>
      <c r="T8" s="16" t="e">
        <f>TRIM(_xlfn.TEXTBEFORE(S7, ":"))</f>
        <v>#N/A</v>
      </c>
    </row>
    <row r="9" spans="1:20" ht="15.95" customHeight="1" x14ac:dyDescent="0.25">
      <c r="A9" s="18" t="s">
        <v>637</v>
      </c>
      <c r="B9" s="16"/>
      <c r="C9" s="18" t="s">
        <v>1756</v>
      </c>
      <c r="D9" s="16"/>
      <c r="E9" s="18" t="s">
        <v>2475</v>
      </c>
      <c r="F9" s="16"/>
      <c r="G9" s="18" t="s">
        <v>1024</v>
      </c>
      <c r="H9" s="16"/>
      <c r="I9" s="18" t="s">
        <v>3193</v>
      </c>
      <c r="J9" s="16"/>
      <c r="K9" s="18" t="s">
        <v>3940</v>
      </c>
      <c r="L9" s="16"/>
      <c r="M9" s="18" t="s">
        <v>4669</v>
      </c>
      <c r="N9" s="16"/>
      <c r="O9" s="18" t="s">
        <v>5354</v>
      </c>
      <c r="P9" s="16"/>
      <c r="Q9" s="18" t="s">
        <v>6083</v>
      </c>
      <c r="R9" s="16"/>
      <c r="S9" s="18"/>
      <c r="T9" s="20"/>
    </row>
    <row r="10" spans="1:20" ht="15.95" customHeight="1" x14ac:dyDescent="0.25">
      <c r="A10" s="18" t="s">
        <v>472</v>
      </c>
      <c r="B10" s="16"/>
      <c r="C10" s="18" t="s">
        <v>1741</v>
      </c>
      <c r="D10" s="16"/>
      <c r="E10" s="18" t="s">
        <v>2460</v>
      </c>
      <c r="F10" s="16"/>
      <c r="G10" s="18" t="s">
        <v>1009</v>
      </c>
      <c r="H10" s="16"/>
      <c r="I10" s="18" t="s">
        <v>3178</v>
      </c>
      <c r="J10" s="16"/>
      <c r="K10" s="18" t="s">
        <v>3925</v>
      </c>
      <c r="L10" s="16"/>
      <c r="M10" s="18" t="s">
        <v>4654</v>
      </c>
      <c r="N10" s="16"/>
      <c r="O10" s="18" t="s">
        <v>5339</v>
      </c>
      <c r="P10" s="16"/>
      <c r="Q10" s="18" t="s">
        <v>6070</v>
      </c>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5.95" customHeight="1" x14ac:dyDescent="0.25">
      <c r="A12" s="18" t="s">
        <v>81</v>
      </c>
      <c r="B12" s="16"/>
      <c r="C12" s="18" t="s">
        <v>1589</v>
      </c>
      <c r="D12" s="16"/>
      <c r="E12" s="18" t="s">
        <v>2308</v>
      </c>
      <c r="F12" s="16"/>
      <c r="G12" s="18" t="s">
        <v>5</v>
      </c>
      <c r="H12" s="16"/>
      <c r="I12" s="18" t="s">
        <v>3018</v>
      </c>
      <c r="J12" s="16"/>
      <c r="K12" s="18" t="s">
        <v>3772</v>
      </c>
      <c r="L12" s="16"/>
      <c r="M12" s="18" t="s">
        <v>2308</v>
      </c>
      <c r="N12" s="16"/>
      <c r="O12" s="18" t="s">
        <v>5183</v>
      </c>
      <c r="P12" s="16"/>
      <c r="Q12" s="18" t="s">
        <v>5928</v>
      </c>
      <c r="R12" s="16"/>
      <c r="S12" s="18"/>
      <c r="T12" s="20"/>
    </row>
    <row r="13" spans="1:20" ht="15.95" customHeight="1" x14ac:dyDescent="0.25">
      <c r="A13" s="18" t="s">
        <v>638</v>
      </c>
      <c r="B13" s="16"/>
      <c r="C13" s="18" t="s">
        <v>1750</v>
      </c>
      <c r="D13" s="16"/>
      <c r="E13" s="18" t="s">
        <v>2469</v>
      </c>
      <c r="F13" s="16"/>
      <c r="G13" s="18" t="s">
        <v>1018</v>
      </c>
      <c r="H13" s="16"/>
      <c r="I13" s="18" t="s">
        <v>3187</v>
      </c>
      <c r="J13" s="16"/>
      <c r="K13" s="18" t="s">
        <v>3934</v>
      </c>
      <c r="L13" s="16"/>
      <c r="M13" s="18" t="s">
        <v>4663</v>
      </c>
      <c r="N13" s="16"/>
      <c r="O13" s="18" t="s">
        <v>5348</v>
      </c>
      <c r="P13" s="16"/>
      <c r="Q13" s="18" t="s">
        <v>6078</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639</v>
      </c>
      <c r="B15" s="16"/>
      <c r="C15" s="18" t="s">
        <v>1757</v>
      </c>
      <c r="D15" s="16"/>
      <c r="E15" s="18" t="s">
        <v>2476</v>
      </c>
      <c r="F15" s="16"/>
      <c r="G15" s="18" t="s">
        <v>1025</v>
      </c>
      <c r="H15" s="16"/>
      <c r="I15" s="18" t="s">
        <v>3194</v>
      </c>
      <c r="J15" s="16"/>
      <c r="K15" s="18" t="s">
        <v>3941</v>
      </c>
      <c r="L15" s="16"/>
      <c r="M15" s="18" t="s">
        <v>4670</v>
      </c>
      <c r="N15" s="16"/>
      <c r="O15" s="18" t="s">
        <v>5355</v>
      </c>
      <c r="P15" s="16"/>
      <c r="Q15" s="18" t="s">
        <v>6084</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473</v>
      </c>
      <c r="B17" s="16"/>
      <c r="C17" s="18" t="s">
        <v>1744</v>
      </c>
      <c r="D17" s="16"/>
      <c r="E17" s="18" t="s">
        <v>2463</v>
      </c>
      <c r="F17" s="16"/>
      <c r="G17" s="18" t="s">
        <v>1012</v>
      </c>
      <c r="H17" s="16"/>
      <c r="I17" s="18" t="s">
        <v>3181</v>
      </c>
      <c r="J17" s="16"/>
      <c r="K17" s="18" t="s">
        <v>3928</v>
      </c>
      <c r="L17" s="16"/>
      <c r="M17" s="18" t="s">
        <v>4657</v>
      </c>
      <c r="N17" s="16"/>
      <c r="O17" s="18" t="s">
        <v>5342</v>
      </c>
      <c r="P17" s="16"/>
      <c r="Q17" s="18" t="s">
        <v>6073</v>
      </c>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91" priority="46" stopIfTrue="1">
      <formula>NOT(ISERROR(A3))</formula>
    </cfRule>
  </conditionalFormatting>
  <conditionalFormatting sqref="A3:T6 A7:A8 C7:C8 E7:E8 G7:G8 I7:I8 K7:K8 M7:M8 O7:O8 Q7:Q8 S7:S8 A9:T51">
    <cfRule type="notContainsBlanks" dxfId="390" priority="47">
      <formula>LEN(TRIM(A3))&gt;0</formula>
    </cfRule>
  </conditionalFormatting>
  <conditionalFormatting sqref="A3:T51">
    <cfRule type="containsErrors" dxfId="389" priority="1" stopIfTrue="1">
      <formula>ISERROR(A3)</formula>
    </cfRule>
  </conditionalFormatting>
  <conditionalFormatting sqref="B7:B8">
    <cfRule type="notContainsBlanks" dxfId="388" priority="44">
      <formula>LEN(TRIM(B7))&gt;0</formula>
    </cfRule>
  </conditionalFormatting>
  <conditionalFormatting sqref="D7:D8">
    <cfRule type="notContainsBlanks" dxfId="387" priority="24">
      <formula>LEN(TRIM(D7))&gt;0</formula>
    </cfRule>
  </conditionalFormatting>
  <conditionalFormatting sqref="F7:F8">
    <cfRule type="notContainsBlanks" dxfId="386" priority="2">
      <formula>LEN(TRIM(F7))&gt;0</formula>
    </cfRule>
  </conditionalFormatting>
  <conditionalFormatting sqref="H7:H8">
    <cfRule type="notContainsBlanks" dxfId="385" priority="6">
      <formula>LEN(TRIM(H7))&gt;0</formula>
    </cfRule>
  </conditionalFormatting>
  <conditionalFormatting sqref="J7:J8">
    <cfRule type="notContainsBlanks" dxfId="384" priority="18">
      <formula>LEN(TRIM(J7))&gt;0</formula>
    </cfRule>
  </conditionalFormatting>
  <conditionalFormatting sqref="L7:L8">
    <cfRule type="notContainsBlanks" dxfId="383" priority="16">
      <formula>LEN(TRIM(L7))&gt;0</formula>
    </cfRule>
  </conditionalFormatting>
  <conditionalFormatting sqref="N7:N8">
    <cfRule type="notContainsBlanks" dxfId="382" priority="14">
      <formula>LEN(TRIM(N7))&gt;0</formula>
    </cfRule>
  </conditionalFormatting>
  <conditionalFormatting sqref="P7:P8">
    <cfRule type="notContainsBlanks" dxfId="381" priority="12">
      <formula>LEN(TRIM(P7))&gt;0</formula>
    </cfRule>
  </conditionalFormatting>
  <conditionalFormatting sqref="R7:R8">
    <cfRule type="notContainsBlanks" dxfId="380" priority="10">
      <formula>LEN(TRIM(R7))&gt;0</formula>
    </cfRule>
  </conditionalFormatting>
  <conditionalFormatting sqref="T7:T8">
    <cfRule type="notContainsBlanks" dxfId="379" priority="8">
      <formula>LEN(TRIM(T7))&gt;0</formula>
    </cfRule>
  </conditionalFormatting>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EF6FDB-8FEE-4B6B-93B4-64C4D4561FB9}">
  <sheetPr codeName="Sheet24"/>
  <dimension ref="A1:T51"/>
  <sheetViews>
    <sheetView workbookViewId="0">
      <selection activeCell="Q3" sqref="Q3:Q21"/>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9" t="s">
        <v>84</v>
      </c>
    </row>
    <row r="3" spans="1:20" ht="15.95" customHeight="1" x14ac:dyDescent="0.25">
      <c r="A3" s="17" t="s">
        <v>469</v>
      </c>
      <c r="B3" s="16" t="str">
        <f>TRIM(_xlfn.TEXTBEFORE(A3, ":"))</f>
        <v>Item Class</v>
      </c>
      <c r="C3" s="17" t="s">
        <v>1758</v>
      </c>
      <c r="D3" s="16" t="str">
        <f>TRIM(_xlfn.TEXTBEFORE(C3, ":"))</f>
        <v>Gegenstandsklasse</v>
      </c>
      <c r="E3" s="17" t="s">
        <v>2477</v>
      </c>
      <c r="F3" s="16" t="str">
        <f>TRIM(_xlfn.TEXTBEFORE(E3, ":"))</f>
        <v>Clase de objeto</v>
      </c>
      <c r="G3" s="17" t="s">
        <v>1026</v>
      </c>
      <c r="H3" s="16" t="str">
        <f>TRIM(_xlfn.TEXTBEFORE(G3, ":"))</f>
        <v>Classe d'objet</v>
      </c>
      <c r="I3" s="17" t="s">
        <v>3196</v>
      </c>
      <c r="J3" s="16" t="str">
        <f>TRIM(_xlfn.TEXTBEFORE(I3, ":"))</f>
        <v>アイテムクラス</v>
      </c>
      <c r="K3" s="17" t="s">
        <v>3942</v>
      </c>
      <c r="L3" s="16" t="str">
        <f>TRIM(_xlfn.TEXTBEFORE(K3, ":"))</f>
        <v>아이템 종류</v>
      </c>
      <c r="M3" s="17" t="s">
        <v>4671</v>
      </c>
      <c r="N3" s="16" t="str">
        <f>TRIM(_xlfn.TEXTBEFORE(M3, ":"))</f>
        <v>Classe do Item</v>
      </c>
      <c r="O3" s="17" t="s">
        <v>5356</v>
      </c>
      <c r="P3" s="16" t="str">
        <f>TRIM(_xlfn.TEXTBEFORE(O3, ":"))</f>
        <v>Класс предмета</v>
      </c>
      <c r="Q3" s="17" t="s">
        <v>6085</v>
      </c>
      <c r="R3" s="16" t="str">
        <f>TRIM(_xlfn.TEXTBEFORE(Q3, ":"))</f>
        <v>ชนิดไอเทม</v>
      </c>
      <c r="S3" s="17"/>
      <c r="T3" s="16" t="e">
        <f>TRIM(_xlfn.TEXTBEFORE(S3, ":"))</f>
        <v>#N/A</v>
      </c>
    </row>
    <row r="4" spans="1:20" ht="15.95" customHeight="1" x14ac:dyDescent="0.25">
      <c r="A4" s="18" t="s">
        <v>470</v>
      </c>
      <c r="B4" s="16" t="str">
        <f>TRIM(_xlfn.TEXTAFTER(A3, ":"))</f>
        <v>Utility Flasks</v>
      </c>
      <c r="C4" s="18" t="s">
        <v>1681</v>
      </c>
      <c r="D4" s="16" t="str">
        <f>TRIM(_xlfn.TEXTAFTER(C3, ":"))</f>
        <v>Hilfsfläschchen</v>
      </c>
      <c r="E4" s="18" t="s">
        <v>2400</v>
      </c>
      <c r="F4" s="16" t="str">
        <f>TRIM(_xlfn.TEXTAFTER(E3, ":"))</f>
        <v>Frascos de utilidad</v>
      </c>
      <c r="G4" s="18" t="s">
        <v>948</v>
      </c>
      <c r="H4" s="16" t="str">
        <f>TRIM(_xlfn.TEXTAFTER(G3, ":"))</f>
        <v>Flacons utilitaires</v>
      </c>
      <c r="I4" s="18" t="s">
        <v>3118</v>
      </c>
      <c r="J4" s="16" t="str">
        <f>TRIM(_xlfn.TEXTAFTER(I3, ":"))</f>
        <v>ユーティリティフラスコ</v>
      </c>
      <c r="K4" s="18" t="s">
        <v>3865</v>
      </c>
      <c r="L4" s="16" t="str">
        <f>TRIM(_xlfn.TEXTAFTER(K3, ":"))</f>
        <v>특수 플라스크</v>
      </c>
      <c r="M4" s="18" t="s">
        <v>4595</v>
      </c>
      <c r="N4" s="16" t="str">
        <f>TRIM(_xlfn.TEXTAFTER(M3, ":"))</f>
        <v>Frascos de Utilidade</v>
      </c>
      <c r="O4" s="18" t="s">
        <v>5278</v>
      </c>
      <c r="P4" s="16" t="str">
        <f>TRIM(_xlfn.TEXTAFTER(O3, ":"))</f>
        <v>Особые флаконы</v>
      </c>
      <c r="Q4" s="18" t="s">
        <v>6012</v>
      </c>
      <c r="R4" s="16" t="str">
        <f>TRIM(_xlfn.TEXTAFTER(Q3, ":"))</f>
        <v>ขวดยาช่วยเหลือ</v>
      </c>
      <c r="S4" s="18"/>
      <c r="T4" s="16" t="e">
        <f>TRIM(_xlfn.TEXTAFTER(S3, ":"))</f>
        <v>#N/A</v>
      </c>
    </row>
    <row r="5" spans="1:20" ht="15.95" customHeight="1" x14ac:dyDescent="0.25">
      <c r="A5" s="18" t="s">
        <v>474</v>
      </c>
      <c r="B5" s="16" t="str">
        <f>TRIM(_xlfn.TEXTBEFORE(A4, ":"))</f>
        <v>Rarity</v>
      </c>
      <c r="C5" s="18" t="s">
        <v>1759</v>
      </c>
      <c r="D5" s="16" t="str">
        <f>TRIM(_xlfn.TEXTBEFORE(C4, ":"))</f>
        <v>Seltenheit</v>
      </c>
      <c r="E5" s="18" t="s">
        <v>2478</v>
      </c>
      <c r="F5" s="16" t="str">
        <f>TRIM(_xlfn.TEXTBEFORE(E4, ":"))</f>
        <v>Rareza</v>
      </c>
      <c r="G5" s="18" t="s">
        <v>1027</v>
      </c>
      <c r="H5" s="16" t="str">
        <f>TRIM(_xlfn.TEXTBEFORE(G4, ":"))</f>
        <v>Rareté</v>
      </c>
      <c r="I5" s="18" t="s">
        <v>3197</v>
      </c>
      <c r="J5" s="16" t="str">
        <f>TRIM(_xlfn.TEXTBEFORE(I4, ":"))</f>
        <v>レアリティ</v>
      </c>
      <c r="K5" s="18" t="s">
        <v>3943</v>
      </c>
      <c r="L5" s="16" t="str">
        <f>TRIM(_xlfn.TEXTBEFORE(K4, ":"))</f>
        <v>아이템 희귀도</v>
      </c>
      <c r="M5" s="18" t="s">
        <v>4672</v>
      </c>
      <c r="N5" s="16" t="str">
        <f>TRIM(_xlfn.TEXTBEFORE(M4, ":"))</f>
        <v>Raridade</v>
      </c>
      <c r="O5" s="18" t="s">
        <v>5357</v>
      </c>
      <c r="P5" s="16" t="str">
        <f>TRIM(_xlfn.TEXTBEFORE(O4, ":"))</f>
        <v>Редкость</v>
      </c>
      <c r="Q5" s="18" t="s">
        <v>474</v>
      </c>
      <c r="R5" s="16" t="str">
        <f>TRIM(_xlfn.TEXTBEFORE(Q4, ":"))</f>
        <v>ความหายาก</v>
      </c>
      <c r="S5" s="18"/>
      <c r="T5" s="16"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16" t="e">
        <f>TRIM(_xlfn.TEXTAFTER(S4,":"))</f>
        <v>#N/A</v>
      </c>
    </row>
    <row r="7" spans="1:20" ht="15.95" customHeight="1" x14ac:dyDescent="0.25">
      <c r="A7" s="18" t="s">
        <v>475</v>
      </c>
      <c r="B7" s="16"/>
      <c r="C7" s="18" t="s">
        <v>1760</v>
      </c>
      <c r="D7" s="16"/>
      <c r="E7" s="18" t="s">
        <v>2479</v>
      </c>
      <c r="F7" s="16"/>
      <c r="G7" s="18" t="s">
        <v>1028</v>
      </c>
      <c r="H7" s="16"/>
      <c r="I7" s="18" t="s">
        <v>3198</v>
      </c>
      <c r="J7" s="16"/>
      <c r="K7" s="18" t="s">
        <v>3944</v>
      </c>
      <c r="L7" s="16"/>
      <c r="M7" s="18" t="s">
        <v>4673</v>
      </c>
      <c r="N7" s="16"/>
      <c r="O7" s="18" t="s">
        <v>5358</v>
      </c>
      <c r="P7" s="16"/>
      <c r="Q7" s="18" t="s">
        <v>6086</v>
      </c>
      <c r="R7" s="16"/>
      <c r="S7" s="18"/>
      <c r="T7" s="16"/>
    </row>
    <row r="8" spans="1:20" ht="15.95" customHeight="1" x14ac:dyDescent="0.25">
      <c r="A8" s="18" t="s">
        <v>476</v>
      </c>
      <c r="B8" s="16"/>
      <c r="C8" s="18" t="s">
        <v>1761</v>
      </c>
      <c r="D8" s="16"/>
      <c r="E8" s="18" t="s">
        <v>2480</v>
      </c>
      <c r="F8" s="16"/>
      <c r="G8" s="18" t="s">
        <v>1029</v>
      </c>
      <c r="H8" s="16"/>
      <c r="I8" s="18" t="s">
        <v>3199</v>
      </c>
      <c r="J8" s="16"/>
      <c r="K8" s="18" t="s">
        <v>3945</v>
      </c>
      <c r="L8" s="16"/>
      <c r="M8" s="18" t="s">
        <v>4674</v>
      </c>
      <c r="N8" s="16"/>
      <c r="O8" s="18" t="s">
        <v>5359</v>
      </c>
      <c r="P8" s="16"/>
      <c r="Q8" s="18" t="s">
        <v>6087</v>
      </c>
      <c r="R8" s="16"/>
      <c r="S8" s="18"/>
      <c r="T8" s="16"/>
    </row>
    <row r="9" spans="1:20" ht="15.95" customHeight="1" x14ac:dyDescent="0.25">
      <c r="A9" s="18" t="s">
        <v>477</v>
      </c>
      <c r="B9" s="16"/>
      <c r="C9" s="18" t="s">
        <v>1762</v>
      </c>
      <c r="D9" s="16"/>
      <c r="E9" s="18" t="s">
        <v>2481</v>
      </c>
      <c r="F9" s="16"/>
      <c r="G9" s="18" t="s">
        <v>1030</v>
      </c>
      <c r="H9" s="16"/>
      <c r="I9" s="18" t="s">
        <v>3200</v>
      </c>
      <c r="J9" s="16"/>
      <c r="K9" s="18" t="s">
        <v>3946</v>
      </c>
      <c r="L9" s="16"/>
      <c r="M9" s="18" t="s">
        <v>4675</v>
      </c>
      <c r="N9" s="16"/>
      <c r="O9" s="18" t="s">
        <v>5360</v>
      </c>
      <c r="P9" s="16"/>
      <c r="Q9" s="18" t="s">
        <v>6088</v>
      </c>
      <c r="R9" s="16"/>
      <c r="S9" s="18"/>
      <c r="T9" s="16"/>
    </row>
    <row r="10" spans="1:20" ht="15.95" customHeight="1" x14ac:dyDescent="0.25">
      <c r="A10" s="18" t="s">
        <v>472</v>
      </c>
      <c r="B10" s="16"/>
      <c r="C10" s="18" t="s">
        <v>1741</v>
      </c>
      <c r="D10" s="16"/>
      <c r="E10" s="18" t="s">
        <v>2460</v>
      </c>
      <c r="F10" s="16"/>
      <c r="G10" s="18" t="s">
        <v>1009</v>
      </c>
      <c r="H10" s="16"/>
      <c r="I10" s="18" t="s">
        <v>3178</v>
      </c>
      <c r="J10" s="16"/>
      <c r="K10" s="18" t="s">
        <v>3925</v>
      </c>
      <c r="L10" s="16"/>
      <c r="M10" s="18" t="s">
        <v>4654</v>
      </c>
      <c r="N10" s="16"/>
      <c r="O10" s="18" t="s">
        <v>5339</v>
      </c>
      <c r="P10" s="16"/>
      <c r="Q10" s="18" t="s">
        <v>6070</v>
      </c>
      <c r="R10" s="16"/>
      <c r="S10" s="18"/>
      <c r="T10" s="16"/>
    </row>
    <row r="11" spans="1:20" ht="15.95" customHeight="1" x14ac:dyDescent="0.25">
      <c r="A11" s="18" t="s">
        <v>478</v>
      </c>
      <c r="B11" s="16"/>
      <c r="C11" s="18" t="s">
        <v>1763</v>
      </c>
      <c r="D11" s="16"/>
      <c r="E11" s="18" t="s">
        <v>2482</v>
      </c>
      <c r="F11" s="16"/>
      <c r="G11" s="18" t="s">
        <v>1031</v>
      </c>
      <c r="H11" s="16"/>
      <c r="I11" s="18" t="s">
        <v>3201</v>
      </c>
      <c r="J11" s="16"/>
      <c r="K11" s="18" t="s">
        <v>3947</v>
      </c>
      <c r="L11" s="16"/>
      <c r="M11" s="18" t="s">
        <v>4676</v>
      </c>
      <c r="N11" s="16"/>
      <c r="O11" s="18" t="s">
        <v>5361</v>
      </c>
      <c r="P11" s="16"/>
      <c r="Q11" s="18" t="s">
        <v>6089</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81</v>
      </c>
      <c r="B13" s="16"/>
      <c r="C13" s="18" t="s">
        <v>1589</v>
      </c>
      <c r="D13" s="16"/>
      <c r="E13" s="18" t="s">
        <v>2308</v>
      </c>
      <c r="F13" s="16"/>
      <c r="G13" s="18" t="s">
        <v>5</v>
      </c>
      <c r="H13" s="16"/>
      <c r="I13" s="18" t="s">
        <v>3018</v>
      </c>
      <c r="J13" s="16"/>
      <c r="K13" s="18" t="s">
        <v>3772</v>
      </c>
      <c r="L13" s="16"/>
      <c r="M13" s="18" t="s">
        <v>2308</v>
      </c>
      <c r="N13" s="16"/>
      <c r="O13" s="18" t="s">
        <v>5183</v>
      </c>
      <c r="P13" s="16"/>
      <c r="Q13" s="18" t="s">
        <v>5928</v>
      </c>
      <c r="R13" s="16"/>
      <c r="S13" s="18"/>
      <c r="T13" s="21"/>
    </row>
    <row r="14" spans="1:20" ht="15.95" customHeight="1" x14ac:dyDescent="0.25">
      <c r="A14" s="18" t="s">
        <v>479</v>
      </c>
      <c r="B14" s="16"/>
      <c r="C14" s="18" t="s">
        <v>1764</v>
      </c>
      <c r="D14" s="16"/>
      <c r="E14" s="18" t="s">
        <v>2483</v>
      </c>
      <c r="F14" s="16"/>
      <c r="G14" s="18" t="s">
        <v>1032</v>
      </c>
      <c r="H14" s="16"/>
      <c r="I14" s="18" t="s">
        <v>3202</v>
      </c>
      <c r="J14" s="16"/>
      <c r="K14" s="18" t="s">
        <v>3948</v>
      </c>
      <c r="L14" s="16"/>
      <c r="M14" s="18" t="s">
        <v>4677</v>
      </c>
      <c r="N14" s="16"/>
      <c r="O14" s="18" t="s">
        <v>5362</v>
      </c>
      <c r="P14" s="16"/>
      <c r="Q14" s="18" t="s">
        <v>6090</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480</v>
      </c>
      <c r="B16" s="16"/>
      <c r="C16" s="18" t="s">
        <v>1765</v>
      </c>
      <c r="D16" s="16"/>
      <c r="E16" s="18" t="s">
        <v>2484</v>
      </c>
      <c r="F16" s="16"/>
      <c r="G16" s="18" t="s">
        <v>1033</v>
      </c>
      <c r="H16" s="16"/>
      <c r="I16" s="18" t="s">
        <v>3203</v>
      </c>
      <c r="J16" s="16"/>
      <c r="K16" s="18" t="s">
        <v>3949</v>
      </c>
      <c r="L16" s="16"/>
      <c r="M16" s="18" t="s">
        <v>4678</v>
      </c>
      <c r="N16" s="16"/>
      <c r="O16" s="18" t="s">
        <v>5363</v>
      </c>
      <c r="P16" s="16"/>
      <c r="Q16" s="18" t="s">
        <v>6091</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481</v>
      </c>
      <c r="B18" s="16"/>
      <c r="C18" s="18" t="s">
        <v>1766</v>
      </c>
      <c r="D18" s="16"/>
      <c r="E18" s="18" t="s">
        <v>2485</v>
      </c>
      <c r="F18" s="16"/>
      <c r="G18" s="18" t="s">
        <v>1034</v>
      </c>
      <c r="H18" s="16"/>
      <c r="I18" s="18" t="s">
        <v>3204</v>
      </c>
      <c r="J18" s="16"/>
      <c r="K18" s="18" t="s">
        <v>3950</v>
      </c>
      <c r="L18" s="16"/>
      <c r="M18" s="18" t="s">
        <v>4679</v>
      </c>
      <c r="N18" s="16"/>
      <c r="O18" s="18" t="s">
        <v>5364</v>
      </c>
      <c r="P18" s="16"/>
      <c r="Q18" s="18" t="s">
        <v>6092</v>
      </c>
      <c r="R18" s="16"/>
      <c r="S18" s="18"/>
      <c r="T18" s="21"/>
    </row>
    <row r="19" spans="1:20" ht="15.95" customHeight="1" x14ac:dyDescent="0.25">
      <c r="A19" s="18" t="s">
        <v>482</v>
      </c>
      <c r="B19" s="16"/>
      <c r="C19" s="18" t="s">
        <v>1767</v>
      </c>
      <c r="D19" s="16"/>
      <c r="E19" s="18" t="s">
        <v>2486</v>
      </c>
      <c r="F19" s="16"/>
      <c r="G19" s="18" t="s">
        <v>1035</v>
      </c>
      <c r="H19" s="16"/>
      <c r="I19" s="18" t="s">
        <v>3205</v>
      </c>
      <c r="J19" s="16"/>
      <c r="K19" s="18" t="s">
        <v>3951</v>
      </c>
      <c r="L19" s="16"/>
      <c r="M19" s="18" t="s">
        <v>4680</v>
      </c>
      <c r="N19" s="16"/>
      <c r="O19" s="18" t="s">
        <v>5365</v>
      </c>
      <c r="P19" s="16"/>
      <c r="Q19" s="18" t="s">
        <v>6093</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473</v>
      </c>
      <c r="B21" s="16"/>
      <c r="C21" s="18" t="s">
        <v>1744</v>
      </c>
      <c r="D21" s="16"/>
      <c r="E21" s="18" t="s">
        <v>2463</v>
      </c>
      <c r="F21" s="16"/>
      <c r="G21" s="18" t="s">
        <v>1012</v>
      </c>
      <c r="H21" s="16"/>
      <c r="I21" s="18" t="s">
        <v>3181</v>
      </c>
      <c r="J21" s="16"/>
      <c r="K21" s="18" t="s">
        <v>3928</v>
      </c>
      <c r="L21" s="16"/>
      <c r="M21" s="18" t="s">
        <v>4657</v>
      </c>
      <c r="N21" s="16"/>
      <c r="O21" s="18" t="s">
        <v>5342</v>
      </c>
      <c r="P21" s="16"/>
      <c r="Q21" s="18" t="s">
        <v>6073</v>
      </c>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78" priority="22" stopIfTrue="1">
      <formula>NOT(ISERROR(A3))</formula>
    </cfRule>
  </conditionalFormatting>
  <conditionalFormatting sqref="A3:T6 A7 C7 E7 G7 I7 K7 M7 O7 Q7 S7 A8:T51">
    <cfRule type="notContainsBlanks" dxfId="377" priority="23">
      <formula>LEN(TRIM(A3))&gt;0</formula>
    </cfRule>
  </conditionalFormatting>
  <conditionalFormatting sqref="A3:T51">
    <cfRule type="containsErrors" dxfId="376" priority="1" stopIfTrue="1">
      <formula>ISERROR(A3)</formula>
    </cfRule>
  </conditionalFormatting>
  <conditionalFormatting sqref="B7">
    <cfRule type="notContainsBlanks" dxfId="375" priority="20">
      <formula>LEN(TRIM(B7))&gt;0</formula>
    </cfRule>
  </conditionalFormatting>
  <conditionalFormatting sqref="D7">
    <cfRule type="notContainsBlanks" dxfId="374" priority="18">
      <formula>LEN(TRIM(D7))&gt;0</formula>
    </cfRule>
  </conditionalFormatting>
  <conditionalFormatting sqref="F7">
    <cfRule type="notContainsBlanks" dxfId="373" priority="16">
      <formula>LEN(TRIM(F7))&gt;0</formula>
    </cfRule>
  </conditionalFormatting>
  <conditionalFormatting sqref="H7">
    <cfRule type="notContainsBlanks" dxfId="372" priority="14">
      <formula>LEN(TRIM(H7))&gt;0</formula>
    </cfRule>
  </conditionalFormatting>
  <conditionalFormatting sqref="J7">
    <cfRule type="notContainsBlanks" dxfId="371" priority="12">
      <formula>LEN(TRIM(J7))&gt;0</formula>
    </cfRule>
  </conditionalFormatting>
  <conditionalFormatting sqref="L7">
    <cfRule type="notContainsBlanks" dxfId="370" priority="10">
      <formula>LEN(TRIM(L7))&gt;0</formula>
    </cfRule>
  </conditionalFormatting>
  <conditionalFormatting sqref="N7">
    <cfRule type="notContainsBlanks" dxfId="369" priority="8">
      <formula>LEN(TRIM(N7))&gt;0</formula>
    </cfRule>
  </conditionalFormatting>
  <conditionalFormatting sqref="P7">
    <cfRule type="notContainsBlanks" dxfId="368" priority="6">
      <formula>LEN(TRIM(P7))&gt;0</formula>
    </cfRule>
  </conditionalFormatting>
  <conditionalFormatting sqref="R7">
    <cfRule type="notContainsBlanks" dxfId="367" priority="4">
      <formula>LEN(TRIM(R7))&gt;0</formula>
    </cfRule>
  </conditionalFormatting>
  <conditionalFormatting sqref="T7">
    <cfRule type="notContainsBlanks" dxfId="366" priority="2">
      <formula>LEN(TRIM(T7))&gt;0</formula>
    </cfRule>
  </conditionalFormatting>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206D46-CB9F-431A-A937-74D63CA20119}">
  <sheetPr codeName="Sheet25"/>
  <dimension ref="A1:T51"/>
  <sheetViews>
    <sheetView workbookViewId="0">
      <selection activeCell="Q3" sqref="Q3:Q25"/>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8" t="s">
        <v>84</v>
      </c>
    </row>
    <row r="3" spans="1:20" ht="15.95" customHeight="1" x14ac:dyDescent="0.25">
      <c r="A3" s="17" t="s">
        <v>620</v>
      </c>
      <c r="B3" s="16" t="str">
        <f>TRIM(_xlfn.TEXTBEFORE(A3, ":"))</f>
        <v>Item Class</v>
      </c>
      <c r="C3" s="17" t="s">
        <v>1768</v>
      </c>
      <c r="D3" s="16" t="str">
        <f>TRIM(_xlfn.TEXTBEFORE(C3, ":"))</f>
        <v>Gegenstandsklasse</v>
      </c>
      <c r="E3" s="17" t="s">
        <v>2487</v>
      </c>
      <c r="F3" s="16" t="str">
        <f>TRIM(_xlfn.TEXTBEFORE(E3, ":"))</f>
        <v>Clase de objeto</v>
      </c>
      <c r="G3" s="17" t="s">
        <v>1036</v>
      </c>
      <c r="H3" s="16" t="str">
        <f>TRIM(_xlfn.TEXTBEFORE(G3, ":"))</f>
        <v>Classe d'objet</v>
      </c>
      <c r="I3" s="17" t="s">
        <v>3206</v>
      </c>
      <c r="J3" s="16" t="str">
        <f>TRIM(_xlfn.TEXTBEFORE(I3, ":"))</f>
        <v>アイテムクラス</v>
      </c>
      <c r="K3" s="17" t="s">
        <v>3952</v>
      </c>
      <c r="L3" s="16" t="str">
        <f>TRIM(_xlfn.TEXTBEFORE(K3, ":"))</f>
        <v>아이템 종류</v>
      </c>
      <c r="M3" s="17" t="s">
        <v>4681</v>
      </c>
      <c r="N3" s="16" t="str">
        <f>TRIM(_xlfn.TEXTBEFORE(M3, ":"))</f>
        <v>Classe do Item</v>
      </c>
      <c r="O3" s="17" t="s">
        <v>5366</v>
      </c>
      <c r="P3" s="16" t="str">
        <f>TRIM(_xlfn.TEXTBEFORE(O3, ":"))</f>
        <v>Класс предмета</v>
      </c>
      <c r="Q3" s="17" t="s">
        <v>6094</v>
      </c>
      <c r="R3" s="16" t="str">
        <f>TRIM(_xlfn.TEXTBEFORE(Q3, ":"))</f>
        <v>ชนิดไอเทม</v>
      </c>
      <c r="S3" s="17"/>
      <c r="T3" s="20" t="e">
        <f>TRIM(_xlfn.TEXTBEFORE(S3, ":"))</f>
        <v>#N/A</v>
      </c>
    </row>
    <row r="4" spans="1:20" ht="15.95" customHeight="1" x14ac:dyDescent="0.25">
      <c r="A4" s="18" t="s">
        <v>80</v>
      </c>
      <c r="B4" s="16" t="str">
        <f>TRIM(_xlfn.TEXTAFTER(A3, ":"))</f>
        <v>Amulets</v>
      </c>
      <c r="C4" s="18" t="s">
        <v>1643</v>
      </c>
      <c r="D4" s="16" t="str">
        <f>TRIM(_xlfn.TEXTAFTER(C3, ":"))</f>
        <v>Amulette</v>
      </c>
      <c r="E4" s="18" t="s">
        <v>2363</v>
      </c>
      <c r="F4" s="16" t="str">
        <f>TRIM(_xlfn.TEXTAFTER(E3, ":"))</f>
        <v>Amuletos</v>
      </c>
      <c r="G4" s="18" t="s">
        <v>1</v>
      </c>
      <c r="H4" s="16" t="str">
        <f>TRIM(_xlfn.TEXTAFTER(G3, ":"))</f>
        <v>Amulettes</v>
      </c>
      <c r="I4" s="18" t="s">
        <v>3078</v>
      </c>
      <c r="J4" s="16" t="str">
        <f>TRIM(_xlfn.TEXTAFTER(I3, ":"))</f>
        <v>アミュレット</v>
      </c>
      <c r="K4" s="18" t="s">
        <v>3828</v>
      </c>
      <c r="L4" s="16" t="str">
        <f>TRIM(_xlfn.TEXTAFTER(K3, ":"))</f>
        <v>목걸이</v>
      </c>
      <c r="M4" s="18" t="s">
        <v>4557</v>
      </c>
      <c r="N4" s="16" t="str">
        <f>TRIM(_xlfn.TEXTAFTER(M3, ":"))</f>
        <v>Amuletos</v>
      </c>
      <c r="O4" s="18" t="s">
        <v>5240</v>
      </c>
      <c r="P4" s="16" t="str">
        <f>TRIM(_xlfn.TEXTAFTER(O3, ":"))</f>
        <v>Амулеты</v>
      </c>
      <c r="Q4" s="18" t="s">
        <v>5977</v>
      </c>
      <c r="R4" s="16" t="str">
        <f>TRIM(_xlfn.TEXTAFTER(Q3, ":"))</f>
        <v>สร้อย</v>
      </c>
      <c r="S4" s="18"/>
      <c r="T4" s="20" t="e">
        <f>TRIM(_xlfn.TEXTAFTER(S3, ":"))</f>
        <v>#N/A</v>
      </c>
    </row>
    <row r="5" spans="1:20" ht="15.95" customHeight="1" x14ac:dyDescent="0.25">
      <c r="A5" s="18" t="s">
        <v>621</v>
      </c>
      <c r="B5" s="16" t="str">
        <f>TRIM(_xlfn.TEXTBEFORE(A4, ":"))</f>
        <v>Rarity</v>
      </c>
      <c r="C5" s="18" t="s">
        <v>1769</v>
      </c>
      <c r="D5" s="16" t="str">
        <f>TRIM(_xlfn.TEXTBEFORE(C4, ":"))</f>
        <v>Seltenheit</v>
      </c>
      <c r="E5" s="18" t="s">
        <v>2488</v>
      </c>
      <c r="F5" s="16" t="str">
        <f>TRIM(_xlfn.TEXTBEFORE(E4, ":"))</f>
        <v>Rareza</v>
      </c>
      <c r="G5" s="18" t="s">
        <v>1037</v>
      </c>
      <c r="H5" s="16" t="str">
        <f>TRIM(_xlfn.TEXTBEFORE(G4, ":"))</f>
        <v>Rareté</v>
      </c>
      <c r="I5" s="18" t="s">
        <v>3207</v>
      </c>
      <c r="J5" s="16" t="str">
        <f>TRIM(_xlfn.TEXTBEFORE(I4, ":"))</f>
        <v>レアリティ</v>
      </c>
      <c r="K5" s="18" t="s">
        <v>3953</v>
      </c>
      <c r="L5" s="16" t="str">
        <f>TRIM(_xlfn.TEXTBEFORE(K4, ":"))</f>
        <v>아이템 희귀도</v>
      </c>
      <c r="M5" s="18" t="s">
        <v>4682</v>
      </c>
      <c r="N5" s="16" t="str">
        <f>TRIM(_xlfn.TEXTBEFORE(M4, ":"))</f>
        <v>Raridade</v>
      </c>
      <c r="O5" s="18" t="s">
        <v>5367</v>
      </c>
      <c r="P5" s="16" t="str">
        <f>TRIM(_xlfn.TEXTBEFORE(O4, ":"))</f>
        <v>Редкость</v>
      </c>
      <c r="Q5" s="18" t="s">
        <v>621</v>
      </c>
      <c r="R5" s="16" t="str">
        <f>TRIM(_xlfn.TEXTBEFORE(Q4, ":"))</f>
        <v>ความหายาก</v>
      </c>
      <c r="S5" s="18"/>
      <c r="T5" s="20" t="e">
        <f>TRIM(_xlfn.TEXTBEFORE(S4, ":"))</f>
        <v>#N/A</v>
      </c>
    </row>
    <row r="6" spans="1:20" ht="15.95" customHeight="1" x14ac:dyDescent="0.25">
      <c r="A6" s="18" t="s">
        <v>622</v>
      </c>
      <c r="B6" s="16" t="str">
        <f>TRIM(_xlfn.TEXTAFTER(A4,":"))</f>
        <v>Unique</v>
      </c>
      <c r="C6" s="18" t="s">
        <v>1770</v>
      </c>
      <c r="D6" s="16" t="str">
        <f>TRIM(_xlfn.TEXTAFTER(C4,":"))</f>
        <v>Einzigartig</v>
      </c>
      <c r="E6" s="18" t="s">
        <v>2489</v>
      </c>
      <c r="F6" s="16" t="str">
        <f>TRIM(_xlfn.TEXTAFTER(E4,":"))</f>
        <v>Único</v>
      </c>
      <c r="G6" s="18" t="s">
        <v>1038</v>
      </c>
      <c r="H6" s="16" t="str">
        <f>TRIM(_xlfn.TEXTAFTER(G4,":"))</f>
        <v>Unique</v>
      </c>
      <c r="I6" s="18" t="s">
        <v>3208</v>
      </c>
      <c r="J6" s="16" t="str">
        <f>TRIM(_xlfn.TEXTAFTER(I4,":"))</f>
        <v>ユニーク</v>
      </c>
      <c r="K6" s="18" t="s">
        <v>3954</v>
      </c>
      <c r="L6" s="16" t="str">
        <f>TRIM(_xlfn.TEXTAFTER(K4,":"))</f>
        <v>고유</v>
      </c>
      <c r="M6" s="18" t="s">
        <v>4683</v>
      </c>
      <c r="N6" s="16" t="str">
        <f>TRIM(_xlfn.TEXTAFTER(M4,":"))</f>
        <v>Único</v>
      </c>
      <c r="O6" s="18" t="s">
        <v>5368</v>
      </c>
      <c r="P6" s="16" t="str">
        <f>TRIM(_xlfn.TEXTAFTER(O4,":"))</f>
        <v>Уникальный</v>
      </c>
      <c r="Q6" s="18" t="s">
        <v>622</v>
      </c>
      <c r="R6" s="16" t="str">
        <f>TRIM(_xlfn.TEXTAFTER(Q4,":"))</f>
        <v>ยูนิค</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81</v>
      </c>
      <c r="B8" s="16"/>
      <c r="C8" s="18" t="s">
        <v>1589</v>
      </c>
      <c r="D8" s="16"/>
      <c r="E8" s="18" t="s">
        <v>2308</v>
      </c>
      <c r="F8" s="16"/>
      <c r="G8" s="18" t="s">
        <v>5</v>
      </c>
      <c r="H8" s="16"/>
      <c r="I8" s="18" t="s">
        <v>3018</v>
      </c>
      <c r="J8" s="16"/>
      <c r="K8" s="18" t="s">
        <v>3772</v>
      </c>
      <c r="L8" s="16"/>
      <c r="M8" s="18" t="s">
        <v>2308</v>
      </c>
      <c r="N8" s="16"/>
      <c r="O8" s="18" t="s">
        <v>5183</v>
      </c>
      <c r="P8" s="16"/>
      <c r="Q8" s="18" t="s">
        <v>5928</v>
      </c>
      <c r="R8" s="16"/>
      <c r="S8" s="18"/>
      <c r="T8" s="20"/>
    </row>
    <row r="9" spans="1:20" ht="15.95" customHeight="1" x14ac:dyDescent="0.25">
      <c r="A9" s="18" t="s">
        <v>623</v>
      </c>
      <c r="B9" s="16"/>
      <c r="C9" s="18" t="s">
        <v>1771</v>
      </c>
      <c r="D9" s="16"/>
      <c r="E9" s="18" t="s">
        <v>2490</v>
      </c>
      <c r="F9" s="16"/>
      <c r="G9" s="18" t="s">
        <v>1039</v>
      </c>
      <c r="H9" s="16"/>
      <c r="I9" s="18" t="s">
        <v>3209</v>
      </c>
      <c r="J9" s="16"/>
      <c r="K9" s="18" t="s">
        <v>3955</v>
      </c>
      <c r="L9" s="16"/>
      <c r="M9" s="18" t="s">
        <v>4684</v>
      </c>
      <c r="N9" s="16"/>
      <c r="O9" s="18" t="s">
        <v>5369</v>
      </c>
      <c r="P9" s="16"/>
      <c r="Q9" s="18" t="s">
        <v>6095</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624</v>
      </c>
      <c r="B11" s="16"/>
      <c r="C11" s="18" t="s">
        <v>1772</v>
      </c>
      <c r="D11" s="16"/>
      <c r="E11" s="18" t="s">
        <v>2491</v>
      </c>
      <c r="F11" s="16"/>
      <c r="G11" s="18" t="s">
        <v>1040</v>
      </c>
      <c r="H11" s="16"/>
      <c r="I11" s="18" t="s">
        <v>3210</v>
      </c>
      <c r="J11" s="16"/>
      <c r="K11" s="18" t="s">
        <v>3956</v>
      </c>
      <c r="L11" s="16"/>
      <c r="M11" s="18" t="s">
        <v>4685</v>
      </c>
      <c r="N11" s="16"/>
      <c r="O11" s="18" t="s">
        <v>5370</v>
      </c>
      <c r="P11" s="16"/>
      <c r="Q11" s="18" t="s">
        <v>6096</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625</v>
      </c>
      <c r="B13" s="16"/>
      <c r="C13" s="18" t="s">
        <v>1773</v>
      </c>
      <c r="D13" s="16"/>
      <c r="E13" s="18" t="s">
        <v>2492</v>
      </c>
      <c r="F13" s="16"/>
      <c r="G13" s="18" t="s">
        <v>1041</v>
      </c>
      <c r="H13" s="16"/>
      <c r="I13" s="18" t="s">
        <v>3211</v>
      </c>
      <c r="J13" s="16"/>
      <c r="K13" s="18" t="s">
        <v>3957</v>
      </c>
      <c r="L13" s="16"/>
      <c r="M13" s="18" t="s">
        <v>4686</v>
      </c>
      <c r="N13" s="16"/>
      <c r="O13" s="18" t="s">
        <v>5371</v>
      </c>
      <c r="P13" s="16"/>
      <c r="Q13" s="18" t="s">
        <v>6097</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626</v>
      </c>
      <c r="B15" s="16"/>
      <c r="C15" s="18" t="s">
        <v>1774</v>
      </c>
      <c r="D15" s="16"/>
      <c r="E15" s="18" t="s">
        <v>2493</v>
      </c>
      <c r="F15" s="16"/>
      <c r="G15" s="18" t="s">
        <v>1042</v>
      </c>
      <c r="H15" s="16"/>
      <c r="I15" s="18" t="s">
        <v>3212</v>
      </c>
      <c r="J15" s="16"/>
      <c r="K15" s="18" t="s">
        <v>3958</v>
      </c>
      <c r="L15" s="16"/>
      <c r="M15" s="18" t="s">
        <v>4687</v>
      </c>
      <c r="N15" s="16"/>
      <c r="O15" s="18" t="s">
        <v>5372</v>
      </c>
      <c r="P15" s="16"/>
      <c r="Q15" s="18" t="s">
        <v>6098</v>
      </c>
      <c r="R15" s="16"/>
      <c r="S15" s="18"/>
      <c r="T15" s="20"/>
    </row>
    <row r="16" spans="1:20" ht="15.95" customHeight="1" x14ac:dyDescent="0.25">
      <c r="A16" s="18" t="s">
        <v>627</v>
      </c>
      <c r="B16" s="16"/>
      <c r="C16" s="18" t="s">
        <v>1775</v>
      </c>
      <c r="D16" s="16"/>
      <c r="E16" s="18" t="s">
        <v>2494</v>
      </c>
      <c r="F16" s="16"/>
      <c r="G16" s="18" t="s">
        <v>1043</v>
      </c>
      <c r="H16" s="16"/>
      <c r="I16" s="18" t="s">
        <v>3213</v>
      </c>
      <c r="J16" s="16"/>
      <c r="K16" s="18" t="s">
        <v>3959</v>
      </c>
      <c r="L16" s="16"/>
      <c r="M16" s="18" t="s">
        <v>4688</v>
      </c>
      <c r="N16" s="16"/>
      <c r="O16" s="18" t="s">
        <v>5373</v>
      </c>
      <c r="P16" s="16"/>
      <c r="Q16" s="18" t="s">
        <v>6099</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628</v>
      </c>
      <c r="B18" s="16"/>
      <c r="C18" s="18" t="s">
        <v>1776</v>
      </c>
      <c r="D18" s="16"/>
      <c r="E18" s="18" t="s">
        <v>2495</v>
      </c>
      <c r="F18" s="16"/>
      <c r="G18" s="18" t="s">
        <v>1044</v>
      </c>
      <c r="H18" s="16"/>
      <c r="I18" s="18" t="s">
        <v>3214</v>
      </c>
      <c r="J18" s="16"/>
      <c r="K18" s="18" t="s">
        <v>3960</v>
      </c>
      <c r="L18" s="16"/>
      <c r="M18" s="18" t="s">
        <v>4689</v>
      </c>
      <c r="N18" s="16"/>
      <c r="O18" s="18" t="s">
        <v>5374</v>
      </c>
      <c r="P18" s="16"/>
      <c r="Q18" s="18" t="s">
        <v>6100</v>
      </c>
      <c r="R18" s="16"/>
      <c r="S18" s="18"/>
      <c r="T18" s="20"/>
    </row>
    <row r="19" spans="1:20" ht="15.95" customHeight="1" x14ac:dyDescent="0.25">
      <c r="A19" s="18" t="s">
        <v>629</v>
      </c>
      <c r="B19" s="16"/>
      <c r="C19" s="18" t="s">
        <v>1777</v>
      </c>
      <c r="D19" s="16"/>
      <c r="E19" s="18" t="s">
        <v>2496</v>
      </c>
      <c r="F19" s="16"/>
      <c r="G19" s="18" t="s">
        <v>1045</v>
      </c>
      <c r="H19" s="16"/>
      <c r="I19" s="18" t="s">
        <v>3215</v>
      </c>
      <c r="J19" s="16"/>
      <c r="K19" s="18" t="s">
        <v>3961</v>
      </c>
      <c r="L19" s="16"/>
      <c r="M19" s="18" t="s">
        <v>4690</v>
      </c>
      <c r="N19" s="16"/>
      <c r="O19" s="18" t="s">
        <v>5375</v>
      </c>
      <c r="P19" s="16"/>
      <c r="Q19" s="18" t="s">
        <v>6101</v>
      </c>
      <c r="R19" s="16"/>
      <c r="S19" s="18"/>
      <c r="T19" s="20"/>
    </row>
    <row r="20" spans="1:20" ht="15.95" customHeight="1" x14ac:dyDescent="0.25">
      <c r="A20" s="18" t="s">
        <v>630</v>
      </c>
      <c r="B20" s="16"/>
      <c r="C20" s="18" t="s">
        <v>1778</v>
      </c>
      <c r="D20" s="16"/>
      <c r="E20" s="18" t="s">
        <v>2497</v>
      </c>
      <c r="F20" s="16"/>
      <c r="G20" s="18" t="s">
        <v>1046</v>
      </c>
      <c r="H20" s="16"/>
      <c r="I20" s="18" t="s">
        <v>3216</v>
      </c>
      <c r="J20" s="16"/>
      <c r="K20" s="18" t="s">
        <v>3962</v>
      </c>
      <c r="L20" s="16"/>
      <c r="M20" s="18" t="s">
        <v>4691</v>
      </c>
      <c r="N20" s="16"/>
      <c r="O20" s="18" t="s">
        <v>5376</v>
      </c>
      <c r="P20" s="16"/>
      <c r="Q20" s="18" t="s">
        <v>6102</v>
      </c>
      <c r="R20" s="16"/>
      <c r="S20" s="18"/>
      <c r="T20" s="20"/>
    </row>
    <row r="21" spans="1:20" ht="15.95" customHeight="1" x14ac:dyDescent="0.25">
      <c r="A21" s="18" t="s">
        <v>631</v>
      </c>
      <c r="B21" s="16"/>
      <c r="C21" s="18" t="s">
        <v>1779</v>
      </c>
      <c r="D21" s="16"/>
      <c r="E21" s="18" t="s">
        <v>2498</v>
      </c>
      <c r="F21" s="16"/>
      <c r="G21" s="18" t="s">
        <v>1047</v>
      </c>
      <c r="H21" s="16"/>
      <c r="I21" s="18" t="s">
        <v>3217</v>
      </c>
      <c r="J21" s="16"/>
      <c r="K21" s="18" t="s">
        <v>3963</v>
      </c>
      <c r="L21" s="16"/>
      <c r="M21" s="18" t="s">
        <v>4692</v>
      </c>
      <c r="N21" s="16"/>
      <c r="O21" s="18" t="s">
        <v>5377</v>
      </c>
      <c r="P21" s="16"/>
      <c r="Q21" s="18" t="s">
        <v>6103</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53</v>
      </c>
      <c r="B23" s="16"/>
      <c r="C23" s="18" t="s">
        <v>1611</v>
      </c>
      <c r="D23" s="16"/>
      <c r="E23" s="18" t="s">
        <v>2316</v>
      </c>
      <c r="F23" s="16"/>
      <c r="G23" s="18" t="s">
        <v>885</v>
      </c>
      <c r="H23" s="16"/>
      <c r="I23" s="18" t="s">
        <v>3026</v>
      </c>
      <c r="J23" s="16"/>
      <c r="K23" s="18" t="s">
        <v>3780</v>
      </c>
      <c r="L23" s="16"/>
      <c r="M23" s="18" t="s">
        <v>4510</v>
      </c>
      <c r="N23" s="16"/>
      <c r="O23" s="18" t="s">
        <v>5191</v>
      </c>
      <c r="P23" s="16"/>
      <c r="Q23" s="18" t="s">
        <v>5935</v>
      </c>
      <c r="R23" s="16"/>
      <c r="S23" s="18"/>
      <c r="T23" s="20"/>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0"/>
    </row>
    <row r="25" spans="1:20" ht="15.95" customHeight="1" x14ac:dyDescent="0.25">
      <c r="A25" s="18" t="s">
        <v>632</v>
      </c>
      <c r="B25" s="16"/>
      <c r="C25" s="18" t="s">
        <v>1780</v>
      </c>
      <c r="D25" s="16"/>
      <c r="E25" s="18" t="s">
        <v>2499</v>
      </c>
      <c r="F25" s="16"/>
      <c r="G25" s="18" t="s">
        <v>1048</v>
      </c>
      <c r="H25" s="16"/>
      <c r="I25" s="18" t="s">
        <v>3218</v>
      </c>
      <c r="J25" s="16"/>
      <c r="K25" s="18" t="s">
        <v>3964</v>
      </c>
      <c r="L25" s="16"/>
      <c r="M25" s="18" t="s">
        <v>4693</v>
      </c>
      <c r="N25" s="16"/>
      <c r="O25" s="18" t="s">
        <v>5378</v>
      </c>
      <c r="P25" s="16"/>
      <c r="Q25" s="18" t="s">
        <v>6104</v>
      </c>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65" priority="2" stopIfTrue="1">
      <formula>NOT(ISERROR(A3))</formula>
    </cfRule>
  </conditionalFormatting>
  <conditionalFormatting sqref="A3:T51">
    <cfRule type="containsErrors" dxfId="364" priority="1" stopIfTrue="1">
      <formula>ISERROR(A3)</formula>
    </cfRule>
    <cfRule type="notContainsBlanks" dxfId="363" priority="3">
      <formula>LEN(TRIM(A3))&gt;0</formula>
    </cfRule>
  </conditionalFormatting>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40A97-B9B9-4642-835F-30572EDF8FFB}">
  <sheetPr codeName="Sheet26"/>
  <dimension ref="A1:T51"/>
  <sheetViews>
    <sheetView workbookViewId="0">
      <selection activeCell="Q3" sqref="Q3:Q11"/>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9" t="s">
        <v>84</v>
      </c>
    </row>
    <row r="3" spans="1:20" ht="15.95" customHeight="1" x14ac:dyDescent="0.25">
      <c r="A3" s="17" t="s">
        <v>513</v>
      </c>
      <c r="B3" s="16" t="str">
        <f>TRIM(_xlfn.TEXTBEFORE(A3, ":"))</f>
        <v>Item Class</v>
      </c>
      <c r="C3" s="17" t="s">
        <v>1781</v>
      </c>
      <c r="D3" s="16" t="str">
        <f>TRIM(_xlfn.TEXTBEFORE(C3, ":"))</f>
        <v>Gegenstandsklasse</v>
      </c>
      <c r="E3" s="17" t="s">
        <v>2500</v>
      </c>
      <c r="F3" s="16" t="str">
        <f>TRIM(_xlfn.TEXTBEFORE(E3, ":"))</f>
        <v>Clase de objeto</v>
      </c>
      <c r="G3" s="17" t="s">
        <v>1049</v>
      </c>
      <c r="H3" s="16" t="str">
        <f>TRIM(_xlfn.TEXTBEFORE(G3, ":"))</f>
        <v>Classe d'objet</v>
      </c>
      <c r="I3" s="17" t="s">
        <v>3219</v>
      </c>
      <c r="J3" s="16" t="str">
        <f>TRIM(_xlfn.TEXTBEFORE(I3, ":"))</f>
        <v>アイテムクラス</v>
      </c>
      <c r="K3" s="17" t="s">
        <v>3965</v>
      </c>
      <c r="L3" s="16" t="str">
        <f>TRIM(_xlfn.TEXTBEFORE(K3, ":"))</f>
        <v>아이템 종류</v>
      </c>
      <c r="M3" s="17" t="s">
        <v>4694</v>
      </c>
      <c r="N3" s="16" t="str">
        <f>TRIM(_xlfn.TEXTBEFORE(M3, ":"))</f>
        <v>Classe do Item</v>
      </c>
      <c r="O3" s="17" t="s">
        <v>5379</v>
      </c>
      <c r="P3" s="16" t="str">
        <f>TRIM(_xlfn.TEXTBEFORE(O3, ":"))</f>
        <v>Класс предмета</v>
      </c>
      <c r="Q3" s="17" t="s">
        <v>6105</v>
      </c>
      <c r="R3" s="16" t="str">
        <f>TRIM(_xlfn.TEXTBEFORE(Q3, ":"))</f>
        <v>ชนิดไอเทม</v>
      </c>
      <c r="S3" s="17"/>
      <c r="T3" s="16" t="e">
        <f>TRIM(_xlfn.TEXTBEFORE(S3, ":"))</f>
        <v>#N/A</v>
      </c>
    </row>
    <row r="4" spans="1:20" ht="15.95" customHeight="1" x14ac:dyDescent="0.25">
      <c r="A4" s="18" t="s">
        <v>80</v>
      </c>
      <c r="B4" s="16" t="str">
        <f>TRIM(_xlfn.TEXTAFTER(A3, ":"))</f>
        <v>Rings</v>
      </c>
      <c r="C4" s="18" t="s">
        <v>1643</v>
      </c>
      <c r="D4" s="16" t="str">
        <f>TRIM(_xlfn.TEXTAFTER(C3, ":"))</f>
        <v>Ringe</v>
      </c>
      <c r="E4" s="18" t="s">
        <v>2363</v>
      </c>
      <c r="F4" s="16" t="str">
        <f>TRIM(_xlfn.TEXTAFTER(E3, ":"))</f>
        <v>Anillos</v>
      </c>
      <c r="G4" s="18" t="s">
        <v>1</v>
      </c>
      <c r="H4" s="16" t="str">
        <f>TRIM(_xlfn.TEXTAFTER(G3, ":"))</f>
        <v>Bagues</v>
      </c>
      <c r="I4" s="18" t="s">
        <v>3078</v>
      </c>
      <c r="J4" s="16" t="str">
        <f>TRIM(_xlfn.TEXTAFTER(I3, ":"))</f>
        <v>指輪</v>
      </c>
      <c r="K4" s="18" t="s">
        <v>3828</v>
      </c>
      <c r="L4" s="16" t="str">
        <f>TRIM(_xlfn.TEXTAFTER(K3, ":"))</f>
        <v>반지</v>
      </c>
      <c r="M4" s="18" t="s">
        <v>4557</v>
      </c>
      <c r="N4" s="16" t="str">
        <f>TRIM(_xlfn.TEXTAFTER(M3, ":"))</f>
        <v>Anéis</v>
      </c>
      <c r="O4" s="18" t="s">
        <v>5240</v>
      </c>
      <c r="P4" s="16" t="str">
        <f>TRIM(_xlfn.TEXTAFTER(O3, ":"))</f>
        <v>Кольца</v>
      </c>
      <c r="Q4" s="18" t="s">
        <v>5977</v>
      </c>
      <c r="R4" s="16" t="str">
        <f>TRIM(_xlfn.TEXTAFTER(Q3, ":"))</f>
        <v>แหวน</v>
      </c>
      <c r="S4" s="18"/>
      <c r="T4" s="16" t="e">
        <f>TRIM(_xlfn.TEXTAFTER(S3, ":"))</f>
        <v>#N/A</v>
      </c>
    </row>
    <row r="5" spans="1:20" ht="15.95" customHeight="1" x14ac:dyDescent="0.25">
      <c r="A5" s="18" t="s">
        <v>514</v>
      </c>
      <c r="B5" s="16" t="str">
        <f>TRIM(_xlfn.TEXTBEFORE(A4, ":"))</f>
        <v>Rarity</v>
      </c>
      <c r="C5" s="18" t="s">
        <v>1782</v>
      </c>
      <c r="D5" s="16" t="str">
        <f>TRIM(_xlfn.TEXTBEFORE(C4, ":"))</f>
        <v>Seltenheit</v>
      </c>
      <c r="E5" s="18" t="s">
        <v>2501</v>
      </c>
      <c r="F5" s="16" t="str">
        <f>TRIM(_xlfn.TEXTBEFORE(E4, ":"))</f>
        <v>Rareza</v>
      </c>
      <c r="G5" s="18" t="s">
        <v>1050</v>
      </c>
      <c r="H5" s="16" t="str">
        <f>TRIM(_xlfn.TEXTBEFORE(G4, ":"))</f>
        <v>Rareté</v>
      </c>
      <c r="I5" s="18" t="s">
        <v>3220</v>
      </c>
      <c r="J5" s="16" t="str">
        <f>TRIM(_xlfn.TEXTBEFORE(I4, ":"))</f>
        <v>レアリティ</v>
      </c>
      <c r="K5" s="18" t="s">
        <v>3966</v>
      </c>
      <c r="L5" s="16" t="str">
        <f>TRIM(_xlfn.TEXTBEFORE(K4, ":"))</f>
        <v>아이템 희귀도</v>
      </c>
      <c r="M5" s="18" t="s">
        <v>4695</v>
      </c>
      <c r="N5" s="16" t="str">
        <f>TRIM(_xlfn.TEXTBEFORE(M4, ":"))</f>
        <v>Raridade</v>
      </c>
      <c r="O5" s="18" t="s">
        <v>5380</v>
      </c>
      <c r="P5" s="16" t="str">
        <f>TRIM(_xlfn.TEXTBEFORE(O4, ":"))</f>
        <v>Редкость</v>
      </c>
      <c r="Q5" s="18" t="s">
        <v>514</v>
      </c>
      <c r="R5" s="16" t="str">
        <f>TRIM(_xlfn.TEXTBEFORE(Q4, ":"))</f>
        <v>ความหายาก</v>
      </c>
      <c r="S5" s="18"/>
      <c r="T5" s="16" t="e">
        <f>TRIM(_xlfn.TEXTBEFORE(S4, ":"))</f>
        <v>#N/A</v>
      </c>
    </row>
    <row r="6" spans="1:20" ht="15.95" customHeight="1" x14ac:dyDescent="0.25">
      <c r="A6" s="18" t="s">
        <v>4</v>
      </c>
      <c r="B6" s="16" t="str">
        <f>TRIM(_xlfn.TEXTAFTER(A4,":"))</f>
        <v>Unique</v>
      </c>
      <c r="C6" s="18" t="s">
        <v>4</v>
      </c>
      <c r="D6" s="16" t="str">
        <f>TRIM(_xlfn.TEXTAFTER(C4,":"))</f>
        <v>Einzigartig</v>
      </c>
      <c r="E6" s="18" t="s">
        <v>4</v>
      </c>
      <c r="F6" s="16" t="str">
        <f>TRIM(_xlfn.TEXTAFTER(E4,":"))</f>
        <v>Único</v>
      </c>
      <c r="G6" s="18" t="s">
        <v>4</v>
      </c>
      <c r="H6" s="16" t="str">
        <f>TRIM(_xlfn.TEXTAFTER(G4,":"))</f>
        <v>Unique</v>
      </c>
      <c r="I6" s="18" t="s">
        <v>4</v>
      </c>
      <c r="J6" s="16" t="str">
        <f>TRIM(_xlfn.TEXTAFTER(I4,":"))</f>
        <v>ユニーク</v>
      </c>
      <c r="K6" s="18" t="s">
        <v>4</v>
      </c>
      <c r="L6" s="16" t="str">
        <f>TRIM(_xlfn.TEXTAFTER(K4,":"))</f>
        <v>고유</v>
      </c>
      <c r="M6" s="18" t="s">
        <v>4</v>
      </c>
      <c r="N6" s="16" t="str">
        <f>TRIM(_xlfn.TEXTAFTER(M4,":"))</f>
        <v>Único</v>
      </c>
      <c r="O6" s="18" t="s">
        <v>4</v>
      </c>
      <c r="P6" s="16" t="str">
        <f>TRIM(_xlfn.TEXTAFTER(O4,":"))</f>
        <v>Уникальный</v>
      </c>
      <c r="Q6" s="18" t="s">
        <v>4</v>
      </c>
      <c r="R6" s="16" t="str">
        <f>TRIM(_xlfn.TEXTAFTER(Q4,":"))</f>
        <v>ยูนิค</v>
      </c>
      <c r="S6" s="18"/>
      <c r="T6" s="16" t="e">
        <f>TRIM(_xlfn.TEXTAFTER(S4,":"))</f>
        <v>#N/A</v>
      </c>
    </row>
    <row r="7" spans="1:20" ht="15.95" customHeight="1" x14ac:dyDescent="0.25">
      <c r="A7" s="18" t="s">
        <v>254</v>
      </c>
      <c r="B7" s="16"/>
      <c r="C7" s="18" t="s">
        <v>1730</v>
      </c>
      <c r="D7" s="16"/>
      <c r="E7" s="18" t="s">
        <v>2449</v>
      </c>
      <c r="F7" s="16"/>
      <c r="G7" s="18" t="s">
        <v>998</v>
      </c>
      <c r="H7" s="16"/>
      <c r="I7" s="18" t="s">
        <v>3167</v>
      </c>
      <c r="J7" s="16"/>
      <c r="K7" s="18" t="s">
        <v>3914</v>
      </c>
      <c r="L7" s="16"/>
      <c r="M7" s="18" t="s">
        <v>4643</v>
      </c>
      <c r="N7" s="16"/>
      <c r="O7" s="18" t="s">
        <v>5328</v>
      </c>
      <c r="P7" s="16"/>
      <c r="Q7" s="18" t="s">
        <v>6060</v>
      </c>
      <c r="R7" s="16"/>
      <c r="S7" s="18"/>
      <c r="T7" s="16"/>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515</v>
      </c>
      <c r="B9" s="16"/>
      <c r="C9" s="18" t="s">
        <v>1783</v>
      </c>
      <c r="D9" s="16"/>
      <c r="E9" s="18" t="s">
        <v>2502</v>
      </c>
      <c r="F9" s="16"/>
      <c r="G9" s="18" t="s">
        <v>1051</v>
      </c>
      <c r="H9" s="16"/>
      <c r="I9" s="18" t="s">
        <v>3221</v>
      </c>
      <c r="J9" s="16"/>
      <c r="K9" s="18" t="s">
        <v>3967</v>
      </c>
      <c r="L9" s="16"/>
      <c r="M9" s="18" t="s">
        <v>4696</v>
      </c>
      <c r="N9" s="16"/>
      <c r="O9" s="18" t="s">
        <v>5381</v>
      </c>
      <c r="P9" s="16"/>
      <c r="Q9" s="18" t="s">
        <v>6106</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50</v>
      </c>
      <c r="B11" s="16" t="str">
        <f>A11</f>
        <v>Unidentified</v>
      </c>
      <c r="C11" s="18" t="s">
        <v>1784</v>
      </c>
      <c r="D11" s="16" t="str">
        <f>C11</f>
        <v>Nicht identifiziert</v>
      </c>
      <c r="E11" s="18" t="s">
        <v>2503</v>
      </c>
      <c r="F11" s="16" t="str">
        <f>E11</f>
        <v>Sin identificar</v>
      </c>
      <c r="G11" s="18" t="s">
        <v>1052</v>
      </c>
      <c r="H11" s="16" t="str">
        <f>G11</f>
        <v>Non identifié</v>
      </c>
      <c r="I11" s="18" t="s">
        <v>3222</v>
      </c>
      <c r="J11" s="16" t="str">
        <f>I11</f>
        <v>未鑑定</v>
      </c>
      <c r="K11" s="18" t="s">
        <v>3968</v>
      </c>
      <c r="L11" s="16" t="str">
        <f>K11</f>
        <v>미확인</v>
      </c>
      <c r="M11" s="18" t="s">
        <v>4697</v>
      </c>
      <c r="N11" s="16" t="str">
        <f>M11</f>
        <v>Não Identificado</v>
      </c>
      <c r="O11" s="18" t="s">
        <v>5382</v>
      </c>
      <c r="P11" s="16" t="str">
        <f>O11</f>
        <v>Неопознано</v>
      </c>
      <c r="Q11" s="18" t="s">
        <v>6107</v>
      </c>
      <c r="R11" s="16" t="str">
        <f>Q11</f>
        <v>ยังไม่ได้ตรวจสอบ</v>
      </c>
      <c r="S11" s="18"/>
      <c r="T11" s="16">
        <f>S11</f>
        <v>0</v>
      </c>
    </row>
    <row r="12" spans="1:20" ht="15.95" customHeight="1" x14ac:dyDescent="0.25">
      <c r="A12" s="18"/>
      <c r="B12" s="16"/>
      <c r="C12" s="18"/>
      <c r="D12" s="16"/>
      <c r="E12" s="18"/>
      <c r="F12" s="16"/>
      <c r="G12" s="18"/>
      <c r="H12" s="16"/>
      <c r="I12" s="18"/>
      <c r="J12" s="16"/>
      <c r="K12" s="18"/>
      <c r="L12" s="16"/>
      <c r="M12" s="18"/>
      <c r="N12" s="16"/>
      <c r="O12" s="18"/>
      <c r="P12" s="16"/>
      <c r="Q12" s="18"/>
      <c r="R12" s="16"/>
      <c r="S12" s="18"/>
      <c r="T12" s="21"/>
    </row>
    <row r="13" spans="1:20" ht="15.95" customHeight="1" x14ac:dyDescent="0.25">
      <c r="A13" s="18"/>
      <c r="B13" s="16"/>
      <c r="C13" s="18"/>
      <c r="D13" s="16"/>
      <c r="E13" s="18"/>
      <c r="F13" s="16"/>
      <c r="G13" s="18"/>
      <c r="H13" s="16"/>
      <c r="I13" s="18"/>
      <c r="J13" s="16"/>
      <c r="K13" s="18"/>
      <c r="L13" s="16"/>
      <c r="M13" s="18"/>
      <c r="N13" s="16"/>
      <c r="O13" s="18"/>
      <c r="P13" s="16"/>
      <c r="Q13" s="18"/>
      <c r="R13" s="16"/>
      <c r="S13" s="18"/>
      <c r="T13" s="21"/>
    </row>
    <row r="14" spans="1:20" ht="15.95" customHeight="1" x14ac:dyDescent="0.25">
      <c r="A14" s="18"/>
      <c r="B14" s="16"/>
      <c r="C14" s="18"/>
      <c r="D14" s="16"/>
      <c r="E14" s="18"/>
      <c r="F14" s="16"/>
      <c r="G14" s="18"/>
      <c r="H14" s="16"/>
      <c r="I14" s="18"/>
      <c r="J14" s="16"/>
      <c r="K14" s="18"/>
      <c r="L14" s="16"/>
      <c r="M14" s="18"/>
      <c r="N14" s="16"/>
      <c r="O14" s="18"/>
      <c r="P14" s="16"/>
      <c r="Q14" s="18"/>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62" priority="2" stopIfTrue="1">
      <formula>NOT(ISERROR(A3))</formula>
    </cfRule>
  </conditionalFormatting>
  <conditionalFormatting sqref="A3:T51">
    <cfRule type="containsErrors" dxfId="361" priority="1" stopIfTrue="1">
      <formula>ISERROR(A3)</formula>
    </cfRule>
    <cfRule type="notContainsBlanks" dxfId="360" priority="3">
      <formula>LEN(TRIM(A3))&gt;0</formula>
    </cfRule>
  </conditionalFormatting>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CD30A-3A72-497F-9F81-E041ECB89468}">
  <sheetPr codeName="Sheet27"/>
  <dimension ref="A1:T51"/>
  <sheetViews>
    <sheetView workbookViewId="0"/>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9" t="s">
        <v>84</v>
      </c>
    </row>
    <row r="3" spans="1:20" ht="15.95" customHeight="1" x14ac:dyDescent="0.25">
      <c r="A3" s="17" t="s">
        <v>442</v>
      </c>
      <c r="B3" s="16" t="str">
        <f>TRIM(_xlfn.TEXTBEFORE(A3, ":"))</f>
        <v>Item Class</v>
      </c>
      <c r="C3" s="17" t="s">
        <v>1785</v>
      </c>
      <c r="D3" s="16" t="str">
        <f>TRIM(_xlfn.TEXTBEFORE(C3, ":"))</f>
        <v>Gegenstandsklasse</v>
      </c>
      <c r="E3" s="17" t="s">
        <v>2504</v>
      </c>
      <c r="F3" s="16" t="str">
        <f>TRIM(_xlfn.TEXTBEFORE(E3, ":"))</f>
        <v>Clase de objeto</v>
      </c>
      <c r="G3" s="17" t="s">
        <v>1053</v>
      </c>
      <c r="H3" s="16" t="str">
        <f>TRIM(_xlfn.TEXTBEFORE(G3, ":"))</f>
        <v>Classe d'objet</v>
      </c>
      <c r="I3" s="17" t="s">
        <v>3223</v>
      </c>
      <c r="J3" s="16" t="str">
        <f>TRIM(_xlfn.TEXTBEFORE(I3, ":"))</f>
        <v>アイテムクラス</v>
      </c>
      <c r="K3" s="17" t="s">
        <v>3969</v>
      </c>
      <c r="L3" s="16" t="str">
        <f>TRIM(_xlfn.TEXTBEFORE(K3, ":"))</f>
        <v>아이템 종류</v>
      </c>
      <c r="M3" s="17" t="s">
        <v>4698</v>
      </c>
      <c r="N3" s="16" t="str">
        <f>TRIM(_xlfn.TEXTBEFORE(M3, ":"))</f>
        <v>Classe do Item</v>
      </c>
      <c r="O3" s="17" t="s">
        <v>5383</v>
      </c>
      <c r="P3" s="16" t="str">
        <f>TRIM(_xlfn.TEXTBEFORE(O3, ":"))</f>
        <v>Класс предмета</v>
      </c>
      <c r="Q3" s="17" t="s">
        <v>6108</v>
      </c>
      <c r="R3" s="16" t="str">
        <f>TRIM(_xlfn.TEXTBEFORE(Q3, ":"))</f>
        <v>ชนิดไอเทม</v>
      </c>
      <c r="S3" s="17"/>
      <c r="T3" s="16" t="e">
        <f>TRIM(_xlfn.TEXTBEFORE(S3, ":"))</f>
        <v>#N/A</v>
      </c>
    </row>
    <row r="4" spans="1:20" ht="15.95" customHeight="1" x14ac:dyDescent="0.25">
      <c r="A4" s="18" t="s">
        <v>80</v>
      </c>
      <c r="B4" s="16" t="str">
        <f>TRIM(_xlfn.TEXTAFTER(A3, ":"))</f>
        <v>Helmets</v>
      </c>
      <c r="C4" s="18" t="s">
        <v>1643</v>
      </c>
      <c r="D4" s="16" t="str">
        <f>TRIM(_xlfn.TEXTAFTER(C3, ":"))</f>
        <v>Helme</v>
      </c>
      <c r="E4" s="18" t="s">
        <v>2363</v>
      </c>
      <c r="F4" s="16" t="str">
        <f>TRIM(_xlfn.TEXTAFTER(E3, ":"))</f>
        <v>Cascos</v>
      </c>
      <c r="G4" s="18" t="s">
        <v>1</v>
      </c>
      <c r="H4" s="16" t="str">
        <f>TRIM(_xlfn.TEXTAFTER(G3, ":"))</f>
        <v>Casques</v>
      </c>
      <c r="I4" s="18" t="s">
        <v>3078</v>
      </c>
      <c r="J4" s="16" t="str">
        <f>TRIM(_xlfn.TEXTAFTER(I3, ":"))</f>
        <v>兜</v>
      </c>
      <c r="K4" s="18" t="s">
        <v>3828</v>
      </c>
      <c r="L4" s="16" t="str">
        <f>TRIM(_xlfn.TEXTAFTER(K3, ":"))</f>
        <v>투구</v>
      </c>
      <c r="M4" s="18" t="s">
        <v>4557</v>
      </c>
      <c r="N4" s="16" t="str">
        <f>TRIM(_xlfn.TEXTAFTER(M3, ":"))</f>
        <v>Elmos</v>
      </c>
      <c r="O4" s="18" t="s">
        <v>5240</v>
      </c>
      <c r="P4" s="16" t="str">
        <f>TRIM(_xlfn.TEXTAFTER(O3, ":"))</f>
        <v>Шлемы</v>
      </c>
      <c r="Q4" s="18" t="s">
        <v>5977</v>
      </c>
      <c r="R4" s="16" t="str">
        <f>TRIM(_xlfn.TEXTAFTER(Q3, ":"))</f>
        <v>หมวก</v>
      </c>
      <c r="S4" s="18"/>
      <c r="T4" s="16" t="e">
        <f>TRIM(_xlfn.TEXTAFTER(S3, ":"))</f>
        <v>#N/A</v>
      </c>
    </row>
    <row r="5" spans="1:20" ht="15.95" customHeight="1" x14ac:dyDescent="0.25">
      <c r="A5" s="18" t="s">
        <v>443</v>
      </c>
      <c r="B5" s="16" t="str">
        <f>TRIM(_xlfn.TEXTBEFORE(A4, ":"))</f>
        <v>Rarity</v>
      </c>
      <c r="C5" s="18" t="s">
        <v>443</v>
      </c>
      <c r="D5" s="16" t="str">
        <f>TRIM(_xlfn.TEXTBEFORE(C4, ":"))</f>
        <v>Seltenheit</v>
      </c>
      <c r="E5" s="18" t="s">
        <v>443</v>
      </c>
      <c r="F5" s="16" t="str">
        <f>TRIM(_xlfn.TEXTBEFORE(E4, ":"))</f>
        <v>Rareza</v>
      </c>
      <c r="G5" s="18" t="s">
        <v>443</v>
      </c>
      <c r="H5" s="16" t="str">
        <f>TRIM(_xlfn.TEXTBEFORE(G4, ":"))</f>
        <v>Rareté</v>
      </c>
      <c r="I5" s="18" t="s">
        <v>3224</v>
      </c>
      <c r="J5" s="16" t="str">
        <f>TRIM(_xlfn.TEXTBEFORE(I4, ":"))</f>
        <v>レアリティ</v>
      </c>
      <c r="K5" s="18" t="s">
        <v>3970</v>
      </c>
      <c r="L5" s="16" t="str">
        <f>TRIM(_xlfn.TEXTBEFORE(K4, ":"))</f>
        <v>아이템 희귀도</v>
      </c>
      <c r="M5" s="18" t="s">
        <v>443</v>
      </c>
      <c r="N5" s="16" t="str">
        <f>TRIM(_xlfn.TEXTBEFORE(M4, ":"))</f>
        <v>Raridade</v>
      </c>
      <c r="O5" s="18" t="s">
        <v>5384</v>
      </c>
      <c r="P5" s="16" t="str">
        <f>TRIM(_xlfn.TEXTBEFORE(O4, ":"))</f>
        <v>Редкость</v>
      </c>
      <c r="Q5" s="18" t="s">
        <v>443</v>
      </c>
      <c r="R5" s="16" t="str">
        <f>TRIM(_xlfn.TEXTBEFORE(Q4, ":"))</f>
        <v>ความหายาก</v>
      </c>
      <c r="S5" s="18"/>
      <c r="T5" s="16" t="e">
        <f>TRIM(_xlfn.TEXTBEFORE(S4, ":"))</f>
        <v>#N/A</v>
      </c>
    </row>
    <row r="6" spans="1:20" ht="15.95" customHeight="1" x14ac:dyDescent="0.25">
      <c r="A6" s="18" t="s">
        <v>444</v>
      </c>
      <c r="B6" s="16" t="str">
        <f>TRIM(_xlfn.TEXTAFTER(A4,":"))</f>
        <v>Unique</v>
      </c>
      <c r="C6" s="18" t="s">
        <v>1786</v>
      </c>
      <c r="D6" s="16" t="str">
        <f>TRIM(_xlfn.TEXTAFTER(C4,":"))</f>
        <v>Einzigartig</v>
      </c>
      <c r="E6" s="18" t="s">
        <v>2505</v>
      </c>
      <c r="F6" s="16" t="str">
        <f>TRIM(_xlfn.TEXTAFTER(E4,":"))</f>
        <v>Único</v>
      </c>
      <c r="G6" s="18" t="s">
        <v>1054</v>
      </c>
      <c r="H6" s="16" t="str">
        <f>TRIM(_xlfn.TEXTAFTER(G4,":"))</f>
        <v>Unique</v>
      </c>
      <c r="I6" s="18" t="s">
        <v>3225</v>
      </c>
      <c r="J6" s="16" t="str">
        <f>TRIM(_xlfn.TEXTAFTER(I4,":"))</f>
        <v>ユニーク</v>
      </c>
      <c r="K6" s="18" t="s">
        <v>3971</v>
      </c>
      <c r="L6" s="16" t="str">
        <f>TRIM(_xlfn.TEXTAFTER(K4,":"))</f>
        <v>고유</v>
      </c>
      <c r="M6" s="18" t="s">
        <v>4699</v>
      </c>
      <c r="N6" s="16" t="str">
        <f>TRIM(_xlfn.TEXTAFTER(M4,":"))</f>
        <v>Único</v>
      </c>
      <c r="O6" s="18" t="s">
        <v>5385</v>
      </c>
      <c r="P6" s="16" t="str">
        <f>TRIM(_xlfn.TEXTAFTER(O4,":"))</f>
        <v>Уникальный</v>
      </c>
      <c r="Q6" s="18" t="s">
        <v>444</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445</v>
      </c>
      <c r="B8" s="16" t="str">
        <f>TRIM(_xlfn.TEXTBEFORE(A8,":"))</f>
        <v>Armour</v>
      </c>
      <c r="C8" s="18" t="s">
        <v>1787</v>
      </c>
      <c r="D8" s="16" t="str">
        <f>TRIM(_xlfn.TEXTBEFORE(C8,":"))</f>
        <v>Rüstung</v>
      </c>
      <c r="E8" s="18" t="s">
        <v>2506</v>
      </c>
      <c r="F8" s="16" t="str">
        <f>TRIM(_xlfn.TEXTBEFORE(E8,":"))</f>
        <v>Armadura</v>
      </c>
      <c r="G8" s="18" t="s">
        <v>1055</v>
      </c>
      <c r="H8" s="16" t="str">
        <f>TRIM(_xlfn.TEXTBEFORE(G8,":"))</f>
        <v>Armure</v>
      </c>
      <c r="I8" s="18" t="s">
        <v>3226</v>
      </c>
      <c r="J8" s="16" t="str">
        <f>TRIM(_xlfn.TEXTBEFORE(I8,":"))</f>
        <v>アーマー</v>
      </c>
      <c r="K8" s="18" t="s">
        <v>3972</v>
      </c>
      <c r="L8" s="16" t="str">
        <f>TRIM(_xlfn.TEXTBEFORE(K8,":"))</f>
        <v>방어도</v>
      </c>
      <c r="M8" s="18" t="s">
        <v>2506</v>
      </c>
      <c r="N8" s="16" t="str">
        <f>TRIM(_xlfn.TEXTBEFORE(M8,":"))</f>
        <v>Armadura</v>
      </c>
      <c r="O8" s="18" t="s">
        <v>5386</v>
      </c>
      <c r="P8" s="16" t="str">
        <f>TRIM(_xlfn.TEXTBEFORE(O8,":"))</f>
        <v>Броня</v>
      </c>
      <c r="Q8" s="18" t="s">
        <v>6109</v>
      </c>
      <c r="R8" s="16" t="str">
        <f>TRIM(_xlfn.TEXTBEFORE(Q8,":"))</f>
        <v>ค่าเกราะ</v>
      </c>
      <c r="S8" s="18"/>
      <c r="T8" s="16" t="e">
        <f>TRIM(_xlfn.TEXTBEFORE(S8,":"))</f>
        <v>#N/A</v>
      </c>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81</v>
      </c>
      <c r="B10" s="16"/>
      <c r="C10" s="18" t="s">
        <v>1589</v>
      </c>
      <c r="D10" s="16"/>
      <c r="E10" s="18" t="s">
        <v>2308</v>
      </c>
      <c r="F10" s="16"/>
      <c r="G10" s="18" t="s">
        <v>5</v>
      </c>
      <c r="H10" s="16"/>
      <c r="I10" s="18" t="s">
        <v>3018</v>
      </c>
      <c r="J10" s="16"/>
      <c r="K10" s="18" t="s">
        <v>3772</v>
      </c>
      <c r="L10" s="16"/>
      <c r="M10" s="18" t="s">
        <v>2308</v>
      </c>
      <c r="N10" s="16"/>
      <c r="O10" s="18" t="s">
        <v>5183</v>
      </c>
      <c r="P10" s="16"/>
      <c r="Q10" s="18" t="s">
        <v>5928</v>
      </c>
      <c r="R10" s="16"/>
      <c r="S10" s="18"/>
      <c r="T10" s="16"/>
    </row>
    <row r="11" spans="1:20" ht="15.95" customHeight="1" x14ac:dyDescent="0.25">
      <c r="A11" s="18" t="s">
        <v>446</v>
      </c>
      <c r="B11" s="16"/>
      <c r="C11" s="18" t="s">
        <v>1788</v>
      </c>
      <c r="D11" s="16"/>
      <c r="E11" s="18" t="s">
        <v>2507</v>
      </c>
      <c r="F11" s="16"/>
      <c r="G11" s="18" t="s">
        <v>1056</v>
      </c>
      <c r="H11" s="16"/>
      <c r="I11" s="18" t="s">
        <v>3227</v>
      </c>
      <c r="J11" s="16"/>
      <c r="K11" s="18" t="s">
        <v>3973</v>
      </c>
      <c r="L11" s="16"/>
      <c r="M11" s="18" t="s">
        <v>4700</v>
      </c>
      <c r="N11" s="16"/>
      <c r="O11" s="18" t="s">
        <v>5387</v>
      </c>
      <c r="P11" s="16"/>
      <c r="Q11" s="18" t="s">
        <v>6110</v>
      </c>
      <c r="R11" s="16"/>
      <c r="S11" s="18"/>
      <c r="T11" s="16"/>
    </row>
    <row r="12" spans="1:20" ht="15.95" customHeight="1" x14ac:dyDescent="0.25">
      <c r="A12" s="18" t="s">
        <v>447</v>
      </c>
      <c r="B12" s="16"/>
      <c r="C12" s="18" t="s">
        <v>447</v>
      </c>
      <c r="D12" s="16"/>
      <c r="E12" s="18" t="s">
        <v>2338</v>
      </c>
      <c r="F12" s="16"/>
      <c r="G12" s="18" t="s">
        <v>865</v>
      </c>
      <c r="H12" s="16"/>
      <c r="I12" s="18" t="s">
        <v>3052</v>
      </c>
      <c r="J12" s="16"/>
      <c r="K12" s="18" t="s">
        <v>3803</v>
      </c>
      <c r="L12" s="16"/>
      <c r="M12" s="18" t="s">
        <v>865</v>
      </c>
      <c r="N12" s="16"/>
      <c r="O12" s="18" t="s">
        <v>5214</v>
      </c>
      <c r="P12" s="16"/>
      <c r="Q12" s="18" t="s">
        <v>447</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375</v>
      </c>
      <c r="B14" s="16"/>
      <c r="C14" s="18" t="s">
        <v>1789</v>
      </c>
      <c r="D14" s="16"/>
      <c r="E14" s="18" t="s">
        <v>2508</v>
      </c>
      <c r="F14" s="16"/>
      <c r="G14" s="18" t="s">
        <v>1057</v>
      </c>
      <c r="H14" s="16"/>
      <c r="I14" s="18" t="s">
        <v>3228</v>
      </c>
      <c r="J14" s="16"/>
      <c r="K14" s="18" t="s">
        <v>3974</v>
      </c>
      <c r="L14" s="16"/>
      <c r="M14" s="18" t="s">
        <v>4701</v>
      </c>
      <c r="N14" s="16"/>
      <c r="O14" s="18" t="s">
        <v>5388</v>
      </c>
      <c r="P14" s="16"/>
      <c r="Q14" s="18" t="s">
        <v>6111</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420</v>
      </c>
      <c r="B16" s="16"/>
      <c r="C16" s="18" t="s">
        <v>1790</v>
      </c>
      <c r="D16" s="16"/>
      <c r="E16" s="18" t="s">
        <v>2509</v>
      </c>
      <c r="F16" s="16"/>
      <c r="G16" s="18" t="s">
        <v>7</v>
      </c>
      <c r="H16" s="16"/>
      <c r="I16" s="18" t="s">
        <v>3229</v>
      </c>
      <c r="J16" s="16"/>
      <c r="K16" s="18" t="s">
        <v>3975</v>
      </c>
      <c r="L16" s="16"/>
      <c r="M16" s="18" t="s">
        <v>4702</v>
      </c>
      <c r="N16" s="16"/>
      <c r="O16" s="18" t="s">
        <v>5389</v>
      </c>
      <c r="P16" s="16"/>
      <c r="Q16" s="18" t="s">
        <v>6112</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448</v>
      </c>
      <c r="B18" s="16"/>
      <c r="C18" s="18" t="s">
        <v>1791</v>
      </c>
      <c r="D18" s="16"/>
      <c r="E18" s="18" t="s">
        <v>2510</v>
      </c>
      <c r="F18" s="16"/>
      <c r="G18" s="18" t="s">
        <v>1058</v>
      </c>
      <c r="H18" s="16"/>
      <c r="I18" s="18" t="s">
        <v>3230</v>
      </c>
      <c r="J18" s="16"/>
      <c r="K18" s="18" t="s">
        <v>3976</v>
      </c>
      <c r="L18" s="16"/>
      <c r="M18" s="18" t="s">
        <v>4703</v>
      </c>
      <c r="N18" s="16"/>
      <c r="O18" s="18" t="s">
        <v>5390</v>
      </c>
      <c r="P18" s="16"/>
      <c r="Q18" s="18" t="s">
        <v>6113</v>
      </c>
      <c r="R18" s="16"/>
      <c r="S18" s="18"/>
      <c r="T18" s="21"/>
    </row>
    <row r="19" spans="1:20" ht="15.95" customHeight="1" x14ac:dyDescent="0.25">
      <c r="A19" s="18" t="s">
        <v>449</v>
      </c>
      <c r="B19" s="16"/>
      <c r="C19" s="18" t="s">
        <v>1792</v>
      </c>
      <c r="D19" s="16"/>
      <c r="E19" s="18" t="s">
        <v>2511</v>
      </c>
      <c r="F19" s="16"/>
      <c r="G19" s="18" t="s">
        <v>1059</v>
      </c>
      <c r="H19" s="16"/>
      <c r="I19" s="18" t="s">
        <v>3231</v>
      </c>
      <c r="J19" s="16"/>
      <c r="K19" s="18" t="s">
        <v>3977</v>
      </c>
      <c r="L19" s="16"/>
      <c r="M19" s="18" t="s">
        <v>4704</v>
      </c>
      <c r="N19" s="16"/>
      <c r="O19" s="18" t="s">
        <v>5391</v>
      </c>
      <c r="P19" s="16"/>
      <c r="Q19" s="18" t="s">
        <v>6114</v>
      </c>
      <c r="R19" s="16"/>
      <c r="S19" s="18"/>
      <c r="T19" s="21"/>
    </row>
    <row r="20" spans="1:20" ht="15.95" customHeight="1" x14ac:dyDescent="0.25">
      <c r="A20" s="18" t="s">
        <v>450</v>
      </c>
      <c r="B20" s="16"/>
      <c r="C20" s="18" t="s">
        <v>1793</v>
      </c>
      <c r="D20" s="16"/>
      <c r="E20" s="18" t="s">
        <v>2512</v>
      </c>
      <c r="F20" s="16"/>
      <c r="G20" s="18" t="s">
        <v>1060</v>
      </c>
      <c r="H20" s="16"/>
      <c r="I20" s="18" t="s">
        <v>3232</v>
      </c>
      <c r="J20" s="16"/>
      <c r="K20" s="18" t="s">
        <v>3978</v>
      </c>
      <c r="L20" s="16"/>
      <c r="M20" s="18" t="s">
        <v>4705</v>
      </c>
      <c r="N20" s="16"/>
      <c r="O20" s="18" t="s">
        <v>5392</v>
      </c>
      <c r="P20" s="16"/>
      <c r="Q20" s="18" t="s">
        <v>6115</v>
      </c>
      <c r="R20" s="16"/>
      <c r="S20" s="18"/>
      <c r="T20" s="21"/>
    </row>
    <row r="21" spans="1:20" ht="15.95" customHeight="1" x14ac:dyDescent="0.25">
      <c r="A21" s="18" t="s">
        <v>451</v>
      </c>
      <c r="B21" s="16"/>
      <c r="C21" s="18" t="s">
        <v>1794</v>
      </c>
      <c r="D21" s="16"/>
      <c r="E21" s="18" t="s">
        <v>2513</v>
      </c>
      <c r="F21" s="16"/>
      <c r="G21" s="18" t="s">
        <v>1061</v>
      </c>
      <c r="H21" s="16"/>
      <c r="I21" s="18" t="s">
        <v>3233</v>
      </c>
      <c r="J21" s="16"/>
      <c r="K21" s="18" t="s">
        <v>3979</v>
      </c>
      <c r="L21" s="16"/>
      <c r="M21" s="18" t="s">
        <v>4706</v>
      </c>
      <c r="N21" s="16"/>
      <c r="O21" s="18" t="s">
        <v>5393</v>
      </c>
      <c r="P21" s="16"/>
      <c r="Q21" s="18" t="s">
        <v>6116</v>
      </c>
      <c r="R21" s="16"/>
      <c r="S21" s="18"/>
      <c r="T21" s="21"/>
    </row>
    <row r="22" spans="1:20" ht="15.95" customHeight="1" x14ac:dyDescent="0.25">
      <c r="A22" s="18" t="s">
        <v>452</v>
      </c>
      <c r="B22" s="16"/>
      <c r="C22" s="18" t="s">
        <v>1795</v>
      </c>
      <c r="D22" s="16"/>
      <c r="E22" s="18" t="s">
        <v>2514</v>
      </c>
      <c r="F22" s="16"/>
      <c r="G22" s="18" t="s">
        <v>1062</v>
      </c>
      <c r="H22" s="16"/>
      <c r="I22" s="18" t="s">
        <v>3234</v>
      </c>
      <c r="J22" s="16"/>
      <c r="K22" s="18" t="s">
        <v>3980</v>
      </c>
      <c r="L22" s="16"/>
      <c r="M22" s="18" t="s">
        <v>4707</v>
      </c>
      <c r="N22" s="16"/>
      <c r="O22" s="18" t="s">
        <v>5394</v>
      </c>
      <c r="P22" s="16"/>
      <c r="Q22" s="18" t="s">
        <v>6117</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453</v>
      </c>
      <c r="B24" s="16"/>
      <c r="C24" s="18" t="s">
        <v>1796</v>
      </c>
      <c r="D24" s="16"/>
      <c r="E24" s="18" t="s">
        <v>2515</v>
      </c>
      <c r="F24" s="16"/>
      <c r="G24" s="18" t="s">
        <v>1063</v>
      </c>
      <c r="H24" s="16"/>
      <c r="I24" s="18" t="s">
        <v>3235</v>
      </c>
      <c r="J24" s="16"/>
      <c r="K24" s="18" t="s">
        <v>3981</v>
      </c>
      <c r="L24" s="16"/>
      <c r="M24" s="18" t="s">
        <v>4708</v>
      </c>
      <c r="N24" s="16"/>
      <c r="O24" s="18" t="s">
        <v>5395</v>
      </c>
      <c r="P24" s="16"/>
      <c r="Q24" s="18" t="s">
        <v>6118</v>
      </c>
      <c r="R24" s="16"/>
      <c r="S24" s="18"/>
      <c r="T24" s="21"/>
    </row>
    <row r="25" spans="1:20" ht="15.95" customHeight="1" x14ac:dyDescent="0.25">
      <c r="A25" s="18" t="s">
        <v>454</v>
      </c>
      <c r="B25" s="16"/>
      <c r="C25" s="18" t="s">
        <v>1797</v>
      </c>
      <c r="D25" s="16"/>
      <c r="E25" s="18" t="s">
        <v>2516</v>
      </c>
      <c r="F25" s="16"/>
      <c r="G25" s="18" t="s">
        <v>1064</v>
      </c>
      <c r="H25" s="16"/>
      <c r="I25" s="18" t="s">
        <v>3236</v>
      </c>
      <c r="J25" s="16"/>
      <c r="K25" s="18" t="s">
        <v>3982</v>
      </c>
      <c r="L25" s="16"/>
      <c r="M25" s="18" t="s">
        <v>4709</v>
      </c>
      <c r="N25" s="16"/>
      <c r="O25" s="18" t="s">
        <v>5396</v>
      </c>
      <c r="P25" s="16"/>
      <c r="Q25" s="18" t="s">
        <v>6119</v>
      </c>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59" priority="22" stopIfTrue="1">
      <formula>NOT(ISERROR(A3))</formula>
    </cfRule>
  </conditionalFormatting>
  <conditionalFormatting sqref="A3:T7 A8 C8 E8 G8 I8 K8 M8 O8 Q8 S8 A9:T51">
    <cfRule type="notContainsBlanks" dxfId="358" priority="23">
      <formula>LEN(TRIM(A3))&gt;0</formula>
    </cfRule>
  </conditionalFormatting>
  <conditionalFormatting sqref="A3:T51">
    <cfRule type="containsErrors" dxfId="357" priority="1" stopIfTrue="1">
      <formula>ISERROR(A3)</formula>
    </cfRule>
  </conditionalFormatting>
  <conditionalFormatting sqref="B8">
    <cfRule type="notContainsBlanks" dxfId="356" priority="20">
      <formula>LEN(TRIM(B8))&gt;0</formula>
    </cfRule>
  </conditionalFormatting>
  <conditionalFormatting sqref="D8">
    <cfRule type="notContainsBlanks" dxfId="355" priority="18">
      <formula>LEN(TRIM(D8))&gt;0</formula>
    </cfRule>
  </conditionalFormatting>
  <conditionalFormatting sqref="F8">
    <cfRule type="notContainsBlanks" dxfId="354" priority="16">
      <formula>LEN(TRIM(F8))&gt;0</formula>
    </cfRule>
  </conditionalFormatting>
  <conditionalFormatting sqref="H8">
    <cfRule type="notContainsBlanks" dxfId="353" priority="14">
      <formula>LEN(TRIM(H8))&gt;0</formula>
    </cfRule>
  </conditionalFormatting>
  <conditionalFormatting sqref="J8">
    <cfRule type="notContainsBlanks" dxfId="352" priority="12">
      <formula>LEN(TRIM(J8))&gt;0</formula>
    </cfRule>
  </conditionalFormatting>
  <conditionalFormatting sqref="L8">
    <cfRule type="notContainsBlanks" dxfId="351" priority="10">
      <formula>LEN(TRIM(L8))&gt;0</formula>
    </cfRule>
  </conditionalFormatting>
  <conditionalFormatting sqref="N8">
    <cfRule type="notContainsBlanks" dxfId="350" priority="8">
      <formula>LEN(TRIM(N8))&gt;0</formula>
    </cfRule>
  </conditionalFormatting>
  <conditionalFormatting sqref="P8">
    <cfRule type="notContainsBlanks" dxfId="349" priority="6">
      <formula>LEN(TRIM(P8))&gt;0</formula>
    </cfRule>
  </conditionalFormatting>
  <conditionalFormatting sqref="R8">
    <cfRule type="notContainsBlanks" dxfId="348" priority="4">
      <formula>LEN(TRIM(R8))&gt;0</formula>
    </cfRule>
  </conditionalFormatting>
  <conditionalFormatting sqref="T8">
    <cfRule type="notContainsBlanks" dxfId="347" priority="2">
      <formula>LEN(TRIM(T8))&gt;0</formula>
    </cfRule>
  </conditionalFormatting>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FCD8A-1847-422E-9A94-9BB0EB317D4B}">
  <sheetPr codeName="Sheet28"/>
  <dimension ref="A1:T51"/>
  <sheetViews>
    <sheetView workbookViewId="0"/>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9" t="s">
        <v>84</v>
      </c>
    </row>
    <row r="3" spans="1:20" ht="15.95" customHeight="1" x14ac:dyDescent="0.25">
      <c r="A3" s="17" t="s">
        <v>427</v>
      </c>
      <c r="B3" s="16" t="str">
        <f>TRIM(_xlfn.TEXTBEFORE(A3, ":"))</f>
        <v>Item Class</v>
      </c>
      <c r="C3" s="17" t="s">
        <v>1798</v>
      </c>
      <c r="D3" s="16" t="str">
        <f>TRIM(_xlfn.TEXTBEFORE(C3, ":"))</f>
        <v>Gegenstandsklasse</v>
      </c>
      <c r="E3" s="17" t="s">
        <v>2517</v>
      </c>
      <c r="F3" s="16" t="str">
        <f>TRIM(_xlfn.TEXTBEFORE(E3, ":"))</f>
        <v>Clase de objeto</v>
      </c>
      <c r="G3" s="17" t="s">
        <v>1065</v>
      </c>
      <c r="H3" s="16" t="str">
        <f>TRIM(_xlfn.TEXTBEFORE(G3, ":"))</f>
        <v>Classe d'objet</v>
      </c>
      <c r="I3" s="17" t="s">
        <v>3237</v>
      </c>
      <c r="J3" s="16" t="str">
        <f>TRIM(_xlfn.TEXTBEFORE(I3, ":"))</f>
        <v>アイテムクラス</v>
      </c>
      <c r="K3" s="17" t="s">
        <v>3983</v>
      </c>
      <c r="L3" s="16" t="str">
        <f>TRIM(_xlfn.TEXTBEFORE(K3, ":"))</f>
        <v>아이템 종류</v>
      </c>
      <c r="M3" s="17" t="s">
        <v>4710</v>
      </c>
      <c r="N3" s="16" t="str">
        <f>TRIM(_xlfn.TEXTBEFORE(M3, ":"))</f>
        <v>Classe do Item</v>
      </c>
      <c r="O3" s="17" t="s">
        <v>5397</v>
      </c>
      <c r="P3" s="16" t="str">
        <f>TRIM(_xlfn.TEXTBEFORE(O3, ":"))</f>
        <v>Класс предмета</v>
      </c>
      <c r="Q3" s="17" t="s">
        <v>6120</v>
      </c>
      <c r="R3" s="16" t="str">
        <f>TRIM(_xlfn.TEXTBEFORE(Q3, ":"))</f>
        <v>ชนิดไอเทม</v>
      </c>
      <c r="S3" s="17"/>
      <c r="T3" s="16" t="e">
        <f>TRIM(_xlfn.TEXTBEFORE(S3, ":"))</f>
        <v>#N/A</v>
      </c>
    </row>
    <row r="4" spans="1:20" ht="15.95" customHeight="1" x14ac:dyDescent="0.25">
      <c r="A4" s="18" t="s">
        <v>80</v>
      </c>
      <c r="B4" s="16" t="str">
        <f>TRIM(_xlfn.TEXTAFTER(A3, ":"))</f>
        <v>Body Armours</v>
      </c>
      <c r="C4" s="18" t="s">
        <v>1643</v>
      </c>
      <c r="D4" s="16" t="str">
        <f>TRIM(_xlfn.TEXTAFTER(C3, ":"))</f>
        <v>Körperrüstungen</v>
      </c>
      <c r="E4" s="18" t="s">
        <v>2363</v>
      </c>
      <c r="F4" s="16" t="str">
        <f>TRIM(_xlfn.TEXTAFTER(E3, ":"))</f>
        <v>Armaduras corporales</v>
      </c>
      <c r="G4" s="18" t="s">
        <v>1</v>
      </c>
      <c r="H4" s="16" t="str">
        <f>TRIM(_xlfn.TEXTAFTER(G3, ":"))</f>
        <v>Armures</v>
      </c>
      <c r="I4" s="18" t="s">
        <v>3078</v>
      </c>
      <c r="J4" s="16" t="str">
        <f>TRIM(_xlfn.TEXTAFTER(I3, ":"))</f>
        <v>鎧</v>
      </c>
      <c r="K4" s="18" t="s">
        <v>3828</v>
      </c>
      <c r="L4" s="16" t="str">
        <f>TRIM(_xlfn.TEXTAFTER(K3, ":"))</f>
        <v>갑옷</v>
      </c>
      <c r="M4" s="18" t="s">
        <v>4557</v>
      </c>
      <c r="N4" s="16" t="str">
        <f>TRIM(_xlfn.TEXTAFTER(M3, ":"))</f>
        <v>Peitorais</v>
      </c>
      <c r="O4" s="18" t="s">
        <v>5240</v>
      </c>
      <c r="P4" s="16" t="str">
        <f>TRIM(_xlfn.TEXTAFTER(O3, ":"))</f>
        <v>Доспехи</v>
      </c>
      <c r="Q4" s="18" t="s">
        <v>5977</v>
      </c>
      <c r="R4" s="16" t="str">
        <f>TRIM(_xlfn.TEXTAFTER(Q3, ":"))</f>
        <v>เสื้อเกราะ</v>
      </c>
      <c r="S4" s="18"/>
      <c r="T4" s="16" t="e">
        <f>TRIM(_xlfn.TEXTAFTER(S3, ":"))</f>
        <v>#N/A</v>
      </c>
    </row>
    <row r="5" spans="1:20" ht="15.95" customHeight="1" x14ac:dyDescent="0.25">
      <c r="A5" s="18" t="s">
        <v>428</v>
      </c>
      <c r="B5" s="16" t="str">
        <f>TRIM(_xlfn.TEXTBEFORE(A4, ":"))</f>
        <v>Rarity</v>
      </c>
      <c r="C5" s="18" t="s">
        <v>1799</v>
      </c>
      <c r="D5" s="16" t="str">
        <f>TRIM(_xlfn.TEXTBEFORE(C4, ":"))</f>
        <v>Seltenheit</v>
      </c>
      <c r="E5" s="18" t="s">
        <v>2518</v>
      </c>
      <c r="F5" s="16" t="str">
        <f>TRIM(_xlfn.TEXTBEFORE(E4, ":"))</f>
        <v>Rareza</v>
      </c>
      <c r="G5" s="18" t="s">
        <v>1066</v>
      </c>
      <c r="H5" s="16" t="str">
        <f>TRIM(_xlfn.TEXTBEFORE(G4, ":"))</f>
        <v>Rareté</v>
      </c>
      <c r="I5" s="18" t="s">
        <v>3238</v>
      </c>
      <c r="J5" s="16" t="str">
        <f>TRIM(_xlfn.TEXTBEFORE(I4, ":"))</f>
        <v>レアリティ</v>
      </c>
      <c r="K5" s="18" t="s">
        <v>3984</v>
      </c>
      <c r="L5" s="16" t="str">
        <f>TRIM(_xlfn.TEXTBEFORE(K4, ":"))</f>
        <v>아이템 희귀도</v>
      </c>
      <c r="M5" s="18" t="s">
        <v>4711</v>
      </c>
      <c r="N5" s="16" t="str">
        <f>TRIM(_xlfn.TEXTBEFORE(M4, ":"))</f>
        <v>Raridade</v>
      </c>
      <c r="O5" s="18" t="s">
        <v>5398</v>
      </c>
      <c r="P5" s="16" t="str">
        <f>TRIM(_xlfn.TEXTBEFORE(O4, ":"))</f>
        <v>Редкость</v>
      </c>
      <c r="Q5" s="18" t="s">
        <v>428</v>
      </c>
      <c r="R5" s="16" t="str">
        <f>TRIM(_xlfn.TEXTBEFORE(Q4, ":"))</f>
        <v>ความหายาก</v>
      </c>
      <c r="S5" s="18"/>
      <c r="T5" s="16" t="e">
        <f>TRIM(_xlfn.TEXTBEFORE(S4, ":"))</f>
        <v>#N/A</v>
      </c>
    </row>
    <row r="6" spans="1:20" ht="15.95" customHeight="1" x14ac:dyDescent="0.25">
      <c r="A6" s="18" t="s">
        <v>429</v>
      </c>
      <c r="B6" s="16" t="str">
        <f>TRIM(_xlfn.TEXTAFTER(A4,":"))</f>
        <v>Unique</v>
      </c>
      <c r="C6" s="18" t="s">
        <v>1800</v>
      </c>
      <c r="D6" s="16" t="str">
        <f>TRIM(_xlfn.TEXTAFTER(C4,":"))</f>
        <v>Einzigartig</v>
      </c>
      <c r="E6" s="18" t="s">
        <v>2519</v>
      </c>
      <c r="F6" s="16" t="str">
        <f>TRIM(_xlfn.TEXTAFTER(E4,":"))</f>
        <v>Único</v>
      </c>
      <c r="G6" s="18" t="s">
        <v>1067</v>
      </c>
      <c r="H6" s="16" t="str">
        <f>TRIM(_xlfn.TEXTAFTER(G4,":"))</f>
        <v>Unique</v>
      </c>
      <c r="I6" s="18" t="s">
        <v>3239</v>
      </c>
      <c r="J6" s="16" t="str">
        <f>TRIM(_xlfn.TEXTAFTER(I4,":"))</f>
        <v>ユニーク</v>
      </c>
      <c r="K6" s="18" t="s">
        <v>3985</v>
      </c>
      <c r="L6" s="16" t="str">
        <f>TRIM(_xlfn.TEXTAFTER(K4,":"))</f>
        <v>고유</v>
      </c>
      <c r="M6" s="18" t="s">
        <v>4712</v>
      </c>
      <c r="N6" s="16" t="str">
        <f>TRIM(_xlfn.TEXTAFTER(M4,":"))</f>
        <v>Único</v>
      </c>
      <c r="O6" s="18" t="s">
        <v>5399</v>
      </c>
      <c r="P6" s="16" t="str">
        <f>TRIM(_xlfn.TEXTAFTER(O4,":"))</f>
        <v>Уникальный</v>
      </c>
      <c r="Q6" s="18" t="s">
        <v>429</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430</v>
      </c>
      <c r="B8" s="16" t="str">
        <f>TRIM(_xlfn.TEXTBEFORE(A8,":"))</f>
        <v>Evasion Rating</v>
      </c>
      <c r="C8" s="18" t="s">
        <v>1801</v>
      </c>
      <c r="D8" s="16" t="str">
        <f>TRIM(_xlfn.TEXTBEFORE(C8,":"))</f>
        <v>Ausweichwert</v>
      </c>
      <c r="E8" s="18" t="s">
        <v>2520</v>
      </c>
      <c r="F8" s="16" t="str">
        <f>TRIM(_xlfn.TEXTBEFORE(E8,":"))</f>
        <v>Evasión</v>
      </c>
      <c r="G8" s="18" t="s">
        <v>1068</v>
      </c>
      <c r="H8" s="16" t="str">
        <f>TRIM(_xlfn.TEXTBEFORE(G8,":"))</f>
        <v>Score d'Évasion</v>
      </c>
      <c r="I8" s="18" t="s">
        <v>3240</v>
      </c>
      <c r="J8" s="16" t="str">
        <f>TRIM(_xlfn.TEXTBEFORE(I8,":"))</f>
        <v>回避力</v>
      </c>
      <c r="K8" s="18" t="s">
        <v>3986</v>
      </c>
      <c r="L8" s="16" t="str">
        <f>TRIM(_xlfn.TEXTBEFORE(K8,":"))</f>
        <v>회피</v>
      </c>
      <c r="M8" s="18" t="s">
        <v>4713</v>
      </c>
      <c r="N8" s="16" t="str">
        <f>TRIM(_xlfn.TEXTBEFORE(M8,":"))</f>
        <v>Evasão</v>
      </c>
      <c r="O8" s="18" t="s">
        <v>5400</v>
      </c>
      <c r="P8" s="16" t="str">
        <f>TRIM(_xlfn.TEXTBEFORE(O8,":"))</f>
        <v>Уклонение</v>
      </c>
      <c r="Q8" s="18" t="s">
        <v>6121</v>
      </c>
      <c r="R8" s="16" t="str">
        <f>TRIM(_xlfn.TEXTBEFORE(Q8,":"))</f>
        <v>อัตราการหลบหลีก</v>
      </c>
      <c r="S8" s="18"/>
      <c r="T8" s="16" t="e">
        <f>TRIM(_xlfn.TEXTBEFORE(S8,":"))</f>
        <v>#N/A</v>
      </c>
    </row>
    <row r="9" spans="1:20" ht="15.95" customHeight="1" x14ac:dyDescent="0.25">
      <c r="A9" s="18" t="s">
        <v>431</v>
      </c>
      <c r="B9" s="16" t="str">
        <f>TRIM(_xlfn.TEXTBEFORE(A9,":"))</f>
        <v>Energy Shield</v>
      </c>
      <c r="C9" s="18" t="s">
        <v>1802</v>
      </c>
      <c r="D9" s="16" t="str">
        <f>TRIM(_xlfn.TEXTBEFORE(C9,":"))</f>
        <v>Energieschild</v>
      </c>
      <c r="E9" s="18" t="s">
        <v>2521</v>
      </c>
      <c r="F9" s="16" t="str">
        <f>TRIM(_xlfn.TEXTBEFORE(E9,":"))</f>
        <v>Escudo de energía</v>
      </c>
      <c r="G9" s="18" t="s">
        <v>1069</v>
      </c>
      <c r="H9" s="16" t="str">
        <f>TRIM(_xlfn.TEXTBEFORE(G9,":"))</f>
        <v>Bouclier d'énergie</v>
      </c>
      <c r="I9" s="18" t="s">
        <v>3241</v>
      </c>
      <c r="J9" s="16" t="str">
        <f>TRIM(_xlfn.TEXTBEFORE(I9,":"))</f>
        <v>エナジーシールド</v>
      </c>
      <c r="K9" s="18" t="s">
        <v>3987</v>
      </c>
      <c r="L9" s="16" t="str">
        <f>TRIM(_xlfn.TEXTBEFORE(K9,":"))</f>
        <v>에너지 보호막</v>
      </c>
      <c r="M9" s="18" t="s">
        <v>4714</v>
      </c>
      <c r="N9" s="16" t="str">
        <f>TRIM(_xlfn.TEXTBEFORE(M9,":"))</f>
        <v>Escudo de Energia</v>
      </c>
      <c r="O9" s="18" t="s">
        <v>5401</v>
      </c>
      <c r="P9" s="16" t="str">
        <f>TRIM(_xlfn.TEXTBEFORE(O9,":"))</f>
        <v>Энерг. щит</v>
      </c>
      <c r="Q9" s="18" t="s">
        <v>6122</v>
      </c>
      <c r="R9" s="16" t="str">
        <f>TRIM(_xlfn.TEXTBEFORE(Q9,":"))</f>
        <v>โล่พลังงาน</v>
      </c>
      <c r="S9" s="18"/>
      <c r="T9" s="16" t="e">
        <f>TRIM(_xlfn.TEXTBEFORE(S9,":"))</f>
        <v>#N/A</v>
      </c>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81</v>
      </c>
      <c r="B11" s="16"/>
      <c r="C11" s="18" t="s">
        <v>1589</v>
      </c>
      <c r="D11" s="16"/>
      <c r="E11" s="18" t="s">
        <v>2308</v>
      </c>
      <c r="F11" s="16"/>
      <c r="G11" s="18" t="s">
        <v>5</v>
      </c>
      <c r="H11" s="16"/>
      <c r="I11" s="18" t="s">
        <v>3018</v>
      </c>
      <c r="J11" s="16"/>
      <c r="K11" s="18" t="s">
        <v>3772</v>
      </c>
      <c r="L11" s="16"/>
      <c r="M11" s="18" t="s">
        <v>2308</v>
      </c>
      <c r="N11" s="16"/>
      <c r="O11" s="18" t="s">
        <v>5183</v>
      </c>
      <c r="P11" s="16"/>
      <c r="Q11" s="18" t="s">
        <v>5928</v>
      </c>
      <c r="R11" s="16"/>
      <c r="S11" s="18"/>
      <c r="T11" s="16"/>
    </row>
    <row r="12" spans="1:20" ht="15.95" customHeight="1" x14ac:dyDescent="0.25">
      <c r="A12" s="18" t="s">
        <v>107</v>
      </c>
      <c r="B12" s="16"/>
      <c r="C12" s="18" t="s">
        <v>1590</v>
      </c>
      <c r="D12" s="16"/>
      <c r="E12" s="18" t="s">
        <v>2337</v>
      </c>
      <c r="F12" s="16"/>
      <c r="G12" s="18" t="s">
        <v>864</v>
      </c>
      <c r="H12" s="16"/>
      <c r="I12" s="18" t="s">
        <v>3051</v>
      </c>
      <c r="J12" s="16"/>
      <c r="K12" s="18" t="s">
        <v>3802</v>
      </c>
      <c r="L12" s="16"/>
      <c r="M12" s="18" t="s">
        <v>4530</v>
      </c>
      <c r="N12" s="16"/>
      <c r="O12" s="18" t="s">
        <v>5213</v>
      </c>
      <c r="P12" s="16"/>
      <c r="Q12" s="18" t="s">
        <v>5955</v>
      </c>
      <c r="R12" s="16"/>
      <c r="S12" s="18"/>
      <c r="T12" s="21"/>
    </row>
    <row r="13" spans="1:20" ht="15.95" customHeight="1" x14ac:dyDescent="0.25">
      <c r="A13" s="18" t="s">
        <v>229</v>
      </c>
      <c r="B13" s="16"/>
      <c r="C13" s="18" t="s">
        <v>1803</v>
      </c>
      <c r="D13" s="16"/>
      <c r="E13" s="18" t="s">
        <v>2522</v>
      </c>
      <c r="F13" s="16"/>
      <c r="G13" s="18" t="s">
        <v>229</v>
      </c>
      <c r="H13" s="16"/>
      <c r="I13" s="18" t="s">
        <v>3242</v>
      </c>
      <c r="J13" s="16"/>
      <c r="K13" s="18" t="s">
        <v>3988</v>
      </c>
      <c r="L13" s="16"/>
      <c r="M13" s="18" t="s">
        <v>2522</v>
      </c>
      <c r="N13" s="16"/>
      <c r="O13" s="18" t="s">
        <v>5402</v>
      </c>
      <c r="P13" s="16"/>
      <c r="Q13" s="18" t="s">
        <v>229</v>
      </c>
      <c r="R13" s="16"/>
      <c r="S13" s="18"/>
      <c r="T13" s="21"/>
    </row>
    <row r="14" spans="1:20" ht="15.95" customHeight="1" x14ac:dyDescent="0.25">
      <c r="A14" s="18" t="s">
        <v>432</v>
      </c>
      <c r="B14" s="16"/>
      <c r="C14" s="18" t="s">
        <v>432</v>
      </c>
      <c r="D14" s="16"/>
      <c r="E14" s="18" t="s">
        <v>432</v>
      </c>
      <c r="F14" s="16"/>
      <c r="G14" s="18" t="s">
        <v>432</v>
      </c>
      <c r="H14" s="16"/>
      <c r="I14" s="18" t="s">
        <v>3243</v>
      </c>
      <c r="J14" s="16"/>
      <c r="K14" s="18" t="s">
        <v>3989</v>
      </c>
      <c r="L14" s="16"/>
      <c r="M14" s="18" t="s">
        <v>432</v>
      </c>
      <c r="N14" s="16"/>
      <c r="O14" s="18" t="s">
        <v>5403</v>
      </c>
      <c r="P14" s="16"/>
      <c r="Q14" s="18" t="s">
        <v>432</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358</v>
      </c>
      <c r="B16" s="16"/>
      <c r="C16" s="18" t="s">
        <v>1804</v>
      </c>
      <c r="D16" s="16"/>
      <c r="E16" s="18" t="s">
        <v>2523</v>
      </c>
      <c r="F16" s="16"/>
      <c r="G16" s="18" t="s">
        <v>1070</v>
      </c>
      <c r="H16" s="16"/>
      <c r="I16" s="18" t="s">
        <v>3244</v>
      </c>
      <c r="J16" s="16"/>
      <c r="K16" s="18" t="s">
        <v>3990</v>
      </c>
      <c r="L16" s="16"/>
      <c r="M16" s="18" t="s">
        <v>4715</v>
      </c>
      <c r="N16" s="16"/>
      <c r="O16" s="18" t="s">
        <v>5404</v>
      </c>
      <c r="P16" s="16"/>
      <c r="Q16" s="18" t="s">
        <v>6123</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433</v>
      </c>
      <c r="B18" s="16"/>
      <c r="C18" s="18" t="s">
        <v>1699</v>
      </c>
      <c r="D18" s="16"/>
      <c r="E18" s="18" t="s">
        <v>2418</v>
      </c>
      <c r="F18" s="16"/>
      <c r="G18" s="18" t="s">
        <v>967</v>
      </c>
      <c r="H18" s="16"/>
      <c r="I18" s="18" t="s">
        <v>3136</v>
      </c>
      <c r="J18" s="16"/>
      <c r="K18" s="18" t="s">
        <v>3883</v>
      </c>
      <c r="L18" s="16"/>
      <c r="M18" s="18" t="s">
        <v>4612</v>
      </c>
      <c r="N18" s="16"/>
      <c r="O18" s="18" t="s">
        <v>5297</v>
      </c>
      <c r="P18" s="16"/>
      <c r="Q18" s="18" t="s">
        <v>6030</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434</v>
      </c>
      <c r="B20" s="16"/>
      <c r="C20" s="18" t="s">
        <v>1805</v>
      </c>
      <c r="D20" s="16"/>
      <c r="E20" s="18" t="s">
        <v>2524</v>
      </c>
      <c r="F20" s="16"/>
      <c r="G20" s="18" t="s">
        <v>1071</v>
      </c>
      <c r="H20" s="16"/>
      <c r="I20" s="18" t="s">
        <v>3245</v>
      </c>
      <c r="J20" s="16"/>
      <c r="K20" s="18" t="s">
        <v>3991</v>
      </c>
      <c r="L20" s="16"/>
      <c r="M20" s="18" t="s">
        <v>4716</v>
      </c>
      <c r="N20" s="16"/>
      <c r="O20" s="18" t="s">
        <v>5405</v>
      </c>
      <c r="P20" s="16"/>
      <c r="Q20" s="18" t="s">
        <v>6124</v>
      </c>
      <c r="R20" s="16"/>
      <c r="S20" s="18"/>
      <c r="T20" s="21"/>
    </row>
    <row r="21" spans="1:20" ht="15.95" customHeight="1" x14ac:dyDescent="0.25">
      <c r="A21" s="18" t="s">
        <v>435</v>
      </c>
      <c r="B21" s="16"/>
      <c r="C21" s="18" t="s">
        <v>1806</v>
      </c>
      <c r="D21" s="16"/>
      <c r="E21" s="18" t="s">
        <v>2525</v>
      </c>
      <c r="F21" s="16"/>
      <c r="G21" s="18" t="s">
        <v>1072</v>
      </c>
      <c r="H21" s="16"/>
      <c r="I21" s="18" t="s">
        <v>3246</v>
      </c>
      <c r="J21" s="16"/>
      <c r="K21" s="18" t="s">
        <v>3992</v>
      </c>
      <c r="L21" s="16"/>
      <c r="M21" s="18" t="s">
        <v>4717</v>
      </c>
      <c r="N21" s="16"/>
      <c r="O21" s="18" t="s">
        <v>5406</v>
      </c>
      <c r="P21" s="16"/>
      <c r="Q21" s="18" t="s">
        <v>6125</v>
      </c>
      <c r="R21" s="16"/>
      <c r="S21" s="18"/>
      <c r="T21" s="21"/>
    </row>
    <row r="22" spans="1:20" ht="15.95" customHeight="1" x14ac:dyDescent="0.25">
      <c r="A22" s="18" t="s">
        <v>436</v>
      </c>
      <c r="B22" s="16"/>
      <c r="C22" s="18" t="s">
        <v>1807</v>
      </c>
      <c r="D22" s="16"/>
      <c r="E22" s="18" t="s">
        <v>2526</v>
      </c>
      <c r="F22" s="16"/>
      <c r="G22" s="18" t="s">
        <v>1073</v>
      </c>
      <c r="H22" s="16"/>
      <c r="I22" s="18" t="s">
        <v>3247</v>
      </c>
      <c r="J22" s="16"/>
      <c r="K22" s="18" t="s">
        <v>3993</v>
      </c>
      <c r="L22" s="16"/>
      <c r="M22" s="18" t="s">
        <v>4718</v>
      </c>
      <c r="N22" s="16"/>
      <c r="O22" s="18" t="s">
        <v>5407</v>
      </c>
      <c r="P22" s="16"/>
      <c r="Q22" s="18" t="s">
        <v>6126</v>
      </c>
      <c r="R22" s="16"/>
      <c r="S22" s="18"/>
      <c r="T22" s="21"/>
    </row>
    <row r="23" spans="1:20" ht="15.95" customHeight="1" x14ac:dyDescent="0.25">
      <c r="A23" s="18" t="s">
        <v>437</v>
      </c>
      <c r="B23" s="16"/>
      <c r="C23" s="18" t="s">
        <v>1808</v>
      </c>
      <c r="D23" s="16"/>
      <c r="E23" s="18" t="s">
        <v>2527</v>
      </c>
      <c r="F23" s="16"/>
      <c r="G23" s="18" t="s">
        <v>1074</v>
      </c>
      <c r="H23" s="16"/>
      <c r="I23" s="18" t="s">
        <v>3248</v>
      </c>
      <c r="J23" s="16"/>
      <c r="K23" s="18" t="s">
        <v>3994</v>
      </c>
      <c r="L23" s="16"/>
      <c r="M23" s="18" t="s">
        <v>4719</v>
      </c>
      <c r="N23" s="16"/>
      <c r="O23" s="18" t="s">
        <v>5408</v>
      </c>
      <c r="P23" s="16"/>
      <c r="Q23" s="18" t="s">
        <v>6127</v>
      </c>
      <c r="R23" s="16"/>
      <c r="S23" s="18"/>
      <c r="T23" s="21"/>
    </row>
    <row r="24" spans="1:20" ht="15.95" customHeight="1" x14ac:dyDescent="0.25">
      <c r="A24" s="18" t="s">
        <v>438</v>
      </c>
      <c r="B24" s="16"/>
      <c r="C24" s="18" t="s">
        <v>1809</v>
      </c>
      <c r="D24" s="16"/>
      <c r="E24" s="18" t="s">
        <v>2528</v>
      </c>
      <c r="F24" s="16"/>
      <c r="G24" s="18" t="s">
        <v>1075</v>
      </c>
      <c r="H24" s="16"/>
      <c r="I24" s="18" t="s">
        <v>3249</v>
      </c>
      <c r="J24" s="16"/>
      <c r="K24" s="18" t="s">
        <v>3995</v>
      </c>
      <c r="L24" s="16"/>
      <c r="M24" s="18" t="s">
        <v>4720</v>
      </c>
      <c r="N24" s="16"/>
      <c r="O24" s="18" t="s">
        <v>5409</v>
      </c>
      <c r="P24" s="16"/>
      <c r="Q24" s="18" t="s">
        <v>6128</v>
      </c>
      <c r="R24" s="16"/>
      <c r="S24" s="18"/>
      <c r="T24" s="21"/>
    </row>
    <row r="25" spans="1:20" ht="15.95" customHeight="1" x14ac:dyDescent="0.25">
      <c r="A25" s="18" t="s">
        <v>439</v>
      </c>
      <c r="B25" s="16"/>
      <c r="C25" s="18" t="s">
        <v>1810</v>
      </c>
      <c r="D25" s="16"/>
      <c r="E25" s="18" t="s">
        <v>2529</v>
      </c>
      <c r="F25" s="16"/>
      <c r="G25" s="18" t="s">
        <v>439</v>
      </c>
      <c r="H25" s="16"/>
      <c r="I25" s="18" t="s">
        <v>3250</v>
      </c>
      <c r="J25" s="16"/>
      <c r="K25" s="18" t="s">
        <v>3996</v>
      </c>
      <c r="L25" s="16"/>
      <c r="M25" s="18" t="s">
        <v>4721</v>
      </c>
      <c r="N25" s="16"/>
      <c r="O25" s="18" t="s">
        <v>5410</v>
      </c>
      <c r="P25" s="16"/>
      <c r="Q25" s="18" t="s">
        <v>6129</v>
      </c>
      <c r="R25" s="16"/>
      <c r="S25" s="18"/>
      <c r="T25" s="21"/>
    </row>
    <row r="26" spans="1:20" ht="15.95" customHeight="1" x14ac:dyDescent="0.25">
      <c r="A26" s="18" t="s">
        <v>4</v>
      </c>
      <c r="B26" s="16"/>
      <c r="C26" s="18" t="s">
        <v>4</v>
      </c>
      <c r="D26" s="16"/>
      <c r="E26" s="18" t="s">
        <v>4</v>
      </c>
      <c r="F26" s="16"/>
      <c r="G26" s="18" t="s">
        <v>4</v>
      </c>
      <c r="H26" s="16"/>
      <c r="I26" s="18" t="s">
        <v>4</v>
      </c>
      <c r="J26" s="16"/>
      <c r="K26" s="18" t="s">
        <v>4</v>
      </c>
      <c r="L26" s="16"/>
      <c r="M26" s="18" t="s">
        <v>4</v>
      </c>
      <c r="N26" s="16"/>
      <c r="O26" s="18" t="s">
        <v>4</v>
      </c>
      <c r="P26" s="16"/>
      <c r="Q26" s="18" t="s">
        <v>4</v>
      </c>
      <c r="R26" s="16"/>
      <c r="S26" s="18"/>
      <c r="T26" s="21"/>
    </row>
    <row r="27" spans="1:20" ht="15.95" customHeight="1" x14ac:dyDescent="0.25">
      <c r="A27" s="18" t="s">
        <v>440</v>
      </c>
      <c r="B27" s="16"/>
      <c r="C27" s="18" t="s">
        <v>1811</v>
      </c>
      <c r="D27" s="16"/>
      <c r="E27" s="18" t="s">
        <v>2530</v>
      </c>
      <c r="F27" s="16"/>
      <c r="G27" s="18" t="s">
        <v>1076</v>
      </c>
      <c r="H27" s="16"/>
      <c r="I27" s="18" t="s">
        <v>3251</v>
      </c>
      <c r="J27" s="16"/>
      <c r="K27" s="18" t="s">
        <v>3997</v>
      </c>
      <c r="L27" s="16"/>
      <c r="M27" s="18" t="s">
        <v>4722</v>
      </c>
      <c r="N27" s="16"/>
      <c r="O27" s="18" t="s">
        <v>5411</v>
      </c>
      <c r="P27" s="16"/>
      <c r="Q27" s="18" t="s">
        <v>6130</v>
      </c>
      <c r="R27" s="16"/>
      <c r="S27" s="18"/>
      <c r="T27" s="21"/>
    </row>
    <row r="28" spans="1:20" ht="15.95" customHeight="1" x14ac:dyDescent="0.25">
      <c r="A28" s="18" t="s">
        <v>441</v>
      </c>
      <c r="B28" s="16"/>
      <c r="C28" s="18" t="s">
        <v>1812</v>
      </c>
      <c r="D28" s="16"/>
      <c r="E28" s="18" t="e" cm="1">
        <f t="array" ref="E28">- Diario de Malígaro</f>
        <v>#NAME?</v>
      </c>
      <c r="F28" s="16"/>
      <c r="G28" s="18" t="s">
        <v>1077</v>
      </c>
      <c r="H28" s="16"/>
      <c r="I28" s="18" t="s">
        <v>3252</v>
      </c>
      <c r="J28" s="16"/>
      <c r="K28" s="18" t="s">
        <v>3998</v>
      </c>
      <c r="L28" s="16"/>
      <c r="M28" s="18" t="e" cm="1">
        <f t="array" ref="M28">- Diário de Maligaro</f>
        <v>#NAME?</v>
      </c>
      <c r="N28" s="16"/>
      <c r="O28" s="18" t="s">
        <v>5412</v>
      </c>
      <c r="P28" s="16"/>
      <c r="Q28" s="18" t="e" cm="1">
        <f t="array" ref="Q28">- บันทึก​ของ​มาลิกาโร</f>
        <v>#NAME?</v>
      </c>
      <c r="R28" s="16"/>
      <c r="S28" s="18"/>
      <c r="T28" s="21"/>
    </row>
    <row r="29" spans="1:20" ht="15.95" customHeight="1" x14ac:dyDescent="0.25">
      <c r="A29" s="18"/>
      <c r="B29" s="16"/>
      <c r="C29" s="18"/>
      <c r="D29" s="16"/>
      <c r="E29" s="18"/>
      <c r="F29" s="16"/>
      <c r="G29" s="18" t="s">
        <v>1078</v>
      </c>
      <c r="H29" s="16"/>
      <c r="I29" s="18" t="s">
        <v>3253</v>
      </c>
      <c r="J29" s="16"/>
      <c r="K29" s="18"/>
      <c r="L29" s="16"/>
      <c r="M29" s="18"/>
      <c r="N29" s="16"/>
      <c r="O29" s="18" t="e" cm="1">
        <f t="array" ref="O29">- Дневник Малигаро</f>
        <v>#NAME?</v>
      </c>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46" priority="42" stopIfTrue="1">
      <formula>NOT(ISERROR(A3))</formula>
    </cfRule>
  </conditionalFormatting>
  <conditionalFormatting sqref="A3:T7 A8:A9 C8:C9 E8:E9 G8:G9 I8:I9 K8:K9 M8:M9 O8:O9 Q8:Q9 S8:S9 A10:T51">
    <cfRule type="notContainsBlanks" dxfId="345" priority="43">
      <formula>LEN(TRIM(A3))&gt;0</formula>
    </cfRule>
  </conditionalFormatting>
  <conditionalFormatting sqref="A3:T51">
    <cfRule type="containsErrors" dxfId="344" priority="1" stopIfTrue="1">
      <formula>ISERROR(A3)</formula>
    </cfRule>
  </conditionalFormatting>
  <conditionalFormatting sqref="B8:B9">
    <cfRule type="notContainsBlanks" dxfId="343" priority="38">
      <formula>LEN(TRIM(B8))&gt;0</formula>
    </cfRule>
  </conditionalFormatting>
  <conditionalFormatting sqref="D8:D9">
    <cfRule type="notContainsBlanks" dxfId="342" priority="34">
      <formula>LEN(TRIM(D8))&gt;0</formula>
    </cfRule>
  </conditionalFormatting>
  <conditionalFormatting sqref="F8:F9">
    <cfRule type="notContainsBlanks" dxfId="341" priority="30">
      <formula>LEN(TRIM(F8))&gt;0</formula>
    </cfRule>
  </conditionalFormatting>
  <conditionalFormatting sqref="H8:H9">
    <cfRule type="notContainsBlanks" dxfId="340" priority="26">
      <formula>LEN(TRIM(H8))&gt;0</formula>
    </cfRule>
  </conditionalFormatting>
  <conditionalFormatting sqref="J8:J9">
    <cfRule type="notContainsBlanks" dxfId="339" priority="22">
      <formula>LEN(TRIM(J8))&gt;0</formula>
    </cfRule>
  </conditionalFormatting>
  <conditionalFormatting sqref="L8:L9">
    <cfRule type="notContainsBlanks" dxfId="338" priority="18">
      <formula>LEN(TRIM(L8))&gt;0</formula>
    </cfRule>
  </conditionalFormatting>
  <conditionalFormatting sqref="N8:N9">
    <cfRule type="notContainsBlanks" dxfId="337" priority="14">
      <formula>LEN(TRIM(N8))&gt;0</formula>
    </cfRule>
  </conditionalFormatting>
  <conditionalFormatting sqref="P8:P9">
    <cfRule type="notContainsBlanks" dxfId="336" priority="10">
      <formula>LEN(TRIM(P8))&gt;0</formula>
    </cfRule>
  </conditionalFormatting>
  <conditionalFormatting sqref="R8:R9">
    <cfRule type="notContainsBlanks" dxfId="335" priority="6">
      <formula>LEN(TRIM(R8))&gt;0</formula>
    </cfRule>
  </conditionalFormatting>
  <conditionalFormatting sqref="T8:T9">
    <cfRule type="notContainsBlanks" dxfId="334" priority="2">
      <formula>LEN(TRIM(T8))&gt;0</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0C07C-739B-44AE-BF9F-7B538DEE66FD}">
  <sheetPr codeName="Sheet29"/>
  <dimension ref="A1:T51"/>
  <sheetViews>
    <sheetView workbookViewId="0">
      <selection activeCell="Q3" sqref="Q3:Q29"/>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9" t="s">
        <v>84</v>
      </c>
    </row>
    <row r="3" spans="1:20" ht="15.95" customHeight="1" x14ac:dyDescent="0.25">
      <c r="A3" s="17" t="s">
        <v>455</v>
      </c>
      <c r="B3" s="16" t="str">
        <f>TRIM(_xlfn.TEXTBEFORE(A3, ":"))</f>
        <v>Item Class</v>
      </c>
      <c r="C3" s="17" t="s">
        <v>1813</v>
      </c>
      <c r="D3" s="16" t="str">
        <f>TRIM(_xlfn.TEXTBEFORE(C3, ":"))</f>
        <v>Gegenstandsklasse</v>
      </c>
      <c r="E3" s="17" t="s">
        <v>2531</v>
      </c>
      <c r="F3" s="16" t="str">
        <f>TRIM(_xlfn.TEXTBEFORE(E3, ":"))</f>
        <v>Clase de objeto</v>
      </c>
      <c r="G3" s="17" t="s">
        <v>1079</v>
      </c>
      <c r="H3" s="16" t="str">
        <f>TRIM(_xlfn.TEXTBEFORE(G3, ":"))</f>
        <v>Classe d'objet</v>
      </c>
      <c r="I3" s="17" t="s">
        <v>3254</v>
      </c>
      <c r="J3" s="16" t="str">
        <f>TRIM(_xlfn.TEXTBEFORE(I3, ":"))</f>
        <v>アイテムクラス</v>
      </c>
      <c r="K3" s="17" t="s">
        <v>3999</v>
      </c>
      <c r="L3" s="16" t="str">
        <f>TRIM(_xlfn.TEXTBEFORE(K3, ":"))</f>
        <v>아이템 종류</v>
      </c>
      <c r="M3" s="17" t="s">
        <v>4723</v>
      </c>
      <c r="N3" s="16" t="str">
        <f>TRIM(_xlfn.TEXTBEFORE(M3, ":"))</f>
        <v>Classe do Item</v>
      </c>
      <c r="O3" s="17" t="s">
        <v>5413</v>
      </c>
      <c r="P3" s="16" t="str">
        <f>TRIM(_xlfn.TEXTBEFORE(O3, ":"))</f>
        <v>Класс предмета</v>
      </c>
      <c r="Q3" s="17" t="s">
        <v>6131</v>
      </c>
      <c r="R3" s="16" t="str">
        <f>TRIM(_xlfn.TEXTBEFORE(Q3, ":"))</f>
        <v>ชนิดไอเทม</v>
      </c>
      <c r="S3" s="17"/>
      <c r="T3" s="16" t="e">
        <f>TRIM(_xlfn.TEXTBEFORE(S3, ":"))</f>
        <v>#N/A</v>
      </c>
    </row>
    <row r="4" spans="1:20" ht="15.95" customHeight="1" x14ac:dyDescent="0.25">
      <c r="A4" s="18" t="s">
        <v>80</v>
      </c>
      <c r="B4" s="16" t="str">
        <f>TRIM(_xlfn.TEXTAFTER(A3, ":"))</f>
        <v>Shields</v>
      </c>
      <c r="C4" s="18" t="s">
        <v>1643</v>
      </c>
      <c r="D4" s="16" t="str">
        <f>TRIM(_xlfn.TEXTAFTER(C3, ":"))</f>
        <v>Schilde</v>
      </c>
      <c r="E4" s="18" t="s">
        <v>2363</v>
      </c>
      <c r="F4" s="16" t="str">
        <f>TRIM(_xlfn.TEXTAFTER(E3, ":"))</f>
        <v>Escudos</v>
      </c>
      <c r="G4" s="18" t="s">
        <v>1</v>
      </c>
      <c r="H4" s="16" t="str">
        <f>TRIM(_xlfn.TEXTAFTER(G3, ":"))</f>
        <v>Boucliers</v>
      </c>
      <c r="I4" s="18" t="s">
        <v>3078</v>
      </c>
      <c r="J4" s="16" t="str">
        <f>TRIM(_xlfn.TEXTAFTER(I3, ":"))</f>
        <v>盾</v>
      </c>
      <c r="K4" s="18" t="s">
        <v>3828</v>
      </c>
      <c r="L4" s="16" t="str">
        <f>TRIM(_xlfn.TEXTAFTER(K3, ":"))</f>
        <v>방패</v>
      </c>
      <c r="M4" s="18" t="s">
        <v>4557</v>
      </c>
      <c r="N4" s="16" t="str">
        <f>TRIM(_xlfn.TEXTAFTER(M3, ":"))</f>
        <v>Escudos</v>
      </c>
      <c r="O4" s="18" t="s">
        <v>5240</v>
      </c>
      <c r="P4" s="16" t="str">
        <f>TRIM(_xlfn.TEXTAFTER(O3, ":"))</f>
        <v>Щиты</v>
      </c>
      <c r="Q4" s="18" t="s">
        <v>5977</v>
      </c>
      <c r="R4" s="16" t="str">
        <f>TRIM(_xlfn.TEXTAFTER(Q3, ":"))</f>
        <v>โล่</v>
      </c>
      <c r="S4" s="18"/>
      <c r="T4" s="16" t="e">
        <f>TRIM(_xlfn.TEXTAFTER(S3, ":"))</f>
        <v>#N/A</v>
      </c>
    </row>
    <row r="5" spans="1:20" ht="15.95" customHeight="1" x14ac:dyDescent="0.25">
      <c r="A5" s="18" t="s">
        <v>456</v>
      </c>
      <c r="B5" s="16" t="str">
        <f>TRIM(_xlfn.TEXTBEFORE(A4, ":"))</f>
        <v>Rarity</v>
      </c>
      <c r="C5" s="18" t="s">
        <v>1814</v>
      </c>
      <c r="D5" s="16" t="str">
        <f>TRIM(_xlfn.TEXTBEFORE(C4, ":"))</f>
        <v>Seltenheit</v>
      </c>
      <c r="E5" s="18" t="s">
        <v>2532</v>
      </c>
      <c r="F5" s="16" t="str">
        <f>TRIM(_xlfn.TEXTBEFORE(E4, ":"))</f>
        <v>Rareza</v>
      </c>
      <c r="G5" s="18" t="s">
        <v>1080</v>
      </c>
      <c r="H5" s="16" t="str">
        <f>TRIM(_xlfn.TEXTBEFORE(G4, ":"))</f>
        <v>Rareté</v>
      </c>
      <c r="I5" s="18" t="s">
        <v>3255</v>
      </c>
      <c r="J5" s="16" t="str">
        <f>TRIM(_xlfn.TEXTBEFORE(I4, ":"))</f>
        <v>レアリティ</v>
      </c>
      <c r="K5" s="18" t="s">
        <v>4000</v>
      </c>
      <c r="L5" s="16" t="str">
        <f>TRIM(_xlfn.TEXTBEFORE(K4, ":"))</f>
        <v>아이템 희귀도</v>
      </c>
      <c r="M5" s="18" t="s">
        <v>4724</v>
      </c>
      <c r="N5" s="16" t="str">
        <f>TRIM(_xlfn.TEXTBEFORE(M4, ":"))</f>
        <v>Raridade</v>
      </c>
      <c r="O5" s="18" t="s">
        <v>5414</v>
      </c>
      <c r="P5" s="16" t="str">
        <f>TRIM(_xlfn.TEXTBEFORE(O4, ":"))</f>
        <v>Редкость</v>
      </c>
      <c r="Q5" s="18" t="s">
        <v>456</v>
      </c>
      <c r="R5" s="16" t="str">
        <f>TRIM(_xlfn.TEXTBEFORE(Q4, ":"))</f>
        <v>ความหายาก</v>
      </c>
      <c r="S5" s="18"/>
      <c r="T5" s="16" t="e">
        <f>TRIM(_xlfn.TEXTBEFORE(S4, ":"))</f>
        <v>#N/A</v>
      </c>
    </row>
    <row r="6" spans="1:20" ht="15.95" customHeight="1" x14ac:dyDescent="0.25">
      <c r="A6" s="18" t="s">
        <v>457</v>
      </c>
      <c r="B6" s="16" t="str">
        <f>TRIM(_xlfn.TEXTAFTER(A4,":"))</f>
        <v>Unique</v>
      </c>
      <c r="C6" s="18" t="s">
        <v>1815</v>
      </c>
      <c r="D6" s="16" t="str">
        <f>TRIM(_xlfn.TEXTAFTER(C4,":"))</f>
        <v>Einzigartig</v>
      </c>
      <c r="E6" s="18" t="s">
        <v>2533</v>
      </c>
      <c r="F6" s="16" t="str">
        <f>TRIM(_xlfn.TEXTAFTER(E4,":"))</f>
        <v>Único</v>
      </c>
      <c r="G6" s="18" t="s">
        <v>1081</v>
      </c>
      <c r="H6" s="16" t="str">
        <f>TRIM(_xlfn.TEXTAFTER(G4,":"))</f>
        <v>Unique</v>
      </c>
      <c r="I6" s="18" t="s">
        <v>3256</v>
      </c>
      <c r="J6" s="16" t="str">
        <f>TRIM(_xlfn.TEXTAFTER(I4,":"))</f>
        <v>ユニーク</v>
      </c>
      <c r="K6" s="18" t="s">
        <v>4001</v>
      </c>
      <c r="L6" s="16" t="str">
        <f>TRIM(_xlfn.TEXTAFTER(K4,":"))</f>
        <v>고유</v>
      </c>
      <c r="M6" s="18" t="s">
        <v>4725</v>
      </c>
      <c r="N6" s="16" t="str">
        <f>TRIM(_xlfn.TEXTAFTER(M4,":"))</f>
        <v>Único</v>
      </c>
      <c r="O6" s="18" t="s">
        <v>5415</v>
      </c>
      <c r="P6" s="16" t="str">
        <f>TRIM(_xlfn.TEXTAFTER(O4,":"))</f>
        <v>Уникальный</v>
      </c>
      <c r="Q6" s="18" t="s">
        <v>457</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458</v>
      </c>
      <c r="B8" s="16" t="str">
        <f>TRIM(_xlfn.TEXTBEFORE(A8,":"))</f>
        <v>Chance to Block</v>
      </c>
      <c r="C8" s="18" t="s">
        <v>1816</v>
      </c>
      <c r="D8" s="16" t="str">
        <f>TRIM(_xlfn.TEXTBEFORE(C8,":"))</f>
        <v>Chance auf Blocken</v>
      </c>
      <c r="E8" s="18" t="s">
        <v>2534</v>
      </c>
      <c r="F8" s="16" t="str">
        <f>TRIM(_xlfn.TEXTBEFORE(E8,":"))</f>
        <v>Probabilidad de bloqueo</v>
      </c>
      <c r="G8" s="18" t="s">
        <v>1082</v>
      </c>
      <c r="H8" s="16" t="str">
        <f>TRIM(_xlfn.TEXTBEFORE(G8,":"))</f>
        <v>Chances de blocage</v>
      </c>
      <c r="I8" s="18" t="s">
        <v>3257</v>
      </c>
      <c r="J8" s="16" t="str">
        <f>TRIM(_xlfn.TEXTBEFORE(I8,":"))</f>
        <v>ブロック率</v>
      </c>
      <c r="K8" s="18" t="s">
        <v>4002</v>
      </c>
      <c r="L8" s="16" t="str">
        <f>TRIM(_xlfn.TEXTBEFORE(K8,":"))</f>
        <v>막기 확률</v>
      </c>
      <c r="M8" s="18" t="s">
        <v>4726</v>
      </c>
      <c r="N8" s="16" t="str">
        <f>TRIM(_xlfn.TEXTBEFORE(M8,":"))</f>
        <v>Chance de Bloquear</v>
      </c>
      <c r="O8" s="18" t="s">
        <v>5416</v>
      </c>
      <c r="P8" s="16" t="str">
        <f>TRIM(_xlfn.TEXTBEFORE(O8,":"))</f>
        <v>Шанс заблокировать удар</v>
      </c>
      <c r="Q8" s="18" t="s">
        <v>6132</v>
      </c>
      <c r="R8" s="16" t="str">
        <f>TRIM(_xlfn.TEXTBEFORE(Q8,":"))</f>
        <v>โอกาสบล็อค</v>
      </c>
      <c r="S8" s="18"/>
      <c r="T8" s="16" t="e">
        <f>TRIM(_xlfn.TEXTBEFORE(S8,":"))</f>
        <v>#N/A</v>
      </c>
    </row>
    <row r="9" spans="1:20" ht="15.95" customHeight="1" x14ac:dyDescent="0.25">
      <c r="A9" s="18" t="s">
        <v>459</v>
      </c>
      <c r="B9" s="16"/>
      <c r="C9" s="18" t="s">
        <v>1817</v>
      </c>
      <c r="D9" s="16"/>
      <c r="E9" s="18" t="s">
        <v>2535</v>
      </c>
      <c r="F9" s="16"/>
      <c r="G9" s="18" t="s">
        <v>1083</v>
      </c>
      <c r="H9" s="16"/>
      <c r="I9" s="18" t="s">
        <v>3258</v>
      </c>
      <c r="J9" s="16"/>
      <c r="K9" s="18" t="s">
        <v>4003</v>
      </c>
      <c r="L9" s="16"/>
      <c r="M9" s="18" t="s">
        <v>4727</v>
      </c>
      <c r="N9" s="16"/>
      <c r="O9" s="18" t="s">
        <v>5417</v>
      </c>
      <c r="P9" s="16"/>
      <c r="Q9" s="18" t="s">
        <v>6133</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81</v>
      </c>
      <c r="B11" s="16"/>
      <c r="C11" s="18" t="s">
        <v>1589</v>
      </c>
      <c r="D11" s="16"/>
      <c r="E11" s="18" t="s">
        <v>2308</v>
      </c>
      <c r="F11" s="16"/>
      <c r="G11" s="18" t="s">
        <v>5</v>
      </c>
      <c r="H11" s="16"/>
      <c r="I11" s="18" t="s">
        <v>3018</v>
      </c>
      <c r="J11" s="16"/>
      <c r="K11" s="18" t="s">
        <v>3772</v>
      </c>
      <c r="L11" s="16"/>
      <c r="M11" s="18" t="s">
        <v>2308</v>
      </c>
      <c r="N11" s="16"/>
      <c r="O11" s="18" t="s">
        <v>5183</v>
      </c>
      <c r="P11" s="16"/>
      <c r="Q11" s="18" t="s">
        <v>5928</v>
      </c>
      <c r="R11" s="16"/>
      <c r="S11" s="18"/>
      <c r="T11" s="16"/>
    </row>
    <row r="12" spans="1:20" ht="15.95" customHeight="1" x14ac:dyDescent="0.25">
      <c r="A12" s="18" t="s">
        <v>446</v>
      </c>
      <c r="B12" s="16"/>
      <c r="C12" s="18" t="s">
        <v>1788</v>
      </c>
      <c r="D12" s="16"/>
      <c r="E12" s="18" t="s">
        <v>2507</v>
      </c>
      <c r="F12" s="16"/>
      <c r="G12" s="18" t="s">
        <v>1056</v>
      </c>
      <c r="H12" s="16"/>
      <c r="I12" s="18" t="s">
        <v>3227</v>
      </c>
      <c r="J12" s="16"/>
      <c r="K12" s="18" t="s">
        <v>3973</v>
      </c>
      <c r="L12" s="16"/>
      <c r="M12" s="18" t="s">
        <v>4700</v>
      </c>
      <c r="N12" s="16"/>
      <c r="O12" s="18" t="s">
        <v>5387</v>
      </c>
      <c r="P12" s="16"/>
      <c r="Q12" s="18" t="s">
        <v>6110</v>
      </c>
      <c r="R12" s="16"/>
      <c r="S12" s="18"/>
      <c r="T12" s="21"/>
    </row>
    <row r="13" spans="1:20" ht="15.95" customHeight="1" x14ac:dyDescent="0.25">
      <c r="A13" s="18" t="s">
        <v>460</v>
      </c>
      <c r="B13" s="16"/>
      <c r="C13" s="18" t="s">
        <v>1818</v>
      </c>
      <c r="D13" s="16"/>
      <c r="E13" s="18" t="s">
        <v>2536</v>
      </c>
      <c r="F13" s="16"/>
      <c r="G13" s="18" t="s">
        <v>460</v>
      </c>
      <c r="H13" s="16"/>
      <c r="I13" s="18" t="s">
        <v>3259</v>
      </c>
      <c r="J13" s="16"/>
      <c r="K13" s="18" t="s">
        <v>4004</v>
      </c>
      <c r="L13" s="16"/>
      <c r="M13" s="18" t="s">
        <v>2536</v>
      </c>
      <c r="N13" s="16"/>
      <c r="O13" s="18" t="s">
        <v>5418</v>
      </c>
      <c r="P13" s="16"/>
      <c r="Q13" s="18" t="s">
        <v>460</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291</v>
      </c>
      <c r="B15" s="16"/>
      <c r="C15" s="18" t="s">
        <v>1819</v>
      </c>
      <c r="D15" s="16"/>
      <c r="E15" s="18" t="s">
        <v>2537</v>
      </c>
      <c r="F15" s="16"/>
      <c r="G15" s="18" t="s">
        <v>1084</v>
      </c>
      <c r="H15" s="16"/>
      <c r="I15" s="18" t="s">
        <v>3260</v>
      </c>
      <c r="J15" s="16"/>
      <c r="K15" s="18" t="s">
        <v>4005</v>
      </c>
      <c r="L15" s="16"/>
      <c r="M15" s="18" t="s">
        <v>4728</v>
      </c>
      <c r="N15" s="16"/>
      <c r="O15" s="18" t="s">
        <v>5419</v>
      </c>
      <c r="P15" s="16"/>
      <c r="Q15" s="18" t="s">
        <v>6134</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254</v>
      </c>
      <c r="B17" s="16"/>
      <c r="C17" s="18" t="s">
        <v>1730</v>
      </c>
      <c r="D17" s="16"/>
      <c r="E17" s="18" t="s">
        <v>2449</v>
      </c>
      <c r="F17" s="16"/>
      <c r="G17" s="18" t="s">
        <v>998</v>
      </c>
      <c r="H17" s="16"/>
      <c r="I17" s="18" t="s">
        <v>3167</v>
      </c>
      <c r="J17" s="16"/>
      <c r="K17" s="18" t="s">
        <v>3914</v>
      </c>
      <c r="L17" s="16"/>
      <c r="M17" s="18" t="s">
        <v>4643</v>
      </c>
      <c r="N17" s="16"/>
      <c r="O17" s="18" t="s">
        <v>5328</v>
      </c>
      <c r="P17" s="16"/>
      <c r="Q17" s="18" t="s">
        <v>6060</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461</v>
      </c>
      <c r="B19" s="16"/>
      <c r="C19" s="18" t="s">
        <v>1820</v>
      </c>
      <c r="D19" s="16"/>
      <c r="E19" s="18" t="s">
        <v>2538</v>
      </c>
      <c r="F19" s="16"/>
      <c r="G19" s="18" t="s">
        <v>1085</v>
      </c>
      <c r="H19" s="16"/>
      <c r="I19" s="18" t="s">
        <v>3261</v>
      </c>
      <c r="J19" s="16"/>
      <c r="K19" s="18" t="s">
        <v>4006</v>
      </c>
      <c r="L19" s="16"/>
      <c r="M19" s="18" t="s">
        <v>4729</v>
      </c>
      <c r="N19" s="16"/>
      <c r="O19" s="18" t="s">
        <v>5420</v>
      </c>
      <c r="P19" s="16"/>
      <c r="Q19" s="18" t="s">
        <v>6135</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462</v>
      </c>
      <c r="B21" s="16"/>
      <c r="C21" s="18" t="s">
        <v>1821</v>
      </c>
      <c r="D21" s="16"/>
      <c r="E21" s="18" t="s">
        <v>2539</v>
      </c>
      <c r="F21" s="16"/>
      <c r="G21" s="18" t="s">
        <v>1086</v>
      </c>
      <c r="H21" s="16"/>
      <c r="I21" s="18" t="s">
        <v>3262</v>
      </c>
      <c r="J21" s="16"/>
      <c r="K21" s="18" t="s">
        <v>4007</v>
      </c>
      <c r="L21" s="16"/>
      <c r="M21" s="18" t="s">
        <v>4730</v>
      </c>
      <c r="N21" s="16"/>
      <c r="O21" s="18" t="s">
        <v>5421</v>
      </c>
      <c r="P21" s="16"/>
      <c r="Q21" s="18" t="s">
        <v>6136</v>
      </c>
      <c r="R21" s="16"/>
      <c r="S21" s="18"/>
      <c r="T21" s="21"/>
    </row>
    <row r="22" spans="1:20" ht="15.95" customHeight="1" x14ac:dyDescent="0.25">
      <c r="A22" s="18" t="s">
        <v>237</v>
      </c>
      <c r="B22" s="16"/>
      <c r="C22" s="18" t="s">
        <v>1822</v>
      </c>
      <c r="D22" s="16"/>
      <c r="E22" s="18" t="s">
        <v>2540</v>
      </c>
      <c r="F22" s="16"/>
      <c r="G22" s="18" t="s">
        <v>1087</v>
      </c>
      <c r="H22" s="16"/>
      <c r="I22" s="18" t="s">
        <v>3263</v>
      </c>
      <c r="J22" s="16"/>
      <c r="K22" s="18" t="s">
        <v>4008</v>
      </c>
      <c r="L22" s="16"/>
      <c r="M22" s="18" t="s">
        <v>4731</v>
      </c>
      <c r="N22" s="16"/>
      <c r="O22" s="18" t="s">
        <v>5422</v>
      </c>
      <c r="P22" s="16"/>
      <c r="Q22" s="18" t="s">
        <v>6137</v>
      </c>
      <c r="R22" s="16"/>
      <c r="S22" s="18"/>
      <c r="T22" s="21"/>
    </row>
    <row r="23" spans="1:20" ht="15.95" customHeight="1" x14ac:dyDescent="0.25">
      <c r="A23" s="18" t="s">
        <v>463</v>
      </c>
      <c r="B23" s="16"/>
      <c r="C23" s="18" t="s">
        <v>1823</v>
      </c>
      <c r="D23" s="16"/>
      <c r="E23" s="18" t="s">
        <v>2541</v>
      </c>
      <c r="F23" s="16"/>
      <c r="G23" s="18" t="s">
        <v>1088</v>
      </c>
      <c r="H23" s="16"/>
      <c r="I23" s="18" t="s">
        <v>3264</v>
      </c>
      <c r="J23" s="16"/>
      <c r="K23" s="18" t="s">
        <v>4009</v>
      </c>
      <c r="L23" s="16"/>
      <c r="M23" s="18" t="s">
        <v>4732</v>
      </c>
      <c r="N23" s="16"/>
      <c r="O23" s="18" t="s">
        <v>5423</v>
      </c>
      <c r="P23" s="16"/>
      <c r="Q23" s="18" t="s">
        <v>6138</v>
      </c>
      <c r="R23" s="16"/>
      <c r="S23" s="18"/>
      <c r="T23" s="21"/>
    </row>
    <row r="24" spans="1:20" ht="15.95" customHeight="1" x14ac:dyDescent="0.25">
      <c r="A24" s="18" t="s">
        <v>464</v>
      </c>
      <c r="B24" s="16"/>
      <c r="C24" s="18" t="s">
        <v>1824</v>
      </c>
      <c r="D24" s="16"/>
      <c r="E24" s="18" t="s">
        <v>2542</v>
      </c>
      <c r="F24" s="16"/>
      <c r="G24" s="18" t="s">
        <v>1089</v>
      </c>
      <c r="H24" s="16"/>
      <c r="I24" s="18" t="s">
        <v>3265</v>
      </c>
      <c r="J24" s="16"/>
      <c r="K24" s="18" t="s">
        <v>4010</v>
      </c>
      <c r="L24" s="16"/>
      <c r="M24" s="18" t="s">
        <v>4733</v>
      </c>
      <c r="N24" s="16"/>
      <c r="O24" s="18" t="s">
        <v>5424</v>
      </c>
      <c r="P24" s="16"/>
      <c r="Q24" s="18" t="s">
        <v>6139</v>
      </c>
      <c r="R24" s="16"/>
      <c r="S24" s="18"/>
      <c r="T24" s="21"/>
    </row>
    <row r="25" spans="1:20" ht="15.95" customHeight="1" x14ac:dyDescent="0.25">
      <c r="A25" s="18" t="s">
        <v>465</v>
      </c>
      <c r="B25" s="16"/>
      <c r="C25" s="18" t="s">
        <v>1825</v>
      </c>
      <c r="D25" s="16"/>
      <c r="E25" s="18" t="s">
        <v>2543</v>
      </c>
      <c r="F25" s="16"/>
      <c r="G25" s="18" t="s">
        <v>1090</v>
      </c>
      <c r="H25" s="16"/>
      <c r="I25" s="18" t="s">
        <v>3266</v>
      </c>
      <c r="J25" s="16"/>
      <c r="K25" s="18" t="s">
        <v>4011</v>
      </c>
      <c r="L25" s="16"/>
      <c r="M25" s="18" t="s">
        <v>4734</v>
      </c>
      <c r="N25" s="16"/>
      <c r="O25" s="18" t="s">
        <v>5425</v>
      </c>
      <c r="P25" s="16"/>
      <c r="Q25" s="18" t="s">
        <v>6140</v>
      </c>
      <c r="R25" s="16"/>
      <c r="S25" s="18"/>
      <c r="T25" s="21"/>
    </row>
    <row r="26" spans="1:20" ht="15.95" customHeight="1" x14ac:dyDescent="0.25">
      <c r="A26" s="18" t="s">
        <v>466</v>
      </c>
      <c r="B26" s="16"/>
      <c r="C26" s="18" t="s">
        <v>1826</v>
      </c>
      <c r="D26" s="16"/>
      <c r="E26" s="18" t="s">
        <v>2544</v>
      </c>
      <c r="F26" s="16"/>
      <c r="G26" s="18" t="s">
        <v>1091</v>
      </c>
      <c r="H26" s="16"/>
      <c r="I26" s="18" t="s">
        <v>3267</v>
      </c>
      <c r="J26" s="16"/>
      <c r="K26" s="18" t="s">
        <v>4012</v>
      </c>
      <c r="L26" s="16"/>
      <c r="M26" s="18" t="s">
        <v>4735</v>
      </c>
      <c r="N26" s="16"/>
      <c r="O26" s="18" t="s">
        <v>5426</v>
      </c>
      <c r="P26" s="16"/>
      <c r="Q26" s="18" t="s">
        <v>6141</v>
      </c>
      <c r="R26" s="16"/>
      <c r="S26" s="18"/>
      <c r="T26" s="21"/>
    </row>
    <row r="27" spans="1:20" ht="15.95" customHeight="1" x14ac:dyDescent="0.25">
      <c r="A27" s="18" t="s">
        <v>4</v>
      </c>
      <c r="B27" s="16"/>
      <c r="C27" s="18" t="s">
        <v>4</v>
      </c>
      <c r="D27" s="16"/>
      <c r="E27" s="18" t="s">
        <v>4</v>
      </c>
      <c r="F27" s="16"/>
      <c r="G27" s="18" t="s">
        <v>4</v>
      </c>
      <c r="H27" s="16"/>
      <c r="I27" s="18" t="s">
        <v>4</v>
      </c>
      <c r="J27" s="16"/>
      <c r="K27" s="18" t="s">
        <v>4</v>
      </c>
      <c r="L27" s="16"/>
      <c r="M27" s="18" t="s">
        <v>4</v>
      </c>
      <c r="N27" s="16"/>
      <c r="O27" s="18" t="s">
        <v>4</v>
      </c>
      <c r="P27" s="16"/>
      <c r="Q27" s="18" t="s">
        <v>4</v>
      </c>
      <c r="R27" s="16"/>
      <c r="S27" s="18"/>
      <c r="T27" s="21"/>
    </row>
    <row r="28" spans="1:20" ht="15.95" customHeight="1" x14ac:dyDescent="0.25">
      <c r="A28" s="18" t="s">
        <v>467</v>
      </c>
      <c r="B28" s="16"/>
      <c r="C28" s="18" t="s">
        <v>1827</v>
      </c>
      <c r="D28" s="16"/>
      <c r="E28" s="18" t="s">
        <v>2545</v>
      </c>
      <c r="F28" s="16"/>
      <c r="G28" s="18" t="s">
        <v>1092</v>
      </c>
      <c r="H28" s="16"/>
      <c r="I28" s="18" t="s">
        <v>3268</v>
      </c>
      <c r="J28" s="16"/>
      <c r="K28" s="18" t="s">
        <v>4013</v>
      </c>
      <c r="L28" s="16"/>
      <c r="M28" s="18" t="s">
        <v>4736</v>
      </c>
      <c r="N28" s="16"/>
      <c r="O28" s="18" t="s">
        <v>5427</v>
      </c>
      <c r="P28" s="16"/>
      <c r="Q28" s="18" t="s">
        <v>6142</v>
      </c>
      <c r="R28" s="16"/>
      <c r="S28" s="18"/>
      <c r="T28" s="21"/>
    </row>
    <row r="29" spans="1:20" ht="15.95" customHeight="1" x14ac:dyDescent="0.25">
      <c r="A29" s="18" t="s">
        <v>468</v>
      </c>
      <c r="B29" s="16"/>
      <c r="C29" s="18" t="s">
        <v>1828</v>
      </c>
      <c r="D29" s="16"/>
      <c r="E29" s="18" t="s">
        <v>2546</v>
      </c>
      <c r="F29" s="16"/>
      <c r="G29" s="18" t="s">
        <v>1093</v>
      </c>
      <c r="H29" s="16"/>
      <c r="I29" s="18" t="s">
        <v>3269</v>
      </c>
      <c r="J29" s="16"/>
      <c r="K29" s="18" t="s">
        <v>4014</v>
      </c>
      <c r="L29" s="16"/>
      <c r="M29" s="18" t="s">
        <v>4737</v>
      </c>
      <c r="N29" s="16"/>
      <c r="O29" s="18" t="s">
        <v>5428</v>
      </c>
      <c r="P29" s="16"/>
      <c r="Q29" s="18" t="s">
        <v>6143</v>
      </c>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33" priority="22" stopIfTrue="1">
      <formula>NOT(ISERROR(A3))</formula>
    </cfRule>
  </conditionalFormatting>
  <conditionalFormatting sqref="A3:T7 A8 C8 E8 G8 I8 K8 M8 O8 Q8 S8 A9:T51">
    <cfRule type="notContainsBlanks" dxfId="332" priority="23">
      <formula>LEN(TRIM(A3))&gt;0</formula>
    </cfRule>
  </conditionalFormatting>
  <conditionalFormatting sqref="A3:T51">
    <cfRule type="containsErrors" dxfId="331" priority="1" stopIfTrue="1">
      <formula>ISERROR(A3)</formula>
    </cfRule>
  </conditionalFormatting>
  <conditionalFormatting sqref="B8">
    <cfRule type="notContainsBlanks" dxfId="330" priority="20">
      <formula>LEN(TRIM(B8))&gt;0</formula>
    </cfRule>
  </conditionalFormatting>
  <conditionalFormatting sqref="D8">
    <cfRule type="notContainsBlanks" dxfId="329" priority="18">
      <formula>LEN(TRIM(D8))&gt;0</formula>
    </cfRule>
  </conditionalFormatting>
  <conditionalFormatting sqref="F8">
    <cfRule type="notContainsBlanks" dxfId="328" priority="16">
      <formula>LEN(TRIM(F8))&gt;0</formula>
    </cfRule>
  </conditionalFormatting>
  <conditionalFormatting sqref="H8">
    <cfRule type="notContainsBlanks" dxfId="327" priority="14">
      <formula>LEN(TRIM(H8))&gt;0</formula>
    </cfRule>
  </conditionalFormatting>
  <conditionalFormatting sqref="J8">
    <cfRule type="notContainsBlanks" dxfId="326" priority="12">
      <formula>LEN(TRIM(J8))&gt;0</formula>
    </cfRule>
  </conditionalFormatting>
  <conditionalFormatting sqref="L8">
    <cfRule type="notContainsBlanks" dxfId="325" priority="10">
      <formula>LEN(TRIM(L8))&gt;0</formula>
    </cfRule>
  </conditionalFormatting>
  <conditionalFormatting sqref="N8">
    <cfRule type="notContainsBlanks" dxfId="324" priority="8">
      <formula>LEN(TRIM(N8))&gt;0</formula>
    </cfRule>
  </conditionalFormatting>
  <conditionalFormatting sqref="P8">
    <cfRule type="notContainsBlanks" dxfId="323" priority="6">
      <formula>LEN(TRIM(P8))&gt;0</formula>
    </cfRule>
  </conditionalFormatting>
  <conditionalFormatting sqref="R8">
    <cfRule type="notContainsBlanks" dxfId="322" priority="4">
      <formula>LEN(TRIM(R8))&gt;0</formula>
    </cfRule>
  </conditionalFormatting>
  <conditionalFormatting sqref="T8">
    <cfRule type="notContainsBlanks" dxfId="321" priority="2">
      <formula>LEN(TRIM(T8))&gt;0</formula>
    </cfRule>
  </conditionalFormatting>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5B8DFC-8F1E-4F38-B9BB-3DFA33F06B83}">
  <sheetPr codeName="Sheet30"/>
  <dimension ref="A1:T51"/>
  <sheetViews>
    <sheetView workbookViewId="0"/>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9" t="s">
        <v>84</v>
      </c>
    </row>
    <row r="3" spans="1:20" ht="15.95" customHeight="1" x14ac:dyDescent="0.25">
      <c r="A3" s="17" t="s">
        <v>120</v>
      </c>
      <c r="B3" s="16" t="str">
        <f>TRIM(_xlfn.TEXTBEFORE(A3, ":"))</f>
        <v>Item Class</v>
      </c>
      <c r="C3" s="17" t="s">
        <v>1829</v>
      </c>
      <c r="D3" s="16" t="str">
        <f>TRIM(_xlfn.TEXTBEFORE(C3, ":"))</f>
        <v>Gegenstandsklasse</v>
      </c>
      <c r="E3" s="17" t="s">
        <v>2547</v>
      </c>
      <c r="F3" s="16" t="str">
        <f>TRIM(_xlfn.TEXTBEFORE(E3, ":"))</f>
        <v>Clase de objeto</v>
      </c>
      <c r="G3" s="17" t="s">
        <v>1094</v>
      </c>
      <c r="H3" s="16" t="str">
        <f>TRIM(_xlfn.TEXTBEFORE(G3, ":"))</f>
        <v>Classe d'objet</v>
      </c>
      <c r="I3" s="17" t="s">
        <v>3270</v>
      </c>
      <c r="J3" s="16" t="str">
        <f>TRIM(_xlfn.TEXTBEFORE(I3, ":"))</f>
        <v>アイテムクラス</v>
      </c>
      <c r="K3" s="17" t="s">
        <v>4015</v>
      </c>
      <c r="L3" s="16" t="str">
        <f>TRIM(_xlfn.TEXTBEFORE(K3, ":"))</f>
        <v>아이템 종류</v>
      </c>
      <c r="M3" s="17" t="s">
        <v>4738</v>
      </c>
      <c r="N3" s="16" t="str">
        <f>TRIM(_xlfn.TEXTBEFORE(M3, ":"))</f>
        <v>Classe do Item</v>
      </c>
      <c r="O3" s="17" t="s">
        <v>5429</v>
      </c>
      <c r="P3" s="16" t="str">
        <f>TRIM(_xlfn.TEXTBEFORE(O3, ":"))</f>
        <v>Класс предмета</v>
      </c>
      <c r="Q3" s="17" t="s">
        <v>6144</v>
      </c>
      <c r="R3" s="16" t="str">
        <f>TRIM(_xlfn.TEXTBEFORE(Q3, ":"))</f>
        <v>ชนิดไอเทม</v>
      </c>
      <c r="S3" s="17"/>
      <c r="T3" s="16" t="e">
        <f>TRIM(_xlfn.TEXTBEFORE(S3, ":"))</f>
        <v>#N/A</v>
      </c>
    </row>
    <row r="4" spans="1:20" ht="15.95" customHeight="1" x14ac:dyDescent="0.25">
      <c r="A4" s="18" t="s">
        <v>80</v>
      </c>
      <c r="B4" s="16" t="str">
        <f>TRIM(_xlfn.TEXTAFTER(A3, ":"))</f>
        <v>Rune Daggers</v>
      </c>
      <c r="C4" s="18" t="s">
        <v>1643</v>
      </c>
      <c r="D4" s="16" t="str">
        <f>TRIM(_xlfn.TEXTAFTER(C3, ":"))</f>
        <v>Runendolche</v>
      </c>
      <c r="E4" s="18" t="s">
        <v>2363</v>
      </c>
      <c r="F4" s="16" t="str">
        <f>TRIM(_xlfn.TEXTAFTER(E3, ":"))</f>
        <v>Dagas rúnicas</v>
      </c>
      <c r="G4" s="18" t="s">
        <v>1</v>
      </c>
      <c r="H4" s="16" t="str">
        <f>TRIM(_xlfn.TEXTAFTER(G3, ":"))</f>
        <v>Dagues runiques</v>
      </c>
      <c r="I4" s="18" t="s">
        <v>3078</v>
      </c>
      <c r="J4" s="16" t="str">
        <f>TRIM(_xlfn.TEXTAFTER(I3, ":"))</f>
        <v>ルーンの短剣</v>
      </c>
      <c r="K4" s="18" t="s">
        <v>3828</v>
      </c>
      <c r="L4" s="16" t="str">
        <f>TRIM(_xlfn.TEXTAFTER(K3, ":"))</f>
        <v>룬 단검</v>
      </c>
      <c r="M4" s="18" t="s">
        <v>4557</v>
      </c>
      <c r="N4" s="16" t="str">
        <f>TRIM(_xlfn.TEXTAFTER(M3, ":"))</f>
        <v>Adagas Rúnicas</v>
      </c>
      <c r="O4" s="18" t="s">
        <v>5240</v>
      </c>
      <c r="P4" s="16" t="str">
        <f>TRIM(_xlfn.TEXTAFTER(O3, ":"))</f>
        <v>Рунические кинжалы</v>
      </c>
      <c r="Q4" s="18" t="s">
        <v>5977</v>
      </c>
      <c r="R4" s="16" t="str">
        <f>TRIM(_xlfn.TEXTAFTER(Q3, ":"))</f>
        <v>มีดอาคม</v>
      </c>
      <c r="S4" s="18"/>
      <c r="T4" s="16" t="e">
        <f>TRIM(_xlfn.TEXTAFTER(S3, ":"))</f>
        <v>#N/A</v>
      </c>
    </row>
    <row r="5" spans="1:20" ht="15.95" customHeight="1" x14ac:dyDescent="0.25">
      <c r="A5" s="18" t="s">
        <v>121</v>
      </c>
      <c r="B5" s="16" t="str">
        <f>TRIM(_xlfn.TEXTBEFORE(A4, ":"))</f>
        <v>Rarity</v>
      </c>
      <c r="C5" s="18" t="s">
        <v>1830</v>
      </c>
      <c r="D5" s="16" t="str">
        <f>TRIM(_xlfn.TEXTBEFORE(C4, ":"))</f>
        <v>Seltenheit</v>
      </c>
      <c r="E5" s="18" t="s">
        <v>2548</v>
      </c>
      <c r="F5" s="16" t="str">
        <f>TRIM(_xlfn.TEXTBEFORE(E4, ":"))</f>
        <v>Rareza</v>
      </c>
      <c r="G5" s="18" t="s">
        <v>1095</v>
      </c>
      <c r="H5" s="16" t="str">
        <f>TRIM(_xlfn.TEXTBEFORE(G4, ":"))</f>
        <v>Rareté</v>
      </c>
      <c r="I5" s="18" t="s">
        <v>3271</v>
      </c>
      <c r="J5" s="16" t="str">
        <f>TRIM(_xlfn.TEXTBEFORE(I4, ":"))</f>
        <v>レアリティ</v>
      </c>
      <c r="K5" s="18" t="s">
        <v>4016</v>
      </c>
      <c r="L5" s="16" t="str">
        <f>TRIM(_xlfn.TEXTBEFORE(K4, ":"))</f>
        <v>아이템 희귀도</v>
      </c>
      <c r="M5" s="18" t="s">
        <v>4739</v>
      </c>
      <c r="N5" s="16" t="str">
        <f>TRIM(_xlfn.TEXTBEFORE(M4, ":"))</f>
        <v>Raridade</v>
      </c>
      <c r="O5" s="18" t="s">
        <v>5430</v>
      </c>
      <c r="P5" s="16" t="str">
        <f>TRIM(_xlfn.TEXTBEFORE(O4, ":"))</f>
        <v>Редкость</v>
      </c>
      <c r="Q5" s="18" t="s">
        <v>121</v>
      </c>
      <c r="R5" s="16" t="str">
        <f>TRIM(_xlfn.TEXTBEFORE(Q4, ":"))</f>
        <v>ความหายาก</v>
      </c>
      <c r="S5" s="18"/>
      <c r="T5" s="16" t="e">
        <f>TRIM(_xlfn.TEXTBEFORE(S4, ":"))</f>
        <v>#N/A</v>
      </c>
    </row>
    <row r="6" spans="1:20" ht="15.95" customHeight="1" x14ac:dyDescent="0.25">
      <c r="A6" s="18" t="s">
        <v>122</v>
      </c>
      <c r="B6" s="16" t="str">
        <f>TRIM(_xlfn.TEXTAFTER(A4,":"))</f>
        <v>Unique</v>
      </c>
      <c r="C6" s="18" t="s">
        <v>1831</v>
      </c>
      <c r="D6" s="16" t="str">
        <f>TRIM(_xlfn.TEXTAFTER(C4,":"))</f>
        <v>Einzigartig</v>
      </c>
      <c r="E6" s="18" t="s">
        <v>2549</v>
      </c>
      <c r="F6" s="16" t="str">
        <f>TRIM(_xlfn.TEXTAFTER(E4,":"))</f>
        <v>Único</v>
      </c>
      <c r="G6" s="18" t="s">
        <v>1096</v>
      </c>
      <c r="H6" s="16" t="str">
        <f>TRIM(_xlfn.TEXTAFTER(G4,":"))</f>
        <v>Unique</v>
      </c>
      <c r="I6" s="18" t="s">
        <v>3272</v>
      </c>
      <c r="J6" s="16" t="str">
        <f>TRIM(_xlfn.TEXTAFTER(I4,":"))</f>
        <v>ユニーク</v>
      </c>
      <c r="K6" s="18" t="s">
        <v>4017</v>
      </c>
      <c r="L6" s="16" t="str">
        <f>TRIM(_xlfn.TEXTAFTER(K4,":"))</f>
        <v>고유</v>
      </c>
      <c r="M6" s="18" t="s">
        <v>4740</v>
      </c>
      <c r="N6" s="16" t="str">
        <f>TRIM(_xlfn.TEXTAFTER(M4,":"))</f>
        <v>Único</v>
      </c>
      <c r="O6" s="18" t="s">
        <v>5431</v>
      </c>
      <c r="P6" s="16" t="str">
        <f>TRIM(_xlfn.TEXTAFTER(O4,":"))</f>
        <v>Уникальный</v>
      </c>
      <c r="Q6" s="18" t="s">
        <v>122</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123</v>
      </c>
      <c r="B8" s="16"/>
      <c r="C8" s="18" t="s">
        <v>1832</v>
      </c>
      <c r="D8" s="16"/>
      <c r="E8" s="18" t="s">
        <v>2550</v>
      </c>
      <c r="F8" s="16"/>
      <c r="G8" s="18" t="s">
        <v>1097</v>
      </c>
      <c r="H8" s="16"/>
      <c r="I8" s="18" t="s">
        <v>3273</v>
      </c>
      <c r="J8" s="16"/>
      <c r="K8" s="18" t="s">
        <v>4018</v>
      </c>
      <c r="L8" s="16"/>
      <c r="M8" s="18" t="s">
        <v>4741</v>
      </c>
      <c r="N8" s="16"/>
      <c r="O8" s="18" t="s">
        <v>5432</v>
      </c>
      <c r="P8" s="16"/>
      <c r="Q8" s="18" t="s">
        <v>6145</v>
      </c>
      <c r="R8" s="16"/>
      <c r="S8" s="18"/>
      <c r="T8" s="16"/>
    </row>
    <row r="9" spans="1:20" ht="15.95" customHeight="1" x14ac:dyDescent="0.25">
      <c r="A9" s="18" t="s">
        <v>124</v>
      </c>
      <c r="B9" s="16" t="str">
        <f>TRIM(_xlfn.TEXTBEFORE(A9,":"))</f>
        <v>Physical Damage</v>
      </c>
      <c r="C9" s="18" t="s">
        <v>1833</v>
      </c>
      <c r="D9" s="16" t="str">
        <f>TRIM(_xlfn.TEXTBEFORE(C9,":"))</f>
        <v>Physischer Schaden</v>
      </c>
      <c r="E9" s="18" t="s">
        <v>2551</v>
      </c>
      <c r="F9" s="16" t="str">
        <f>TRIM(_xlfn.TEXTBEFORE(E9,":"))</f>
        <v>Daño físico</v>
      </c>
      <c r="G9" s="18" t="s">
        <v>1098</v>
      </c>
      <c r="H9" s="16" t="str">
        <f>TRIM(_xlfn.TEXTBEFORE(G9,":"))</f>
        <v>Dégâts physiques</v>
      </c>
      <c r="I9" s="18" t="s">
        <v>3274</v>
      </c>
      <c r="J9" s="16" t="str">
        <f>TRIM(_xlfn.TEXTBEFORE(I9,":"))</f>
        <v>物理ダメージ</v>
      </c>
      <c r="K9" s="18" t="s">
        <v>4019</v>
      </c>
      <c r="L9" s="16" t="str">
        <f>TRIM(_xlfn.TEXTBEFORE(K9,":"))</f>
        <v>물리 피해</v>
      </c>
      <c r="M9" s="18" t="s">
        <v>4742</v>
      </c>
      <c r="N9" s="16" t="str">
        <f>TRIM(_xlfn.TEXTBEFORE(M9,":"))</f>
        <v>Dano Físico</v>
      </c>
      <c r="O9" s="18" t="s">
        <v>5433</v>
      </c>
      <c r="P9" s="16" t="str">
        <f>TRIM(_xlfn.TEXTBEFORE(O9,":"))</f>
        <v>Физический урон</v>
      </c>
      <c r="Q9" s="18" t="s">
        <v>6146</v>
      </c>
      <c r="R9" s="16" t="str">
        <f>TRIM(_xlfn.TEXTBEFORE(Q9,":"))</f>
        <v>ความเสียหายกายภาพ</v>
      </c>
      <c r="S9" s="18"/>
      <c r="T9" s="16" t="e">
        <f>TRIM(_xlfn.TEXTBEFORE(S9,":"))</f>
        <v>#N/A</v>
      </c>
    </row>
    <row r="10" spans="1:20" ht="15.95" customHeight="1" x14ac:dyDescent="0.25">
      <c r="A10" s="18" t="s">
        <v>125</v>
      </c>
      <c r="B10" s="16" t="str">
        <f>TRIM(_xlfn.TEXTBEFORE(A10,":"))</f>
        <v>Elemental Damage</v>
      </c>
      <c r="C10" s="18" t="s">
        <v>1834</v>
      </c>
      <c r="D10" s="16" t="str">
        <f>TRIM(_xlfn.TEXTBEFORE(C10,":"))</f>
        <v>Elementarschaden</v>
      </c>
      <c r="E10" s="18" t="s">
        <v>2552</v>
      </c>
      <c r="F10" s="16" t="str">
        <f>TRIM(_xlfn.TEXTBEFORE(E10,":"))</f>
        <v>Daño elemental</v>
      </c>
      <c r="G10" s="18" t="s">
        <v>1099</v>
      </c>
      <c r="H10" s="16" t="str">
        <f>TRIM(_xlfn.TEXTBEFORE(G10,":"))</f>
        <v>Dégâts élémentaires</v>
      </c>
      <c r="I10" s="18" t="s">
        <v>3275</v>
      </c>
      <c r="J10" s="16" t="str">
        <f>TRIM(_xlfn.TEXTBEFORE(I10,":"))</f>
        <v>元素ダメージ</v>
      </c>
      <c r="K10" s="18" t="s">
        <v>4020</v>
      </c>
      <c r="L10" s="16" t="str">
        <f>TRIM(_xlfn.TEXTBEFORE(K10,":"))</f>
        <v>원소 피해</v>
      </c>
      <c r="M10" s="18" t="s">
        <v>4743</v>
      </c>
      <c r="N10" s="16" t="str">
        <f>TRIM(_xlfn.TEXTBEFORE(M10,":"))</f>
        <v>Dano Elemental</v>
      </c>
      <c r="O10" s="18" t="s">
        <v>5434</v>
      </c>
      <c r="P10" s="16" t="str">
        <f>TRIM(_xlfn.TEXTBEFORE(O10,":"))</f>
        <v>Урон от стихий</v>
      </c>
      <c r="Q10" s="18" t="s">
        <v>6147</v>
      </c>
      <c r="R10" s="16" t="str">
        <f>TRIM(_xlfn.TEXTBEFORE(Q10,":"))</f>
        <v>ความเสียหายธาตุ</v>
      </c>
      <c r="S10" s="18"/>
      <c r="T10" s="16" t="e">
        <f>TRIM(_xlfn.TEXTBEFORE(S10,":"))</f>
        <v>#N/A</v>
      </c>
    </row>
    <row r="11" spans="1:20" ht="15.95" customHeight="1" x14ac:dyDescent="0.25">
      <c r="A11" s="18" t="s">
        <v>126</v>
      </c>
      <c r="B11" s="16" t="str">
        <f>TRIM(_xlfn.TEXTBEFORE(A11,":"))</f>
        <v>Critical Strike Chance</v>
      </c>
      <c r="C11" s="18" t="s">
        <v>1835</v>
      </c>
      <c r="D11" s="16" t="str">
        <f>TRIM(_xlfn.TEXTBEFORE(C11,":"))</f>
        <v>Kritische Trefferchance</v>
      </c>
      <c r="E11" s="18" t="s">
        <v>2553</v>
      </c>
      <c r="F11" s="16" t="str">
        <f>TRIM(_xlfn.TEXTBEFORE(E11,":"))</f>
        <v>Daño de golpe crítico</v>
      </c>
      <c r="G11" s="18" t="s">
        <v>1100</v>
      </c>
      <c r="H11" s="16" t="str">
        <f>TRIM(_xlfn.TEXTBEFORE(G11,":"))</f>
        <v>Chances de coup critique</v>
      </c>
      <c r="I11" s="18" t="s">
        <v>3276</v>
      </c>
      <c r="J11" s="16" t="str">
        <f>TRIM(_xlfn.TEXTBEFORE(I11,":"))</f>
        <v>クリティカル率</v>
      </c>
      <c r="K11" s="18" t="s">
        <v>4021</v>
      </c>
      <c r="L11" s="16" t="str">
        <f>TRIM(_xlfn.TEXTBEFORE(K11,":"))</f>
        <v>치명타 확률</v>
      </c>
      <c r="M11" s="18" t="s">
        <v>4744</v>
      </c>
      <c r="N11" s="16" t="str">
        <f>TRIM(_xlfn.TEXTBEFORE(M11,":"))</f>
        <v>Chance de Crítico</v>
      </c>
      <c r="O11" s="18" t="s">
        <v>5435</v>
      </c>
      <c r="P11" s="16" t="str">
        <f>TRIM(_xlfn.TEXTBEFORE(O11,":"))</f>
        <v>Шанс критического удара</v>
      </c>
      <c r="Q11" s="18" t="s">
        <v>6148</v>
      </c>
      <c r="R11" s="16" t="str">
        <f>TRIM(_xlfn.TEXTBEFORE(Q11,":"))</f>
        <v>โอกาสคริติคอล</v>
      </c>
      <c r="S11" s="18"/>
      <c r="T11" s="16" t="e">
        <f>TRIM(_xlfn.TEXTBEFORE(S11,":"))</f>
        <v>#N/A</v>
      </c>
    </row>
    <row r="12" spans="1:20" ht="15.95" customHeight="1" x14ac:dyDescent="0.25">
      <c r="A12" s="18" t="s">
        <v>105</v>
      </c>
      <c r="B12" s="16" t="str">
        <f>TRIM(_xlfn.TEXTBEFORE(A12,":"))</f>
        <v>Attacks per Second</v>
      </c>
      <c r="C12" s="18" t="s">
        <v>1836</v>
      </c>
      <c r="D12" s="16" t="str">
        <f>TRIM(_xlfn.TEXTBEFORE(C12,":"))</f>
        <v>Angriffe pro Sekunde</v>
      </c>
      <c r="E12" s="18" t="s">
        <v>2554</v>
      </c>
      <c r="F12" s="16" t="str">
        <f>TRIM(_xlfn.TEXTBEFORE(E12,":"))</f>
        <v>Ataques por segundo</v>
      </c>
      <c r="G12" s="18" t="s">
        <v>1101</v>
      </c>
      <c r="H12" s="16" t="str">
        <f>TRIM(_xlfn.TEXTBEFORE(G12,":"))</f>
        <v>Attaques par seconde</v>
      </c>
      <c r="I12" s="18" t="s">
        <v>3277</v>
      </c>
      <c r="J12" s="16" t="str">
        <f>TRIM(_xlfn.TEXTBEFORE(I12,":"))</f>
        <v>秒間アタック回数</v>
      </c>
      <c r="K12" s="18" t="s">
        <v>4022</v>
      </c>
      <c r="L12" s="16" t="str">
        <f>TRIM(_xlfn.TEXTBEFORE(K12,":"))</f>
        <v>초당 공격 횟수</v>
      </c>
      <c r="M12" s="18" t="s">
        <v>4745</v>
      </c>
      <c r="N12" s="16" t="str">
        <f>TRIM(_xlfn.TEXTBEFORE(M12,":"))</f>
        <v>Ataques por Segundo</v>
      </c>
      <c r="O12" s="18" t="s">
        <v>5436</v>
      </c>
      <c r="P12" s="16" t="str">
        <f>TRIM(_xlfn.TEXTBEFORE(O12,":"))</f>
        <v>Атак в секунду</v>
      </c>
      <c r="Q12" s="18" t="s">
        <v>6149</v>
      </c>
      <c r="R12" s="16" t="str">
        <f>TRIM(_xlfn.TEXTBEFORE(Q12,":"))</f>
        <v>จำนวนครั้งการโจมตีต่อวินาที</v>
      </c>
      <c r="S12" s="18"/>
      <c r="T12" s="16" t="e">
        <f>TRIM(_xlfn.TEXTBEFORE(S12,":"))</f>
        <v>#N/A</v>
      </c>
    </row>
    <row r="13" spans="1:20" ht="15.95" customHeight="1" x14ac:dyDescent="0.25">
      <c r="A13" s="18" t="s">
        <v>127</v>
      </c>
      <c r="B13" s="16"/>
      <c r="C13" s="18" t="s">
        <v>1837</v>
      </c>
      <c r="D13" s="16"/>
      <c r="E13" s="18" t="s">
        <v>2555</v>
      </c>
      <c r="F13" s="16"/>
      <c r="G13" s="18" t="s">
        <v>1102</v>
      </c>
      <c r="H13" s="16"/>
      <c r="I13" s="18" t="s">
        <v>3278</v>
      </c>
      <c r="J13" s="16"/>
      <c r="K13" s="18" t="s">
        <v>4023</v>
      </c>
      <c r="L13" s="16"/>
      <c r="M13" s="18" t="s">
        <v>4746</v>
      </c>
      <c r="N13" s="16"/>
      <c r="O13" s="18" t="s">
        <v>5437</v>
      </c>
      <c r="P13" s="16"/>
      <c r="Q13" s="18" t="s">
        <v>6150</v>
      </c>
      <c r="R13" s="16"/>
      <c r="S13" s="18"/>
      <c r="T13" s="16"/>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16"/>
    </row>
    <row r="15" spans="1:20" ht="15.95" customHeight="1" x14ac:dyDescent="0.25">
      <c r="A15" s="18" t="s">
        <v>81</v>
      </c>
      <c r="B15" s="16" t="str">
        <f>TRIM(_xlfn.TEXTBEFORE(A15,":"))</f>
        <v>Requirements</v>
      </c>
      <c r="C15" s="18" t="s">
        <v>1589</v>
      </c>
      <c r="D15" s="16" t="str">
        <f>TRIM(_xlfn.TEXTBEFORE(C15,":"))</f>
        <v>Anforderungen</v>
      </c>
      <c r="E15" s="18" t="s">
        <v>2308</v>
      </c>
      <c r="F15" s="16" t="str">
        <f>TRIM(_xlfn.TEXTBEFORE(E15,":"))</f>
        <v>Requisitos</v>
      </c>
      <c r="G15" s="18" t="s">
        <v>5</v>
      </c>
      <c r="H15" s="16" t="str">
        <f>TRIM(_xlfn.TEXTBEFORE(G15,":"))</f>
        <v>Prérequis</v>
      </c>
      <c r="I15" s="18" t="s">
        <v>3018</v>
      </c>
      <c r="J15" s="16" t="str">
        <f>TRIM(_xlfn.TEXTBEFORE(I15,":"))</f>
        <v>装備要求</v>
      </c>
      <c r="K15" s="18" t="s">
        <v>3772</v>
      </c>
      <c r="L15" s="16" t="str">
        <f>TRIM(_xlfn.TEXTBEFORE(K15,":"))</f>
        <v>요구사항</v>
      </c>
      <c r="M15" s="18" t="s">
        <v>2308</v>
      </c>
      <c r="N15" s="16" t="str">
        <f>TRIM(_xlfn.TEXTBEFORE(M15,":"))</f>
        <v>Requisitos</v>
      </c>
      <c r="O15" s="18" t="s">
        <v>5183</v>
      </c>
      <c r="P15" s="16" t="str">
        <f>TRIM(_xlfn.TEXTBEFORE(O15,":"))</f>
        <v>Требования</v>
      </c>
      <c r="Q15" s="18" t="s">
        <v>5928</v>
      </c>
      <c r="R15" s="16" t="str">
        <f>TRIM(_xlfn.TEXTBEFORE(Q15,":"))</f>
        <v>เงื่อนไข</v>
      </c>
      <c r="S15" s="18"/>
      <c r="T15" s="16" t="e">
        <f>TRIM(_xlfn.TEXTBEFORE(S15,":"))</f>
        <v>#N/A</v>
      </c>
    </row>
    <row r="16" spans="1:20" ht="15.95" customHeight="1" x14ac:dyDescent="0.25">
      <c r="A16" s="18" t="s">
        <v>128</v>
      </c>
      <c r="B16" s="16"/>
      <c r="C16" s="18" t="s">
        <v>1838</v>
      </c>
      <c r="D16" s="16"/>
      <c r="E16" s="18" t="s">
        <v>2556</v>
      </c>
      <c r="F16" s="16"/>
      <c r="G16" s="18" t="s">
        <v>6</v>
      </c>
      <c r="H16" s="16"/>
      <c r="I16" s="18" t="s">
        <v>3279</v>
      </c>
      <c r="J16" s="16"/>
      <c r="K16" s="18" t="s">
        <v>4024</v>
      </c>
      <c r="L16" s="16"/>
      <c r="M16" s="18" t="s">
        <v>4747</v>
      </c>
      <c r="N16" s="16"/>
      <c r="O16" s="18" t="s">
        <v>5438</v>
      </c>
      <c r="P16" s="16"/>
      <c r="Q16" s="18" t="s">
        <v>6151</v>
      </c>
      <c r="R16" s="16"/>
      <c r="S16" s="18"/>
      <c r="T16" s="16"/>
    </row>
    <row r="17" spans="1:20" ht="15.95" customHeight="1" x14ac:dyDescent="0.25">
      <c r="A17" s="18" t="s">
        <v>129</v>
      </c>
      <c r="B17" s="16"/>
      <c r="C17" s="18" t="s">
        <v>1839</v>
      </c>
      <c r="D17" s="16"/>
      <c r="E17" s="18" t="s">
        <v>2557</v>
      </c>
      <c r="F17" s="16"/>
      <c r="G17" s="18" t="s">
        <v>129</v>
      </c>
      <c r="H17" s="16"/>
      <c r="I17" s="18" t="s">
        <v>3280</v>
      </c>
      <c r="J17" s="16"/>
      <c r="K17" s="18" t="s">
        <v>4025</v>
      </c>
      <c r="L17" s="16"/>
      <c r="M17" s="18" t="s">
        <v>2557</v>
      </c>
      <c r="N17" s="16"/>
      <c r="O17" s="18" t="s">
        <v>5439</v>
      </c>
      <c r="P17" s="16"/>
      <c r="Q17" s="18" t="s">
        <v>129</v>
      </c>
      <c r="R17" s="16"/>
      <c r="S17" s="18"/>
      <c r="T17" s="16"/>
    </row>
    <row r="18" spans="1:20" ht="15.95" customHeight="1" x14ac:dyDescent="0.25">
      <c r="A18" s="18" t="s">
        <v>130</v>
      </c>
      <c r="B18" s="16"/>
      <c r="C18" s="18" t="s">
        <v>130</v>
      </c>
      <c r="D18" s="16"/>
      <c r="E18" s="18" t="s">
        <v>130</v>
      </c>
      <c r="F18" s="16"/>
      <c r="G18" s="18" t="s">
        <v>130</v>
      </c>
      <c r="H18" s="16"/>
      <c r="I18" s="18" t="s">
        <v>3281</v>
      </c>
      <c r="J18" s="16"/>
      <c r="K18" s="18" t="s">
        <v>4026</v>
      </c>
      <c r="L18" s="16"/>
      <c r="M18" s="18" t="s">
        <v>130</v>
      </c>
      <c r="N18" s="16"/>
      <c r="O18" s="18" t="s">
        <v>5440</v>
      </c>
      <c r="P18" s="16"/>
      <c r="Q18" s="18" t="s">
        <v>130</v>
      </c>
      <c r="R18" s="16"/>
      <c r="S18" s="18"/>
      <c r="T18" s="16"/>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16"/>
    </row>
    <row r="20" spans="1:20" ht="15.95" customHeight="1" x14ac:dyDescent="0.25">
      <c r="A20" s="18" t="s">
        <v>131</v>
      </c>
      <c r="B20" s="16" t="str">
        <f>TRIM(_xlfn.TEXTBEFORE(A20,":"))</f>
        <v>Sockets</v>
      </c>
      <c r="C20" s="18" t="s">
        <v>1840</v>
      </c>
      <c r="D20" s="16" t="str">
        <f>TRIM(_xlfn.TEXTBEFORE(C20,":"))</f>
        <v>Fassungen</v>
      </c>
      <c r="E20" s="18" t="s">
        <v>2558</v>
      </c>
      <c r="F20" s="16" t="str">
        <f>TRIM(_xlfn.TEXTBEFORE(E20,":"))</f>
        <v>Engarces</v>
      </c>
      <c r="G20" s="18" t="s">
        <v>1103</v>
      </c>
      <c r="H20" s="16" t="str">
        <f>TRIM(_xlfn.TEXTBEFORE(G20,":"))</f>
        <v>Châsses</v>
      </c>
      <c r="I20" s="18" t="s">
        <v>3282</v>
      </c>
      <c r="J20" s="16" t="str">
        <f>TRIM(_xlfn.TEXTBEFORE(I20,":"))</f>
        <v>ソケット</v>
      </c>
      <c r="K20" s="18" t="s">
        <v>4027</v>
      </c>
      <c r="L20" s="16" t="str">
        <f>TRIM(_xlfn.TEXTBEFORE(K20,":"))</f>
        <v>홈</v>
      </c>
      <c r="M20" s="18" t="s">
        <v>4748</v>
      </c>
      <c r="N20" s="16" t="str">
        <f>TRIM(_xlfn.TEXTBEFORE(M20,":"))</f>
        <v>Encaixes</v>
      </c>
      <c r="O20" s="18" t="s">
        <v>5441</v>
      </c>
      <c r="P20" s="16" t="str">
        <f>TRIM(_xlfn.TEXTBEFORE(O20,":"))</f>
        <v>Гнезда</v>
      </c>
      <c r="Q20" s="18" t="s">
        <v>6152</v>
      </c>
      <c r="R20" s="16" t="str">
        <f>TRIM(_xlfn.TEXTBEFORE(Q20,":"))</f>
        <v>รู</v>
      </c>
      <c r="S20" s="18"/>
      <c r="T20" s="16" t="e">
        <f>TRIM(_xlfn.TEXTBEFORE(S20,":"))</f>
        <v>#N/A</v>
      </c>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16"/>
    </row>
    <row r="22" spans="1:20" ht="15.95" customHeight="1" x14ac:dyDescent="0.25">
      <c r="A22" s="18" t="s">
        <v>88</v>
      </c>
      <c r="B22" s="16" t="str">
        <f>TRIM(_xlfn.TEXTBEFORE(A22,":"))</f>
        <v>Item Level</v>
      </c>
      <c r="C22" s="18" t="s">
        <v>1713</v>
      </c>
      <c r="D22" s="16" t="str">
        <f>TRIM(_xlfn.TEXTBEFORE(C22,":"))</f>
        <v>Gegenstandsstufe</v>
      </c>
      <c r="E22" s="18" t="s">
        <v>2432</v>
      </c>
      <c r="F22" s="16" t="str">
        <f>TRIM(_xlfn.TEXTBEFORE(E22,":"))</f>
        <v>Nivel de objeto</v>
      </c>
      <c r="G22" s="18" t="s">
        <v>981</v>
      </c>
      <c r="H22" s="16" t="str">
        <f>TRIM(_xlfn.TEXTBEFORE(G22,":"))</f>
        <v>Niveau de l'objet</v>
      </c>
      <c r="I22" s="18" t="s">
        <v>3150</v>
      </c>
      <c r="J22" s="16" t="str">
        <f>TRIM(_xlfn.TEXTBEFORE(I22,":"))</f>
        <v>アイテムレベル</v>
      </c>
      <c r="K22" s="18" t="s">
        <v>3897</v>
      </c>
      <c r="L22" s="16" t="str">
        <f>TRIM(_xlfn.TEXTBEFORE(K22,":"))</f>
        <v>아이템 레벨</v>
      </c>
      <c r="M22" s="18" t="s">
        <v>4626</v>
      </c>
      <c r="N22" s="16" t="str">
        <f>TRIM(_xlfn.TEXTBEFORE(M22,":"))</f>
        <v>Nível do Item</v>
      </c>
      <c r="O22" s="18" t="s">
        <v>5311</v>
      </c>
      <c r="P22" s="16" t="str">
        <f>TRIM(_xlfn.TEXTBEFORE(O22,":"))</f>
        <v>Уровень предмета</v>
      </c>
      <c r="Q22" s="18" t="s">
        <v>6043</v>
      </c>
      <c r="R22" s="16" t="str">
        <f>TRIM(_xlfn.TEXTBEFORE(Q22,":"))</f>
        <v>เลเวลไอเทม</v>
      </c>
      <c r="S22" s="18"/>
      <c r="T22" s="16" t="e">
        <f>TRIM(_xlfn.TEXTBEFORE(S22,":"))</f>
        <v>#N/A</v>
      </c>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16"/>
    </row>
    <row r="24" spans="1:20" ht="15.95" customHeight="1" x14ac:dyDescent="0.25">
      <c r="A24" s="18" t="s">
        <v>132</v>
      </c>
      <c r="B24" s="16"/>
      <c r="C24" s="18" t="s">
        <v>1841</v>
      </c>
      <c r="D24" s="16"/>
      <c r="E24" s="18" t="s">
        <v>2559</v>
      </c>
      <c r="F24" s="16"/>
      <c r="G24" s="18" t="s">
        <v>1104</v>
      </c>
      <c r="H24" s="16"/>
      <c r="I24" s="18" t="s">
        <v>3283</v>
      </c>
      <c r="J24" s="16"/>
      <c r="K24" s="18" t="s">
        <v>4028</v>
      </c>
      <c r="L24" s="16"/>
      <c r="M24" s="18" t="s">
        <v>4749</v>
      </c>
      <c r="N24" s="16"/>
      <c r="O24" s="18" t="s">
        <v>5442</v>
      </c>
      <c r="P24" s="16"/>
      <c r="Q24" s="18" t="s">
        <v>6153</v>
      </c>
      <c r="R24" s="16"/>
      <c r="S24" s="18"/>
      <c r="T24" s="21"/>
    </row>
    <row r="25" spans="1:20" ht="15.95" customHeight="1" x14ac:dyDescent="0.25">
      <c r="A25" s="18" t="s">
        <v>4</v>
      </c>
      <c r="B25" s="16"/>
      <c r="C25" s="18" t="s">
        <v>4</v>
      </c>
      <c r="D25" s="16"/>
      <c r="E25" s="18" t="s">
        <v>4</v>
      </c>
      <c r="F25" s="16"/>
      <c r="G25" s="18" t="s">
        <v>4</v>
      </c>
      <c r="H25" s="16"/>
      <c r="I25" s="18" t="s">
        <v>4</v>
      </c>
      <c r="J25" s="16"/>
      <c r="K25" s="18" t="s">
        <v>4</v>
      </c>
      <c r="L25" s="16"/>
      <c r="M25" s="18" t="s">
        <v>4</v>
      </c>
      <c r="N25" s="16"/>
      <c r="O25" s="18" t="s">
        <v>4</v>
      </c>
      <c r="P25" s="16"/>
      <c r="Q25" s="18" t="s">
        <v>4</v>
      </c>
      <c r="R25" s="16"/>
      <c r="S25" s="18"/>
      <c r="T25" s="21"/>
    </row>
    <row r="26" spans="1:20" ht="15.95" customHeight="1" x14ac:dyDescent="0.25">
      <c r="A26" s="18" t="s">
        <v>133</v>
      </c>
      <c r="B26" s="16"/>
      <c r="C26" s="18" t="s">
        <v>1842</v>
      </c>
      <c r="D26" s="16"/>
      <c r="E26" s="18" t="s">
        <v>2560</v>
      </c>
      <c r="F26" s="16"/>
      <c r="G26" s="18" t="s">
        <v>1105</v>
      </c>
      <c r="H26" s="16"/>
      <c r="I26" s="18" t="s">
        <v>3284</v>
      </c>
      <c r="J26" s="16"/>
      <c r="K26" s="18" t="s">
        <v>4029</v>
      </c>
      <c r="L26" s="16"/>
      <c r="M26" s="18" t="s">
        <v>4750</v>
      </c>
      <c r="N26" s="16"/>
      <c r="O26" s="18" t="s">
        <v>5443</v>
      </c>
      <c r="P26" s="16"/>
      <c r="Q26" s="18" t="s">
        <v>6154</v>
      </c>
      <c r="R26" s="16"/>
      <c r="S26" s="18"/>
      <c r="T26" s="21"/>
    </row>
    <row r="27" spans="1:20" ht="15.95" customHeight="1" x14ac:dyDescent="0.25">
      <c r="A27" s="18" t="s">
        <v>134</v>
      </c>
      <c r="B27" s="16"/>
      <c r="C27" s="18" t="s">
        <v>1843</v>
      </c>
      <c r="D27" s="16"/>
      <c r="E27" s="18" t="s">
        <v>2561</v>
      </c>
      <c r="F27" s="16"/>
      <c r="G27" s="18" t="s">
        <v>1106</v>
      </c>
      <c r="H27" s="16"/>
      <c r="I27" s="18" t="s">
        <v>3285</v>
      </c>
      <c r="J27" s="16"/>
      <c r="K27" s="18" t="s">
        <v>4030</v>
      </c>
      <c r="L27" s="16"/>
      <c r="M27" s="18" t="s">
        <v>4751</v>
      </c>
      <c r="N27" s="16"/>
      <c r="O27" s="18" t="s">
        <v>5444</v>
      </c>
      <c r="P27" s="16"/>
      <c r="Q27" s="18" t="s">
        <v>6155</v>
      </c>
      <c r="R27" s="16"/>
      <c r="S27" s="18"/>
      <c r="T27" s="21"/>
    </row>
    <row r="28" spans="1:20" ht="15.95" customHeight="1" x14ac:dyDescent="0.25">
      <c r="A28" s="18" t="s">
        <v>135</v>
      </c>
      <c r="B28" s="16"/>
      <c r="C28" s="18" t="s">
        <v>1844</v>
      </c>
      <c r="D28" s="16"/>
      <c r="E28" s="18" t="s">
        <v>2562</v>
      </c>
      <c r="F28" s="16"/>
      <c r="G28" s="18" t="s">
        <v>1107</v>
      </c>
      <c r="H28" s="16"/>
      <c r="I28" s="18" t="s">
        <v>3286</v>
      </c>
      <c r="J28" s="16"/>
      <c r="K28" s="18" t="s">
        <v>4031</v>
      </c>
      <c r="L28" s="16"/>
      <c r="M28" s="18" t="s">
        <v>4752</v>
      </c>
      <c r="N28" s="16"/>
      <c r="O28" s="18" t="s">
        <v>5445</v>
      </c>
      <c r="P28" s="16"/>
      <c r="Q28" s="18" t="s">
        <v>6156</v>
      </c>
      <c r="R28" s="16"/>
      <c r="S28" s="18"/>
      <c r="T28" s="21"/>
    </row>
    <row r="29" spans="1:20" ht="15.95" customHeight="1" x14ac:dyDescent="0.25">
      <c r="A29" s="18" t="s">
        <v>136</v>
      </c>
      <c r="B29" s="16"/>
      <c r="C29" s="18" t="s">
        <v>1845</v>
      </c>
      <c r="D29" s="16"/>
      <c r="E29" s="18" t="s">
        <v>2563</v>
      </c>
      <c r="F29" s="16"/>
      <c r="G29" s="18" t="s">
        <v>1108</v>
      </c>
      <c r="H29" s="16"/>
      <c r="I29" s="18" t="s">
        <v>3287</v>
      </c>
      <c r="J29" s="16"/>
      <c r="K29" s="18" t="s">
        <v>4032</v>
      </c>
      <c r="L29" s="16"/>
      <c r="M29" s="18" t="s">
        <v>4753</v>
      </c>
      <c r="N29" s="16"/>
      <c r="O29" s="18" t="s">
        <v>5446</v>
      </c>
      <c r="P29" s="16"/>
      <c r="Q29" s="18" t="s">
        <v>6157</v>
      </c>
      <c r="R29" s="16"/>
      <c r="S29" s="18"/>
      <c r="T29" s="21"/>
    </row>
    <row r="30" spans="1:20" ht="15.95" customHeight="1" x14ac:dyDescent="0.25">
      <c r="A30" s="18" t="s">
        <v>137</v>
      </c>
      <c r="B30" s="16"/>
      <c r="C30" s="18" t="s">
        <v>1846</v>
      </c>
      <c r="D30" s="16"/>
      <c r="E30" s="18" t="s">
        <v>2564</v>
      </c>
      <c r="F30" s="16"/>
      <c r="G30" s="18" t="s">
        <v>1109</v>
      </c>
      <c r="H30" s="16"/>
      <c r="I30" s="18" t="s">
        <v>3288</v>
      </c>
      <c r="J30" s="16"/>
      <c r="K30" s="18" t="s">
        <v>4033</v>
      </c>
      <c r="L30" s="16"/>
      <c r="M30" s="18" t="s">
        <v>4754</v>
      </c>
      <c r="N30" s="16"/>
      <c r="O30" s="18" t="s">
        <v>5447</v>
      </c>
      <c r="P30" s="16"/>
      <c r="Q30" s="18" t="s">
        <v>6158</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138</v>
      </c>
      <c r="B32" s="16"/>
      <c r="C32" s="18" t="s">
        <v>1847</v>
      </c>
      <c r="D32" s="16"/>
      <c r="E32" s="18" t="s">
        <v>2565</v>
      </c>
      <c r="F32" s="16"/>
      <c r="G32" s="18" t="s">
        <v>1110</v>
      </c>
      <c r="H32" s="16"/>
      <c r="I32" s="18" t="s">
        <v>3289</v>
      </c>
      <c r="J32" s="16"/>
      <c r="K32" s="18" t="s">
        <v>4034</v>
      </c>
      <c r="L32" s="16"/>
      <c r="M32" s="18" t="s">
        <v>4755</v>
      </c>
      <c r="N32" s="16"/>
      <c r="O32" s="18" t="s">
        <v>5448</v>
      </c>
      <c r="P32" s="16"/>
      <c r="Q32" s="18" t="s">
        <v>6159</v>
      </c>
      <c r="R32" s="16"/>
      <c r="S32" s="18"/>
      <c r="T32" s="21"/>
    </row>
    <row r="33" spans="1:20" ht="15.95" customHeight="1" x14ac:dyDescent="0.25">
      <c r="A33" s="22" t="s">
        <v>139</v>
      </c>
      <c r="B33" s="16"/>
      <c r="C33" s="18" t="s">
        <v>1848</v>
      </c>
      <c r="D33" s="16"/>
      <c r="E33" s="18" t="s">
        <v>2566</v>
      </c>
      <c r="F33" s="16"/>
      <c r="G33" s="18" t="s">
        <v>1111</v>
      </c>
      <c r="H33" s="16"/>
      <c r="I33" s="18" t="s">
        <v>3290</v>
      </c>
      <c r="J33" s="16"/>
      <c r="K33" s="18" t="s">
        <v>4035</v>
      </c>
      <c r="L33" s="16"/>
      <c r="M33" s="18" t="s">
        <v>4756</v>
      </c>
      <c r="N33" s="16"/>
      <c r="O33" s="18" t="s">
        <v>5449</v>
      </c>
      <c r="P33" s="16"/>
      <c r="Q33" s="18" t="s">
        <v>6160</v>
      </c>
      <c r="R33" s="16"/>
      <c r="S33" s="18"/>
      <c r="T33" s="21"/>
    </row>
    <row r="34" spans="1:20" ht="15.95" customHeight="1" x14ac:dyDescent="0.25">
      <c r="A34" s="18" t="s">
        <v>140</v>
      </c>
      <c r="B34" s="16"/>
      <c r="C34" s="18" t="s">
        <v>1849</v>
      </c>
      <c r="D34" s="16"/>
      <c r="E34" s="18" t="s">
        <v>2567</v>
      </c>
      <c r="F34" s="16"/>
      <c r="G34" s="18" t="s">
        <v>1112</v>
      </c>
      <c r="H34" s="16"/>
      <c r="I34" s="18" t="s">
        <v>3291</v>
      </c>
      <c r="J34" s="16"/>
      <c r="K34" s="18" t="s">
        <v>4036</v>
      </c>
      <c r="L34" s="16"/>
      <c r="M34" s="18" t="s">
        <v>4757</v>
      </c>
      <c r="N34" s="16"/>
      <c r="O34" s="18" t="s">
        <v>5450</v>
      </c>
      <c r="P34" s="16"/>
      <c r="Q34" s="18" t="s">
        <v>6161</v>
      </c>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20" priority="62" stopIfTrue="1">
      <formula>NOT(ISERROR(A3))</formula>
    </cfRule>
  </conditionalFormatting>
  <conditionalFormatting sqref="A3:T12 A13:D14 E13:E23 G13:G23 I13:I23 K13:K23 M13:M23 O13:O23 Q13:Q23 S13:S23 A15 C15 A16:D19 A20 C20 A21:D21 A22 C22 A23:D23 A24:T51">
    <cfRule type="notContainsBlanks" dxfId="319" priority="63">
      <formula>LEN(TRIM(A3))&gt;0</formula>
    </cfRule>
  </conditionalFormatting>
  <conditionalFormatting sqref="A3:T51">
    <cfRule type="containsErrors" dxfId="318" priority="1" stopIfTrue="1">
      <formula>ISERROR(A3)</formula>
    </cfRule>
  </conditionalFormatting>
  <conditionalFormatting sqref="B15">
    <cfRule type="notContainsBlanks" dxfId="317" priority="58">
      <formula>LEN(TRIM(B15))&gt;0</formula>
    </cfRule>
  </conditionalFormatting>
  <conditionalFormatting sqref="B20">
    <cfRule type="notContainsBlanks" dxfId="316" priority="56">
      <formula>LEN(TRIM(B20))&gt;0</formula>
    </cfRule>
  </conditionalFormatting>
  <conditionalFormatting sqref="B22">
    <cfRule type="notContainsBlanks" dxfId="315" priority="60">
      <formula>LEN(TRIM(B22))&gt;0</formula>
    </cfRule>
  </conditionalFormatting>
  <conditionalFormatting sqref="D15">
    <cfRule type="notContainsBlanks" dxfId="314" priority="52">
      <formula>LEN(TRIM(D15))&gt;0</formula>
    </cfRule>
  </conditionalFormatting>
  <conditionalFormatting sqref="D20">
    <cfRule type="notContainsBlanks" dxfId="313" priority="50">
      <formula>LEN(TRIM(D20))&gt;0</formula>
    </cfRule>
  </conditionalFormatting>
  <conditionalFormatting sqref="D22">
    <cfRule type="notContainsBlanks" dxfId="312" priority="54">
      <formula>LEN(TRIM(D22))&gt;0</formula>
    </cfRule>
  </conditionalFormatting>
  <conditionalFormatting sqref="F13:F23">
    <cfRule type="notContainsBlanks" dxfId="311" priority="44">
      <formula>LEN(TRIM(F13))&gt;0</formula>
    </cfRule>
  </conditionalFormatting>
  <conditionalFormatting sqref="H13:H23">
    <cfRule type="notContainsBlanks" dxfId="310" priority="38">
      <formula>LEN(TRIM(H13))&gt;0</formula>
    </cfRule>
  </conditionalFormatting>
  <conditionalFormatting sqref="J13:J23">
    <cfRule type="notContainsBlanks" dxfId="309" priority="32">
      <formula>LEN(TRIM(J13))&gt;0</formula>
    </cfRule>
  </conditionalFormatting>
  <conditionalFormatting sqref="L13:L23">
    <cfRule type="notContainsBlanks" dxfId="308" priority="26">
      <formula>LEN(TRIM(L13))&gt;0</formula>
    </cfRule>
  </conditionalFormatting>
  <conditionalFormatting sqref="N13:N23">
    <cfRule type="notContainsBlanks" dxfId="307" priority="20">
      <formula>LEN(TRIM(N13))&gt;0</formula>
    </cfRule>
  </conditionalFormatting>
  <conditionalFormatting sqref="P13:P23">
    <cfRule type="notContainsBlanks" dxfId="306" priority="14">
      <formula>LEN(TRIM(P13))&gt;0</formula>
    </cfRule>
  </conditionalFormatting>
  <conditionalFormatting sqref="R13:R23">
    <cfRule type="notContainsBlanks" dxfId="305" priority="8">
      <formula>LEN(TRIM(R13))&gt;0</formula>
    </cfRule>
  </conditionalFormatting>
  <conditionalFormatting sqref="T13:T23">
    <cfRule type="notContainsBlanks" dxfId="304" priority="2">
      <formula>LEN(TRIM(T13))&gt;0</formula>
    </cfRule>
  </conditionalFormatting>
  <pageMargins left="0.7" right="0.7" top="0.75" bottom="0.75" header="0.3" footer="0.3"/>
  <pageSetup orientation="portrait" horizontalDpi="4294967293"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3F2208-3822-4C43-8153-2A302CB0F72B}">
  <sheetPr codeName="Sheet31"/>
  <dimension ref="A1:T51"/>
  <sheetViews>
    <sheetView workbookViewId="0">
      <selection activeCell="Q3" sqref="Q3:Q20"/>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8" t="s">
        <v>84</v>
      </c>
    </row>
    <row r="3" spans="1:20" ht="15.95" customHeight="1" x14ac:dyDescent="0.25">
      <c r="A3" s="17" t="s">
        <v>620</v>
      </c>
      <c r="B3" s="16" t="str">
        <f>TRIM(_xlfn.TEXTBEFORE(A3, ":"))</f>
        <v>Item Class</v>
      </c>
      <c r="C3" s="17" t="s">
        <v>1768</v>
      </c>
      <c r="D3" s="16" t="str">
        <f>TRIM(_xlfn.TEXTBEFORE(C3, ":"))</f>
        <v>Gegenstandsklasse</v>
      </c>
      <c r="E3" s="17" t="s">
        <v>2487</v>
      </c>
      <c r="F3" s="16" t="str">
        <f>TRIM(_xlfn.TEXTBEFORE(E3, ":"))</f>
        <v>Clase de objeto</v>
      </c>
      <c r="G3" s="17" t="s">
        <v>1036</v>
      </c>
      <c r="H3" s="16" t="str">
        <f>TRIM(_xlfn.TEXTBEFORE(G3, ":"))</f>
        <v>Classe d'objet</v>
      </c>
      <c r="I3" s="17" t="s">
        <v>3206</v>
      </c>
      <c r="J3" s="16" t="str">
        <f>TRIM(_xlfn.TEXTBEFORE(I3, ":"))</f>
        <v>アイテムクラス</v>
      </c>
      <c r="K3" s="17" t="s">
        <v>3952</v>
      </c>
      <c r="L3" s="16" t="str">
        <f>TRIM(_xlfn.TEXTBEFORE(K3, ":"))</f>
        <v>아이템 종류</v>
      </c>
      <c r="M3" s="17" t="s">
        <v>4681</v>
      </c>
      <c r="N3" s="16" t="str">
        <f>TRIM(_xlfn.TEXTBEFORE(M3, ":"))</f>
        <v>Classe do Item</v>
      </c>
      <c r="O3" s="17" t="s">
        <v>5366</v>
      </c>
      <c r="P3" s="16" t="str">
        <f>TRIM(_xlfn.TEXTBEFORE(O3, ":"))</f>
        <v>Класс предмета</v>
      </c>
      <c r="Q3" s="17" t="s">
        <v>6094</v>
      </c>
      <c r="R3" s="16" t="str">
        <f>TRIM(_xlfn.TEXTBEFORE(Q3, ":"))</f>
        <v>ชนิดไอเทม</v>
      </c>
      <c r="S3" s="17"/>
      <c r="T3" s="20" t="e">
        <f>TRIM(_xlfn.TEXTBEFORE(S3, ":"))</f>
        <v>#N/A</v>
      </c>
    </row>
    <row r="4" spans="1:20" ht="15.95" customHeight="1" x14ac:dyDescent="0.25">
      <c r="A4" s="18" t="s">
        <v>484</v>
      </c>
      <c r="B4" s="16" t="str">
        <f>TRIM(_xlfn.TEXTAFTER(A3, ":"))</f>
        <v>Amulets</v>
      </c>
      <c r="C4" s="18" t="s">
        <v>1850</v>
      </c>
      <c r="D4" s="16" t="str">
        <f>TRIM(_xlfn.TEXTAFTER(C3, ":"))</f>
        <v>Amulette</v>
      </c>
      <c r="E4" s="18" t="s">
        <v>2568</v>
      </c>
      <c r="F4" s="16" t="str">
        <f>TRIM(_xlfn.TEXTAFTER(E3, ":"))</f>
        <v>Amuletos</v>
      </c>
      <c r="G4" s="18" t="s">
        <v>1113</v>
      </c>
      <c r="H4" s="16" t="str">
        <f>TRIM(_xlfn.TEXTAFTER(G3, ":"))</f>
        <v>Amulettes</v>
      </c>
      <c r="I4" s="18" t="s">
        <v>3292</v>
      </c>
      <c r="J4" s="16" t="str">
        <f>TRIM(_xlfn.TEXTAFTER(I3, ":"))</f>
        <v>アミュレット</v>
      </c>
      <c r="K4" s="18" t="s">
        <v>4037</v>
      </c>
      <c r="L4" s="16" t="str">
        <f>TRIM(_xlfn.TEXTAFTER(K3, ":"))</f>
        <v>목걸이</v>
      </c>
      <c r="M4" s="18" t="s">
        <v>4758</v>
      </c>
      <c r="N4" s="16" t="str">
        <f>TRIM(_xlfn.TEXTAFTER(M3, ":"))</f>
        <v>Amuletos</v>
      </c>
      <c r="O4" s="18" t="s">
        <v>5451</v>
      </c>
      <c r="P4" s="16" t="str">
        <f>TRIM(_xlfn.TEXTAFTER(O3, ":"))</f>
        <v>Амулеты</v>
      </c>
      <c r="Q4" s="18" t="s">
        <v>6162</v>
      </c>
      <c r="R4" s="16" t="str">
        <f>TRIM(_xlfn.TEXTAFTER(Q3, ":"))</f>
        <v>สร้อย</v>
      </c>
      <c r="S4" s="18"/>
      <c r="T4" s="20" t="e">
        <f>TRIM(_xlfn.TEXTAFTER(S3, ":"))</f>
        <v>#N/A</v>
      </c>
    </row>
    <row r="5" spans="1:20" ht="15.95" customHeight="1" x14ac:dyDescent="0.25">
      <c r="A5" s="18" t="s">
        <v>821</v>
      </c>
      <c r="B5" s="16" t="str">
        <f>TRIM(_xlfn.TEXTBEFORE(A4, ":"))</f>
        <v>Rarity</v>
      </c>
      <c r="C5" s="18" t="s">
        <v>1851</v>
      </c>
      <c r="D5" s="16" t="str">
        <f>TRIM(_xlfn.TEXTBEFORE(C4, ":"))</f>
        <v>Seltenheit</v>
      </c>
      <c r="E5" s="18" t="s">
        <v>2569</v>
      </c>
      <c r="F5" s="16" t="str">
        <f>TRIM(_xlfn.TEXTBEFORE(E4, ":"))</f>
        <v>Rareza</v>
      </c>
      <c r="G5" s="18" t="s">
        <v>1114</v>
      </c>
      <c r="H5" s="16" t="str">
        <f>TRIM(_xlfn.TEXTBEFORE(G4, ":"))</f>
        <v>Rareté</v>
      </c>
      <c r="I5" s="18" t="s">
        <v>3293</v>
      </c>
      <c r="J5" s="16" t="str">
        <f>TRIM(_xlfn.TEXTBEFORE(I4, ":"))</f>
        <v>レアリティ</v>
      </c>
      <c r="K5" s="18" t="s">
        <v>4038</v>
      </c>
      <c r="L5" s="16" t="str">
        <f>TRIM(_xlfn.TEXTBEFORE(K4, ":"))</f>
        <v>아이템 희귀도</v>
      </c>
      <c r="M5" s="18" t="s">
        <v>4759</v>
      </c>
      <c r="N5" s="16" t="str">
        <f>TRIM(_xlfn.TEXTBEFORE(M4, ":"))</f>
        <v>Raridade</v>
      </c>
      <c r="O5" s="18" t="s">
        <v>5452</v>
      </c>
      <c r="P5" s="16" t="str">
        <f>TRIM(_xlfn.TEXTBEFORE(O4, ":"))</f>
        <v>Редкость</v>
      </c>
      <c r="Q5" s="18" t="s">
        <v>821</v>
      </c>
      <c r="R5" s="16" t="str">
        <f>TRIM(_xlfn.TEXTBEFORE(Q4, ":"))</f>
        <v>ความหายาก</v>
      </c>
      <c r="S5" s="18"/>
      <c r="T5" s="20" t="e">
        <f>TRIM(_xlfn.TEXTBEFORE(S4, ":"))</f>
        <v>#N/A</v>
      </c>
    </row>
    <row r="6" spans="1:20" ht="15.95" customHeight="1" x14ac:dyDescent="0.25">
      <c r="A6" s="18" t="s">
        <v>822</v>
      </c>
      <c r="B6" s="16" t="str">
        <f>TRIM(_xlfn.TEXTAFTER(A4,":"))</f>
        <v>Rare</v>
      </c>
      <c r="C6" s="18" t="s">
        <v>1852</v>
      </c>
      <c r="D6" s="16" t="str">
        <f>TRIM(_xlfn.TEXTAFTER(C4,":"))</f>
        <v>Selten</v>
      </c>
      <c r="E6" s="18" t="s">
        <v>2570</v>
      </c>
      <c r="F6" s="16" t="str">
        <f>TRIM(_xlfn.TEXTAFTER(E4,":"))</f>
        <v>Raro</v>
      </c>
      <c r="G6" s="18" t="s">
        <v>1115</v>
      </c>
      <c r="H6" s="16" t="str">
        <f>TRIM(_xlfn.TEXTAFTER(G4,":"))</f>
        <v>Rare</v>
      </c>
      <c r="I6" s="18" t="s">
        <v>3294</v>
      </c>
      <c r="J6" s="16" t="str">
        <f>TRIM(_xlfn.TEXTAFTER(I4,":"))</f>
        <v>レア</v>
      </c>
      <c r="K6" s="18" t="s">
        <v>4039</v>
      </c>
      <c r="L6" s="16" t="str">
        <f>TRIM(_xlfn.TEXTAFTER(K4,":"))</f>
        <v>희귀</v>
      </c>
      <c r="M6" s="18" t="s">
        <v>4760</v>
      </c>
      <c r="N6" s="16" t="str">
        <f>TRIM(_xlfn.TEXTAFTER(M4,":"))</f>
        <v>Raro</v>
      </c>
      <c r="O6" s="18" t="s">
        <v>5453</v>
      </c>
      <c r="P6" s="16" t="str">
        <f>TRIM(_xlfn.TEXTAFTER(O4,":"))</f>
        <v>Редкий</v>
      </c>
      <c r="Q6" s="18" t="s">
        <v>822</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81</v>
      </c>
      <c r="B8" s="16"/>
      <c r="C8" s="18" t="s">
        <v>1589</v>
      </c>
      <c r="D8" s="16"/>
      <c r="E8" s="18" t="s">
        <v>2308</v>
      </c>
      <c r="F8" s="16"/>
      <c r="G8" s="18" t="s">
        <v>5</v>
      </c>
      <c r="H8" s="16"/>
      <c r="I8" s="18" t="s">
        <v>3018</v>
      </c>
      <c r="J8" s="16"/>
      <c r="K8" s="18" t="s">
        <v>3772</v>
      </c>
      <c r="L8" s="16"/>
      <c r="M8" s="18" t="s">
        <v>2308</v>
      </c>
      <c r="N8" s="16"/>
      <c r="O8" s="18" t="s">
        <v>5183</v>
      </c>
      <c r="P8" s="16"/>
      <c r="Q8" s="18" t="s">
        <v>5928</v>
      </c>
      <c r="R8" s="16"/>
      <c r="S8" s="18"/>
      <c r="T8" s="20"/>
    </row>
    <row r="9" spans="1:20" ht="15.95" customHeight="1" x14ac:dyDescent="0.25">
      <c r="A9" s="18" t="s">
        <v>308</v>
      </c>
      <c r="B9" s="16"/>
      <c r="C9" s="18" t="s">
        <v>1853</v>
      </c>
      <c r="D9" s="16"/>
      <c r="E9" s="18" t="s">
        <v>2571</v>
      </c>
      <c r="F9" s="16"/>
      <c r="G9" s="18" t="s">
        <v>1116</v>
      </c>
      <c r="H9" s="16"/>
      <c r="I9" s="18" t="s">
        <v>3295</v>
      </c>
      <c r="J9" s="16"/>
      <c r="K9" s="18" t="s">
        <v>4040</v>
      </c>
      <c r="L9" s="16"/>
      <c r="M9" s="18" t="s">
        <v>4761</v>
      </c>
      <c r="N9" s="16"/>
      <c r="O9" s="18" t="s">
        <v>5454</v>
      </c>
      <c r="P9" s="16"/>
      <c r="Q9" s="18" t="s">
        <v>6163</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82</v>
      </c>
      <c r="B11" s="16"/>
      <c r="C11" s="18" t="s">
        <v>1662</v>
      </c>
      <c r="D11" s="16"/>
      <c r="E11" s="18" t="s">
        <v>2296</v>
      </c>
      <c r="F11" s="16"/>
      <c r="G11" s="18" t="s">
        <v>929</v>
      </c>
      <c r="H11" s="16"/>
      <c r="I11" s="18" t="s">
        <v>3098</v>
      </c>
      <c r="J11" s="16"/>
      <c r="K11" s="18" t="s">
        <v>3758</v>
      </c>
      <c r="L11" s="16"/>
      <c r="M11" s="18" t="s">
        <v>4576</v>
      </c>
      <c r="N11" s="16"/>
      <c r="O11" s="18" t="s">
        <v>5259</v>
      </c>
      <c r="P11" s="16"/>
      <c r="Q11" s="18" t="s">
        <v>5914</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823</v>
      </c>
      <c r="B13" s="16"/>
      <c r="C13" s="18" t="s">
        <v>1854</v>
      </c>
      <c r="D13" s="16"/>
      <c r="E13" s="18" t="s">
        <v>2572</v>
      </c>
      <c r="F13" s="16"/>
      <c r="G13" s="18" t="s">
        <v>1117</v>
      </c>
      <c r="H13" s="16"/>
      <c r="I13" s="18" t="s">
        <v>3296</v>
      </c>
      <c r="J13" s="16"/>
      <c r="K13" s="18" t="s">
        <v>4041</v>
      </c>
      <c r="L13" s="16"/>
      <c r="M13" s="18" t="s">
        <v>4762</v>
      </c>
      <c r="N13" s="16"/>
      <c r="O13" s="18" t="s">
        <v>5455</v>
      </c>
      <c r="P13" s="16"/>
      <c r="Q13" s="18" t="s">
        <v>6164</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824</v>
      </c>
      <c r="B15" s="16"/>
      <c r="C15" s="18" t="s">
        <v>1855</v>
      </c>
      <c r="D15" s="16"/>
      <c r="E15" s="18" t="s">
        <v>2573</v>
      </c>
      <c r="F15" s="16"/>
      <c r="G15" s="18" t="s">
        <v>1118</v>
      </c>
      <c r="H15" s="16"/>
      <c r="I15" s="18" t="s">
        <v>3297</v>
      </c>
      <c r="J15" s="16"/>
      <c r="K15" s="18" t="s">
        <v>4042</v>
      </c>
      <c r="L15" s="16"/>
      <c r="M15" s="18" t="s">
        <v>4763</v>
      </c>
      <c r="N15" s="16"/>
      <c r="O15" s="18" t="s">
        <v>5456</v>
      </c>
      <c r="P15" s="16"/>
      <c r="Q15" s="18" t="s">
        <v>6165</v>
      </c>
      <c r="R15" s="16"/>
      <c r="S15" s="18"/>
      <c r="T15" s="20"/>
    </row>
    <row r="16" spans="1:20" ht="15.95" customHeight="1" x14ac:dyDescent="0.25">
      <c r="A16" s="18" t="s">
        <v>825</v>
      </c>
      <c r="B16" s="16"/>
      <c r="C16" s="18" t="s">
        <v>1856</v>
      </c>
      <c r="D16" s="16"/>
      <c r="E16" s="18" t="s">
        <v>2574</v>
      </c>
      <c r="F16" s="16"/>
      <c r="G16" s="18" t="s">
        <v>1119</v>
      </c>
      <c r="H16" s="16"/>
      <c r="I16" s="18" t="s">
        <v>3298</v>
      </c>
      <c r="J16" s="16"/>
      <c r="K16" s="18" t="s">
        <v>4043</v>
      </c>
      <c r="L16" s="16"/>
      <c r="M16" s="18" t="s">
        <v>4764</v>
      </c>
      <c r="N16" s="16"/>
      <c r="O16" s="18" t="s">
        <v>5457</v>
      </c>
      <c r="P16" s="16"/>
      <c r="Q16" s="18" t="s">
        <v>6166</v>
      </c>
      <c r="R16" s="16"/>
      <c r="S16" s="18"/>
      <c r="T16" s="20"/>
    </row>
    <row r="17" spans="1:20" ht="15.95" customHeight="1" x14ac:dyDescent="0.25">
      <c r="A17" s="18" t="s">
        <v>826</v>
      </c>
      <c r="B17" s="16"/>
      <c r="C17" s="18" t="s">
        <v>1857</v>
      </c>
      <c r="D17" s="16"/>
      <c r="E17" s="18" t="s">
        <v>2575</v>
      </c>
      <c r="F17" s="16"/>
      <c r="G17" s="18" t="s">
        <v>1120</v>
      </c>
      <c r="H17" s="16"/>
      <c r="I17" s="18" t="s">
        <v>3299</v>
      </c>
      <c r="J17" s="16"/>
      <c r="K17" s="18" t="s">
        <v>4044</v>
      </c>
      <c r="L17" s="16"/>
      <c r="M17" s="18" t="s">
        <v>4765</v>
      </c>
      <c r="N17" s="16"/>
      <c r="O17" s="18" t="s">
        <v>5458</v>
      </c>
      <c r="P17" s="16"/>
      <c r="Q17" s="18" t="s">
        <v>6167</v>
      </c>
      <c r="R17" s="16"/>
      <c r="S17" s="18"/>
      <c r="T17" s="20"/>
    </row>
    <row r="18" spans="1:20" ht="15.95" customHeight="1" x14ac:dyDescent="0.25">
      <c r="A18" s="18" t="s">
        <v>827</v>
      </c>
      <c r="B18" s="16"/>
      <c r="C18" s="18" t="s">
        <v>1858</v>
      </c>
      <c r="D18" s="16"/>
      <c r="E18" s="18" t="s">
        <v>2576</v>
      </c>
      <c r="F18" s="16"/>
      <c r="G18" s="18" t="s">
        <v>1121</v>
      </c>
      <c r="H18" s="16"/>
      <c r="I18" s="18" t="s">
        <v>3300</v>
      </c>
      <c r="J18" s="16"/>
      <c r="K18" s="18" t="s">
        <v>4045</v>
      </c>
      <c r="L18" s="16"/>
      <c r="M18" s="18" t="s">
        <v>4766</v>
      </c>
      <c r="N18" s="16"/>
      <c r="O18" s="18" t="s">
        <v>5459</v>
      </c>
      <c r="P18" s="16"/>
      <c r="Q18" s="18" t="s">
        <v>6168</v>
      </c>
      <c r="R18" s="16"/>
      <c r="S18" s="18"/>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0"/>
    </row>
    <row r="20" spans="1:20" ht="15.95" customHeight="1" x14ac:dyDescent="0.25">
      <c r="A20" s="18" t="s">
        <v>828</v>
      </c>
      <c r="B20" s="16" t="str">
        <f>A20</f>
        <v>Crusader Item</v>
      </c>
      <c r="C20" s="18" t="s">
        <v>1859</v>
      </c>
      <c r="D20" s="16" t="str">
        <f>C20</f>
        <v>Kreuzritter-Gegenstand</v>
      </c>
      <c r="E20" s="18" t="s">
        <v>2577</v>
      </c>
      <c r="F20" s="16" t="str">
        <f>E20</f>
        <v>Objeto del Cruzado</v>
      </c>
      <c r="G20" s="18" t="s">
        <v>1122</v>
      </c>
      <c r="H20" s="16" t="str">
        <f>G20</f>
        <v>Objet du Croisé</v>
      </c>
      <c r="I20" s="18" t="s">
        <v>3301</v>
      </c>
      <c r="J20" s="16" t="str">
        <f>I20</f>
        <v>クルセイダーアイテム</v>
      </c>
      <c r="K20" s="18" t="s">
        <v>4046</v>
      </c>
      <c r="L20" s="16" t="str">
        <f>K20</f>
        <v>십자군 아이템</v>
      </c>
      <c r="M20" s="18" t="s">
        <v>4767</v>
      </c>
      <c r="N20" s="16" t="str">
        <f>M20</f>
        <v>Item do Cruzado</v>
      </c>
      <c r="O20" s="18" t="s">
        <v>5460</v>
      </c>
      <c r="P20" s="16" t="str">
        <f>O20</f>
        <v>Предмет Крестоносца</v>
      </c>
      <c r="Q20" s="18" t="s">
        <v>6169</v>
      </c>
      <c r="R20" s="16" t="str">
        <f>Q20</f>
        <v>ไอเทมผู้พิชิตอธรรม</v>
      </c>
      <c r="S20" s="18"/>
      <c r="T20" s="16">
        <f>S20</f>
        <v>0</v>
      </c>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03" priority="2" stopIfTrue="1">
      <formula>NOT(ISERROR(A3))</formula>
    </cfRule>
  </conditionalFormatting>
  <conditionalFormatting sqref="A3:T51">
    <cfRule type="containsErrors" dxfId="302" priority="1" stopIfTrue="1">
      <formula>ISERROR(A3)</formula>
    </cfRule>
    <cfRule type="notContainsBlanks" dxfId="301" priority="3">
      <formula>LEN(TRIM(A3))&gt;0</formula>
    </cfRule>
  </conditionalFormatting>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2C1B87-FC40-41D7-80B4-C4EB86573942}">
  <sheetPr codeName="Sheet32"/>
  <dimension ref="A1:T51"/>
  <sheetViews>
    <sheetView workbookViewId="0">
      <selection activeCell="Q3" sqref="Q3:Q2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8" t="s">
        <v>84</v>
      </c>
    </row>
    <row r="3" spans="1:20" ht="15.95" customHeight="1" x14ac:dyDescent="0.25">
      <c r="A3" s="17" t="s">
        <v>415</v>
      </c>
      <c r="B3" s="16" t="str">
        <f>TRIM(_xlfn.TEXTBEFORE(A3, ":"))</f>
        <v>Item Class</v>
      </c>
      <c r="C3" s="17" t="s">
        <v>1860</v>
      </c>
      <c r="D3" s="16" t="str">
        <f>TRIM(_xlfn.TEXTBEFORE(C3, ":"))</f>
        <v>Gegenstandsklasse</v>
      </c>
      <c r="E3" s="17" t="s">
        <v>2578</v>
      </c>
      <c r="F3" s="16" t="str">
        <f>TRIM(_xlfn.TEXTBEFORE(E3, ":"))</f>
        <v>Clase de objeto</v>
      </c>
      <c r="G3" s="17" t="s">
        <v>1123</v>
      </c>
      <c r="H3" s="16" t="str">
        <f>TRIM(_xlfn.TEXTBEFORE(G3, ":"))</f>
        <v>Classe d'objet</v>
      </c>
      <c r="I3" s="17" t="s">
        <v>3302</v>
      </c>
      <c r="J3" s="16" t="str">
        <f>TRIM(_xlfn.TEXTBEFORE(I3, ":"))</f>
        <v>アイテムクラス</v>
      </c>
      <c r="K3" s="17" t="s">
        <v>4047</v>
      </c>
      <c r="L3" s="16" t="str">
        <f>TRIM(_xlfn.TEXTBEFORE(K3, ":"))</f>
        <v>아이템 종류</v>
      </c>
      <c r="M3" s="17" t="s">
        <v>4768</v>
      </c>
      <c r="N3" s="16" t="str">
        <f>TRIM(_xlfn.TEXTBEFORE(M3, ":"))</f>
        <v>Classe do Item</v>
      </c>
      <c r="O3" s="17" t="s">
        <v>5461</v>
      </c>
      <c r="P3" s="16" t="str">
        <f>TRIM(_xlfn.TEXTBEFORE(O3, ":"))</f>
        <v>Класс предмета</v>
      </c>
      <c r="Q3" s="17" t="s">
        <v>6170</v>
      </c>
      <c r="R3" s="16" t="str">
        <f>TRIM(_xlfn.TEXTBEFORE(Q3, ":"))</f>
        <v>ชนิดไอเทม</v>
      </c>
      <c r="S3" s="17"/>
      <c r="T3" s="20" t="e">
        <f>TRIM(_xlfn.TEXTBEFORE(S3, ":"))</f>
        <v>#N/A</v>
      </c>
    </row>
    <row r="4" spans="1:20" ht="15.95" customHeight="1" x14ac:dyDescent="0.25">
      <c r="A4" s="18" t="s">
        <v>484</v>
      </c>
      <c r="B4" s="16" t="str">
        <f>TRIM(_xlfn.TEXTAFTER(A3, ":"))</f>
        <v>Boots</v>
      </c>
      <c r="C4" s="18" t="s">
        <v>1850</v>
      </c>
      <c r="D4" s="16" t="str">
        <f>TRIM(_xlfn.TEXTAFTER(C3, ":"))</f>
        <v>Stiefel</v>
      </c>
      <c r="E4" s="18" t="s">
        <v>2568</v>
      </c>
      <c r="F4" s="16" t="str">
        <f>TRIM(_xlfn.TEXTAFTER(E3, ":"))</f>
        <v>Botas</v>
      </c>
      <c r="G4" s="18" t="s">
        <v>1113</v>
      </c>
      <c r="H4" s="16" t="str">
        <f>TRIM(_xlfn.TEXTAFTER(G3, ":"))</f>
        <v>Bottes</v>
      </c>
      <c r="I4" s="18" t="s">
        <v>3292</v>
      </c>
      <c r="J4" s="16" t="str">
        <f>TRIM(_xlfn.TEXTAFTER(I3, ":"))</f>
        <v>靴</v>
      </c>
      <c r="K4" s="18" t="s">
        <v>4037</v>
      </c>
      <c r="L4" s="16" t="str">
        <f>TRIM(_xlfn.TEXTAFTER(K3, ":"))</f>
        <v>장화</v>
      </c>
      <c r="M4" s="18" t="s">
        <v>4758</v>
      </c>
      <c r="N4" s="16" t="str">
        <f>TRIM(_xlfn.TEXTAFTER(M3, ":"))</f>
        <v>Botas</v>
      </c>
      <c r="O4" s="18" t="s">
        <v>5451</v>
      </c>
      <c r="P4" s="16" t="str">
        <f>TRIM(_xlfn.TEXTAFTER(O3, ":"))</f>
        <v>Обувь</v>
      </c>
      <c r="Q4" s="18" t="s">
        <v>6162</v>
      </c>
      <c r="R4" s="16" t="str">
        <f>TRIM(_xlfn.TEXTAFTER(Q3, ":"))</f>
        <v>รองเท้า</v>
      </c>
      <c r="S4" s="18"/>
      <c r="T4" s="20" t="e">
        <f>TRIM(_xlfn.TEXTAFTER(S3, ":"))</f>
        <v>#N/A</v>
      </c>
    </row>
    <row r="5" spans="1:20" ht="15.95" customHeight="1" x14ac:dyDescent="0.25">
      <c r="A5" s="18" t="s">
        <v>797</v>
      </c>
      <c r="B5" s="16" t="str">
        <f>TRIM(_xlfn.TEXTBEFORE(A4, ":"))</f>
        <v>Rarity</v>
      </c>
      <c r="C5" s="18" t="s">
        <v>1861</v>
      </c>
      <c r="D5" s="16" t="str">
        <f>TRIM(_xlfn.TEXTBEFORE(C4, ":"))</f>
        <v>Seltenheit</v>
      </c>
      <c r="E5" s="18" t="s">
        <v>2579</v>
      </c>
      <c r="F5" s="16" t="str">
        <f>TRIM(_xlfn.TEXTBEFORE(E4, ":"))</f>
        <v>Rareza</v>
      </c>
      <c r="G5" s="18" t="s">
        <v>1124</v>
      </c>
      <c r="H5" s="16" t="str">
        <f>TRIM(_xlfn.TEXTBEFORE(G4, ":"))</f>
        <v>Rareté</v>
      </c>
      <c r="I5" s="18" t="s">
        <v>3303</v>
      </c>
      <c r="J5" s="16" t="str">
        <f>TRIM(_xlfn.TEXTBEFORE(I4, ":"))</f>
        <v>レアリティ</v>
      </c>
      <c r="K5" s="18" t="s">
        <v>4048</v>
      </c>
      <c r="L5" s="16" t="str">
        <f>TRIM(_xlfn.TEXTBEFORE(K4, ":"))</f>
        <v>아이템 희귀도</v>
      </c>
      <c r="M5" s="18" t="s">
        <v>4769</v>
      </c>
      <c r="N5" s="16" t="str">
        <f>TRIM(_xlfn.TEXTBEFORE(M4, ":"))</f>
        <v>Raridade</v>
      </c>
      <c r="O5" s="18" t="s">
        <v>5462</v>
      </c>
      <c r="P5" s="16" t="str">
        <f>TRIM(_xlfn.TEXTBEFORE(O4, ":"))</f>
        <v>Редкость</v>
      </c>
      <c r="Q5" s="18" t="s">
        <v>797</v>
      </c>
      <c r="R5" s="16" t="str">
        <f>TRIM(_xlfn.TEXTBEFORE(Q4, ":"))</f>
        <v>ความหายาก</v>
      </c>
      <c r="S5" s="18"/>
      <c r="T5" s="20" t="e">
        <f>TRIM(_xlfn.TEXTBEFORE(S4, ":"))</f>
        <v>#N/A</v>
      </c>
    </row>
    <row r="6" spans="1:20" ht="15.95" customHeight="1" x14ac:dyDescent="0.25">
      <c r="A6" s="18" t="s">
        <v>798</v>
      </c>
      <c r="B6" s="16" t="str">
        <f>TRIM(_xlfn.TEXTAFTER(A4,":"))</f>
        <v>Rare</v>
      </c>
      <c r="C6" s="18" t="s">
        <v>1862</v>
      </c>
      <c r="D6" s="16" t="str">
        <f>TRIM(_xlfn.TEXTAFTER(C4,":"))</f>
        <v>Selten</v>
      </c>
      <c r="E6" s="18" t="s">
        <v>2580</v>
      </c>
      <c r="F6" s="16" t="str">
        <f>TRIM(_xlfn.TEXTAFTER(E4,":"))</f>
        <v>Raro</v>
      </c>
      <c r="G6" s="18" t="s">
        <v>1125</v>
      </c>
      <c r="H6" s="16" t="str">
        <f>TRIM(_xlfn.TEXTAFTER(G4,":"))</f>
        <v>Rare</v>
      </c>
      <c r="I6" s="18" t="s">
        <v>3304</v>
      </c>
      <c r="J6" s="16" t="str">
        <f>TRIM(_xlfn.TEXTAFTER(I4,":"))</f>
        <v>レア</v>
      </c>
      <c r="K6" s="18" t="s">
        <v>4049</v>
      </c>
      <c r="L6" s="16" t="str">
        <f>TRIM(_xlfn.TEXTAFTER(K4,":"))</f>
        <v>희귀</v>
      </c>
      <c r="M6" s="18" t="s">
        <v>4770</v>
      </c>
      <c r="N6" s="16" t="str">
        <f>TRIM(_xlfn.TEXTAFTER(M4,":"))</f>
        <v>Raro</v>
      </c>
      <c r="O6" s="18" t="s">
        <v>5463</v>
      </c>
      <c r="P6" s="16" t="str">
        <f>TRIM(_xlfn.TEXTAFTER(O4,":"))</f>
        <v>Редкий</v>
      </c>
      <c r="Q6" s="18" t="s">
        <v>798</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799</v>
      </c>
      <c r="B8" s="16"/>
      <c r="C8" s="18" t="s">
        <v>1863</v>
      </c>
      <c r="D8" s="16"/>
      <c r="E8" s="18" t="s">
        <v>2581</v>
      </c>
      <c r="F8" s="16"/>
      <c r="G8" s="18" t="s">
        <v>1126</v>
      </c>
      <c r="H8" s="16"/>
      <c r="I8" s="18" t="s">
        <v>3305</v>
      </c>
      <c r="J8" s="16"/>
      <c r="K8" s="18" t="s">
        <v>4050</v>
      </c>
      <c r="L8" s="16"/>
      <c r="M8" s="18" t="s">
        <v>4771</v>
      </c>
      <c r="N8" s="16"/>
      <c r="O8" s="18" t="s">
        <v>5464</v>
      </c>
      <c r="P8" s="16"/>
      <c r="Q8" s="18" t="s">
        <v>6171</v>
      </c>
      <c r="R8" s="16"/>
      <c r="S8" s="18"/>
      <c r="T8" s="20"/>
    </row>
    <row r="9" spans="1:20" ht="15.95" customHeight="1" x14ac:dyDescent="0.25">
      <c r="A9" s="18" t="s">
        <v>800</v>
      </c>
      <c r="B9" s="16"/>
      <c r="C9" s="18" t="s">
        <v>1864</v>
      </c>
      <c r="D9" s="16"/>
      <c r="E9" s="18" t="s">
        <v>2582</v>
      </c>
      <c r="F9" s="16"/>
      <c r="G9" s="18" t="s">
        <v>1127</v>
      </c>
      <c r="H9" s="16"/>
      <c r="I9" s="18" t="s">
        <v>3306</v>
      </c>
      <c r="J9" s="16"/>
      <c r="K9" s="18" t="s">
        <v>4051</v>
      </c>
      <c r="L9" s="16"/>
      <c r="M9" s="18" t="s">
        <v>4772</v>
      </c>
      <c r="N9" s="16"/>
      <c r="O9" s="18" t="s">
        <v>5465</v>
      </c>
      <c r="P9" s="16"/>
      <c r="Q9" s="18" t="s">
        <v>6172</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81</v>
      </c>
      <c r="B11" s="16"/>
      <c r="C11" s="18" t="s">
        <v>1589</v>
      </c>
      <c r="D11" s="16"/>
      <c r="E11" s="18" t="s">
        <v>2308</v>
      </c>
      <c r="F11" s="16"/>
      <c r="G11" s="18" t="s">
        <v>5</v>
      </c>
      <c r="H11" s="16"/>
      <c r="I11" s="18" t="s">
        <v>3018</v>
      </c>
      <c r="J11" s="16"/>
      <c r="K11" s="18" t="s">
        <v>3772</v>
      </c>
      <c r="L11" s="16"/>
      <c r="M11" s="18" t="s">
        <v>2308</v>
      </c>
      <c r="N11" s="16"/>
      <c r="O11" s="18" t="s">
        <v>5183</v>
      </c>
      <c r="P11" s="16"/>
      <c r="Q11" s="18" t="s">
        <v>5928</v>
      </c>
      <c r="R11" s="16"/>
      <c r="S11" s="18"/>
      <c r="T11" s="20"/>
    </row>
    <row r="12" spans="1:20" ht="15.95" customHeight="1" x14ac:dyDescent="0.25">
      <c r="A12" s="18" t="s">
        <v>789</v>
      </c>
      <c r="B12" s="16"/>
      <c r="C12" s="18" t="s">
        <v>1865</v>
      </c>
      <c r="D12" s="16"/>
      <c r="E12" s="18" t="s">
        <v>2583</v>
      </c>
      <c r="F12" s="16"/>
      <c r="G12" s="18" t="s">
        <v>1128</v>
      </c>
      <c r="H12" s="16"/>
      <c r="I12" s="18" t="s">
        <v>3307</v>
      </c>
      <c r="J12" s="16"/>
      <c r="K12" s="18" t="s">
        <v>4052</v>
      </c>
      <c r="L12" s="16"/>
      <c r="M12" s="18" t="s">
        <v>4773</v>
      </c>
      <c r="N12" s="16"/>
      <c r="O12" s="18" t="s">
        <v>5466</v>
      </c>
      <c r="P12" s="16"/>
      <c r="Q12" s="18" t="s">
        <v>6173</v>
      </c>
      <c r="R12" s="16"/>
      <c r="S12" s="18"/>
      <c r="T12" s="20"/>
    </row>
    <row r="13" spans="1:20" ht="15.95" customHeight="1" x14ac:dyDescent="0.25">
      <c r="A13" s="18" t="s">
        <v>801</v>
      </c>
      <c r="B13" s="16"/>
      <c r="C13" s="18" t="s">
        <v>1866</v>
      </c>
      <c r="D13" s="16"/>
      <c r="E13" s="18" t="s">
        <v>2584</v>
      </c>
      <c r="F13" s="16"/>
      <c r="G13" s="18" t="s">
        <v>801</v>
      </c>
      <c r="H13" s="16"/>
      <c r="I13" s="18" t="s">
        <v>3308</v>
      </c>
      <c r="J13" s="16"/>
      <c r="K13" s="18" t="s">
        <v>4053</v>
      </c>
      <c r="L13" s="16"/>
      <c r="M13" s="18" t="s">
        <v>2584</v>
      </c>
      <c r="N13" s="16"/>
      <c r="O13" s="18" t="s">
        <v>5467</v>
      </c>
      <c r="P13" s="16"/>
      <c r="Q13" s="18" t="s">
        <v>801</v>
      </c>
      <c r="R13" s="16"/>
      <c r="S13" s="18"/>
      <c r="T13" s="20"/>
    </row>
    <row r="14" spans="1:20" ht="15.95" customHeight="1" x14ac:dyDescent="0.25">
      <c r="A14" s="18" t="s">
        <v>802</v>
      </c>
      <c r="B14" s="16"/>
      <c r="C14" s="18" t="s">
        <v>802</v>
      </c>
      <c r="D14" s="16"/>
      <c r="E14" s="18" t="s">
        <v>802</v>
      </c>
      <c r="F14" s="16"/>
      <c r="G14" s="18" t="s">
        <v>802</v>
      </c>
      <c r="H14" s="16"/>
      <c r="I14" s="18" t="s">
        <v>3309</v>
      </c>
      <c r="J14" s="16"/>
      <c r="K14" s="18" t="s">
        <v>4054</v>
      </c>
      <c r="L14" s="16"/>
      <c r="M14" s="18" t="s">
        <v>802</v>
      </c>
      <c r="N14" s="16"/>
      <c r="O14" s="18" t="s">
        <v>5468</v>
      </c>
      <c r="P14" s="16"/>
      <c r="Q14" s="18" t="s">
        <v>802</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803</v>
      </c>
      <c r="B16" s="16"/>
      <c r="C16" s="18" t="s">
        <v>1867</v>
      </c>
      <c r="D16" s="16"/>
      <c r="E16" s="18" t="s">
        <v>2585</v>
      </c>
      <c r="F16" s="16"/>
      <c r="G16" s="18" t="s">
        <v>1129</v>
      </c>
      <c r="H16" s="16"/>
      <c r="I16" s="18" t="s">
        <v>3310</v>
      </c>
      <c r="J16" s="16"/>
      <c r="K16" s="18" t="s">
        <v>4055</v>
      </c>
      <c r="L16" s="16"/>
      <c r="M16" s="18" t="s">
        <v>4774</v>
      </c>
      <c r="N16" s="16"/>
      <c r="O16" s="18" t="s">
        <v>5469</v>
      </c>
      <c r="P16" s="16"/>
      <c r="Q16" s="18" t="s">
        <v>6174</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254</v>
      </c>
      <c r="B18" s="16"/>
      <c r="C18" s="18" t="s">
        <v>1730</v>
      </c>
      <c r="D18" s="16"/>
      <c r="E18" s="18" t="s">
        <v>2449</v>
      </c>
      <c r="F18" s="16"/>
      <c r="G18" s="18" t="s">
        <v>998</v>
      </c>
      <c r="H18" s="16"/>
      <c r="I18" s="18" t="s">
        <v>3167</v>
      </c>
      <c r="J18" s="16"/>
      <c r="K18" s="18" t="s">
        <v>3914</v>
      </c>
      <c r="L18" s="16"/>
      <c r="M18" s="18" t="s">
        <v>4643</v>
      </c>
      <c r="N18" s="16"/>
      <c r="O18" s="18" t="s">
        <v>5328</v>
      </c>
      <c r="P18" s="16"/>
      <c r="Q18" s="18" t="s">
        <v>6060</v>
      </c>
      <c r="R18" s="16"/>
      <c r="S18" s="18"/>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0"/>
    </row>
    <row r="20" spans="1:20" ht="15.95" customHeight="1" x14ac:dyDescent="0.25">
      <c r="A20" s="18" t="s">
        <v>804</v>
      </c>
      <c r="B20" s="16"/>
      <c r="C20" s="18" t="s">
        <v>1868</v>
      </c>
      <c r="D20" s="16"/>
      <c r="E20" s="18" t="s">
        <v>2586</v>
      </c>
      <c r="F20" s="16"/>
      <c r="G20" s="18" t="s">
        <v>1130</v>
      </c>
      <c r="H20" s="16"/>
      <c r="I20" s="18" t="s">
        <v>3311</v>
      </c>
      <c r="J20" s="16"/>
      <c r="K20" s="18" t="s">
        <v>4056</v>
      </c>
      <c r="L20" s="16"/>
      <c r="M20" s="18" t="s">
        <v>4775</v>
      </c>
      <c r="N20" s="16"/>
      <c r="O20" s="18" t="s">
        <v>5470</v>
      </c>
      <c r="P20" s="16"/>
      <c r="Q20" s="18" t="s">
        <v>6175</v>
      </c>
      <c r="R20" s="16"/>
      <c r="S20" s="18"/>
      <c r="T20" s="20"/>
    </row>
    <row r="21" spans="1:20" ht="15.95" customHeight="1" x14ac:dyDescent="0.25">
      <c r="A21" s="18" t="s">
        <v>805</v>
      </c>
      <c r="B21" s="16"/>
      <c r="C21" s="18" t="s">
        <v>1869</v>
      </c>
      <c r="D21" s="16"/>
      <c r="E21" s="18" t="s">
        <v>2587</v>
      </c>
      <c r="F21" s="16"/>
      <c r="G21" s="18" t="s">
        <v>1131</v>
      </c>
      <c r="H21" s="16"/>
      <c r="I21" s="18" t="s">
        <v>3312</v>
      </c>
      <c r="J21" s="16"/>
      <c r="K21" s="18" t="s">
        <v>4057</v>
      </c>
      <c r="L21" s="16"/>
      <c r="M21" s="18" t="s">
        <v>4776</v>
      </c>
      <c r="N21" s="16"/>
      <c r="O21" s="18" t="s">
        <v>5471</v>
      </c>
      <c r="P21" s="16"/>
      <c r="Q21" s="18" t="s">
        <v>6176</v>
      </c>
      <c r="R21" s="16"/>
      <c r="S21" s="18"/>
      <c r="T21" s="20"/>
    </row>
    <row r="22" spans="1:20" ht="15.95" customHeight="1" x14ac:dyDescent="0.25">
      <c r="A22" s="18" t="s">
        <v>806</v>
      </c>
      <c r="B22" s="16"/>
      <c r="C22" s="18" t="s">
        <v>1870</v>
      </c>
      <c r="D22" s="16"/>
      <c r="E22" s="18" t="s">
        <v>2588</v>
      </c>
      <c r="F22" s="16"/>
      <c r="G22" s="18" t="s">
        <v>1132</v>
      </c>
      <c r="H22" s="16"/>
      <c r="I22" s="18" t="s">
        <v>3313</v>
      </c>
      <c r="J22" s="16"/>
      <c r="K22" s="18" t="s">
        <v>4058</v>
      </c>
      <c r="L22" s="16"/>
      <c r="M22" s="18" t="s">
        <v>4777</v>
      </c>
      <c r="N22" s="16"/>
      <c r="O22" s="18" t="s">
        <v>5472</v>
      </c>
      <c r="P22" s="16"/>
      <c r="Q22" s="18" t="s">
        <v>6177</v>
      </c>
      <c r="R22" s="16"/>
      <c r="S22" s="18"/>
      <c r="T22" s="20"/>
    </row>
    <row r="23" spans="1:20" ht="15.95" customHeight="1" x14ac:dyDescent="0.25">
      <c r="A23" s="18" t="s">
        <v>807</v>
      </c>
      <c r="B23" s="16"/>
      <c r="C23" s="18" t="s">
        <v>1871</v>
      </c>
      <c r="D23" s="16"/>
      <c r="E23" s="18" t="s">
        <v>2589</v>
      </c>
      <c r="F23" s="16"/>
      <c r="G23" s="18" t="s">
        <v>1133</v>
      </c>
      <c r="H23" s="16"/>
      <c r="I23" s="18" t="s">
        <v>3314</v>
      </c>
      <c r="J23" s="16"/>
      <c r="K23" s="18" t="s">
        <v>4059</v>
      </c>
      <c r="L23" s="16"/>
      <c r="M23" s="18" t="s">
        <v>4778</v>
      </c>
      <c r="N23" s="16"/>
      <c r="O23" s="18" t="s">
        <v>5473</v>
      </c>
      <c r="P23" s="16"/>
      <c r="Q23" s="18" t="s">
        <v>6178</v>
      </c>
      <c r="R23" s="16"/>
      <c r="S23" s="18"/>
      <c r="T23" s="20"/>
    </row>
    <row r="24" spans="1:20" ht="15.95" customHeight="1" x14ac:dyDescent="0.25">
      <c r="A24" s="18" t="s">
        <v>808</v>
      </c>
      <c r="B24" s="16"/>
      <c r="C24" s="18" t="s">
        <v>1872</v>
      </c>
      <c r="D24" s="16"/>
      <c r="E24" s="18" t="s">
        <v>2590</v>
      </c>
      <c r="F24" s="16"/>
      <c r="G24" s="18" t="s">
        <v>1134</v>
      </c>
      <c r="H24" s="16"/>
      <c r="I24" s="18" t="s">
        <v>3315</v>
      </c>
      <c r="J24" s="16"/>
      <c r="K24" s="18" t="s">
        <v>4060</v>
      </c>
      <c r="L24" s="16"/>
      <c r="M24" s="18" t="s">
        <v>4779</v>
      </c>
      <c r="N24" s="16"/>
      <c r="O24" s="18" t="s">
        <v>5474</v>
      </c>
      <c r="P24" s="16"/>
      <c r="Q24" s="18" t="s">
        <v>6179</v>
      </c>
      <c r="R24" s="16"/>
      <c r="S24" s="18"/>
      <c r="T24" s="20"/>
    </row>
    <row r="25" spans="1:20" ht="15.95" customHeight="1" x14ac:dyDescent="0.25">
      <c r="A25" s="18" t="s">
        <v>809</v>
      </c>
      <c r="B25" s="16"/>
      <c r="C25" s="18" t="s">
        <v>1873</v>
      </c>
      <c r="D25" s="16"/>
      <c r="E25" s="18" t="s">
        <v>2591</v>
      </c>
      <c r="F25" s="16"/>
      <c r="G25" s="18" t="s">
        <v>1135</v>
      </c>
      <c r="H25" s="16"/>
      <c r="I25" s="18" t="s">
        <v>3316</v>
      </c>
      <c r="J25" s="16"/>
      <c r="K25" s="18" t="s">
        <v>4061</v>
      </c>
      <c r="L25" s="16"/>
      <c r="M25" s="18" t="s">
        <v>4780</v>
      </c>
      <c r="N25" s="16"/>
      <c r="O25" s="18" t="s">
        <v>5475</v>
      </c>
      <c r="P25" s="16"/>
      <c r="Q25" s="18" t="s">
        <v>6180</v>
      </c>
      <c r="R25" s="16"/>
      <c r="S25" s="18"/>
      <c r="T25" s="20"/>
    </row>
    <row r="26" spans="1:20" ht="15.95" customHeight="1" x14ac:dyDescent="0.25">
      <c r="A26" s="18" t="s">
        <v>4</v>
      </c>
      <c r="B26" s="16"/>
      <c r="C26" s="18" t="s">
        <v>4</v>
      </c>
      <c r="D26" s="16"/>
      <c r="E26" s="18" t="s">
        <v>4</v>
      </c>
      <c r="F26" s="16"/>
      <c r="G26" s="18" t="s">
        <v>4</v>
      </c>
      <c r="H26" s="16"/>
      <c r="I26" s="18" t="s">
        <v>4</v>
      </c>
      <c r="J26" s="16"/>
      <c r="K26" s="18" t="s">
        <v>4</v>
      </c>
      <c r="L26" s="16"/>
      <c r="M26" s="18" t="s">
        <v>4</v>
      </c>
      <c r="N26" s="16"/>
      <c r="O26" s="18" t="s">
        <v>4</v>
      </c>
      <c r="P26" s="16"/>
      <c r="Q26" s="18" t="s">
        <v>4</v>
      </c>
      <c r="R26" s="16"/>
      <c r="S26" s="18"/>
      <c r="T26" s="20"/>
    </row>
    <row r="27" spans="1:20" ht="15.95" customHeight="1" x14ac:dyDescent="0.25">
      <c r="A27" s="18" t="s">
        <v>810</v>
      </c>
      <c r="B27" s="16" t="str">
        <f>A27</f>
        <v>Elder Item</v>
      </c>
      <c r="C27" s="18" t="s">
        <v>1874</v>
      </c>
      <c r="D27" s="16" t="str">
        <f>C27</f>
        <v>Ältesten-Gegenstand</v>
      </c>
      <c r="E27" s="18" t="s">
        <v>2592</v>
      </c>
      <c r="F27" s="16" t="str">
        <f>E27</f>
        <v>Objeto del Antiguo</v>
      </c>
      <c r="G27" s="18" t="s">
        <v>1136</v>
      </c>
      <c r="H27" s="16" t="str">
        <f>G27</f>
        <v>Objet de l'Ancien</v>
      </c>
      <c r="I27" s="18" t="s">
        <v>3317</v>
      </c>
      <c r="J27" s="16" t="str">
        <f>I27</f>
        <v>エルダーアイテム</v>
      </c>
      <c r="K27" s="18" t="s">
        <v>4062</v>
      </c>
      <c r="L27" s="16" t="str">
        <f>K27</f>
        <v>엘더 아이템</v>
      </c>
      <c r="M27" s="18" t="s">
        <v>4781</v>
      </c>
      <c r="N27" s="16" t="str">
        <f>M27</f>
        <v>Item do Ancião</v>
      </c>
      <c r="O27" s="18" t="s">
        <v>5476</v>
      </c>
      <c r="P27" s="16" t="str">
        <f>O27</f>
        <v>Древний предмет</v>
      </c>
      <c r="Q27" s="18" t="s">
        <v>6181</v>
      </c>
      <c r="R27" s="16" t="str">
        <f>Q27</f>
        <v>ไอเทมเอลเดอร์</v>
      </c>
      <c r="S27" s="18"/>
      <c r="T27" s="16">
        <f>S27</f>
        <v>0</v>
      </c>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00" priority="2" stopIfTrue="1">
      <formula>NOT(ISERROR(A3))</formula>
    </cfRule>
  </conditionalFormatting>
  <conditionalFormatting sqref="A3:T51">
    <cfRule type="containsErrors" dxfId="299" priority="1" stopIfTrue="1">
      <formula>ISERROR(A3)</formula>
    </cfRule>
    <cfRule type="notContainsBlanks" dxfId="298" priority="3">
      <formula>LEN(TRIM(A3))&gt;0</formula>
    </cfRule>
  </conditionalFormatting>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A56AE8-C85D-43ED-8DF5-810C2338A350}">
  <sheetPr codeName="Sheet33"/>
  <dimension ref="A1:T51"/>
  <sheetViews>
    <sheetView workbookViewId="0">
      <selection activeCell="Q3" sqref="Q3:Q23"/>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8" t="s">
        <v>84</v>
      </c>
    </row>
    <row r="3" spans="1:20" ht="15.95" customHeight="1" x14ac:dyDescent="0.25">
      <c r="A3" s="17" t="s">
        <v>415</v>
      </c>
      <c r="B3" s="16" t="str">
        <f>TRIM(_xlfn.TEXTBEFORE(A3, ":"))</f>
        <v>Item Class</v>
      </c>
      <c r="C3" s="17" t="s">
        <v>1860</v>
      </c>
      <c r="D3" s="16" t="str">
        <f>TRIM(_xlfn.TEXTBEFORE(C3, ":"))</f>
        <v>Gegenstandsklasse</v>
      </c>
      <c r="E3" s="17" t="s">
        <v>2578</v>
      </c>
      <c r="F3" s="16" t="str">
        <f>TRIM(_xlfn.TEXTBEFORE(E3, ":"))</f>
        <v>Clase de objeto</v>
      </c>
      <c r="G3" s="17" t="s">
        <v>1123</v>
      </c>
      <c r="H3" s="16" t="str">
        <f>TRIM(_xlfn.TEXTBEFORE(G3, ":"))</f>
        <v>Classe d'objet</v>
      </c>
      <c r="I3" s="17" t="s">
        <v>3302</v>
      </c>
      <c r="J3" s="16" t="str">
        <f>TRIM(_xlfn.TEXTBEFORE(I3, ":"))</f>
        <v>アイテムクラス</v>
      </c>
      <c r="K3" s="17" t="s">
        <v>4047</v>
      </c>
      <c r="L3" s="16" t="str">
        <f>TRIM(_xlfn.TEXTBEFORE(K3, ":"))</f>
        <v>아이템 종류</v>
      </c>
      <c r="M3" s="17" t="s">
        <v>4768</v>
      </c>
      <c r="N3" s="16" t="str">
        <f>TRIM(_xlfn.TEXTBEFORE(M3, ":"))</f>
        <v>Classe do Item</v>
      </c>
      <c r="O3" s="17" t="s">
        <v>5461</v>
      </c>
      <c r="P3" s="16" t="str">
        <f>TRIM(_xlfn.TEXTBEFORE(O3, ":"))</f>
        <v>Класс предмета</v>
      </c>
      <c r="Q3" s="17" t="s">
        <v>6170</v>
      </c>
      <c r="R3" s="16" t="str">
        <f>TRIM(_xlfn.TEXTBEFORE(Q3, ":"))</f>
        <v>ชนิดไอเทม</v>
      </c>
      <c r="S3" s="17"/>
      <c r="T3" s="20" t="e">
        <f>TRIM(_xlfn.TEXTBEFORE(S3, ":"))</f>
        <v>#N/A</v>
      </c>
    </row>
    <row r="4" spans="1:20" ht="15.95" customHeight="1" x14ac:dyDescent="0.25">
      <c r="A4" s="18" t="s">
        <v>484</v>
      </c>
      <c r="B4" s="16" t="str">
        <f>TRIM(_xlfn.TEXTAFTER(A3, ":"))</f>
        <v>Boots</v>
      </c>
      <c r="C4" s="18" t="s">
        <v>1850</v>
      </c>
      <c r="D4" s="16" t="str">
        <f>TRIM(_xlfn.TEXTAFTER(C3, ":"))</f>
        <v>Stiefel</v>
      </c>
      <c r="E4" s="18" t="s">
        <v>2568</v>
      </c>
      <c r="F4" s="16" t="str">
        <f>TRIM(_xlfn.TEXTAFTER(E3, ":"))</f>
        <v>Botas</v>
      </c>
      <c r="G4" s="18" t="s">
        <v>1113</v>
      </c>
      <c r="H4" s="16" t="str">
        <f>TRIM(_xlfn.TEXTAFTER(G3, ":"))</f>
        <v>Bottes</v>
      </c>
      <c r="I4" s="18" t="s">
        <v>3292</v>
      </c>
      <c r="J4" s="16" t="str">
        <f>TRIM(_xlfn.TEXTAFTER(I3, ":"))</f>
        <v>靴</v>
      </c>
      <c r="K4" s="18" t="s">
        <v>4037</v>
      </c>
      <c r="L4" s="16" t="str">
        <f>TRIM(_xlfn.TEXTAFTER(K3, ":"))</f>
        <v>장화</v>
      </c>
      <c r="M4" s="18" t="s">
        <v>4758</v>
      </c>
      <c r="N4" s="16" t="str">
        <f>TRIM(_xlfn.TEXTAFTER(M3, ":"))</f>
        <v>Botas</v>
      </c>
      <c r="O4" s="18" t="s">
        <v>5451</v>
      </c>
      <c r="P4" s="16" t="str">
        <f>TRIM(_xlfn.TEXTAFTER(O3, ":"))</f>
        <v>Обувь</v>
      </c>
      <c r="Q4" s="18" t="s">
        <v>6162</v>
      </c>
      <c r="R4" s="16" t="str">
        <f>TRIM(_xlfn.TEXTAFTER(Q3, ":"))</f>
        <v>รองเท้า</v>
      </c>
      <c r="S4" s="18"/>
      <c r="T4" s="20" t="e">
        <f>TRIM(_xlfn.TEXTAFTER(S3, ":"))</f>
        <v>#N/A</v>
      </c>
    </row>
    <row r="5" spans="1:20" ht="15.95" customHeight="1" x14ac:dyDescent="0.25">
      <c r="A5" s="18" t="s">
        <v>786</v>
      </c>
      <c r="B5" s="16" t="str">
        <f>TRIM(_xlfn.TEXTBEFORE(A4, ":"))</f>
        <v>Rarity</v>
      </c>
      <c r="C5" s="18" t="s">
        <v>1875</v>
      </c>
      <c r="D5" s="16" t="str">
        <f>TRIM(_xlfn.TEXTBEFORE(C4, ":"))</f>
        <v>Seltenheit</v>
      </c>
      <c r="E5" s="18" t="s">
        <v>2593</v>
      </c>
      <c r="F5" s="16" t="str">
        <f>TRIM(_xlfn.TEXTBEFORE(E4, ":"))</f>
        <v>Rareza</v>
      </c>
      <c r="G5" s="18" t="s">
        <v>1137</v>
      </c>
      <c r="H5" s="16" t="str">
        <f>TRIM(_xlfn.TEXTBEFORE(G4, ":"))</f>
        <v>Rareté</v>
      </c>
      <c r="I5" s="18" t="s">
        <v>3318</v>
      </c>
      <c r="J5" s="16" t="str">
        <f>TRIM(_xlfn.TEXTBEFORE(I4, ":"))</f>
        <v>レアリティ</v>
      </c>
      <c r="K5" s="18" t="s">
        <v>4063</v>
      </c>
      <c r="L5" s="16" t="str">
        <f>TRIM(_xlfn.TEXTBEFORE(K4, ":"))</f>
        <v>아이템 희귀도</v>
      </c>
      <c r="M5" s="18" t="s">
        <v>4782</v>
      </c>
      <c r="N5" s="16" t="str">
        <f>TRIM(_xlfn.TEXTBEFORE(M4, ":"))</f>
        <v>Raridade</v>
      </c>
      <c r="O5" s="18" t="s">
        <v>5477</v>
      </c>
      <c r="P5" s="16" t="str">
        <f>TRIM(_xlfn.TEXTBEFORE(O4, ":"))</f>
        <v>Редкость</v>
      </c>
      <c r="Q5" s="18" t="s">
        <v>786</v>
      </c>
      <c r="R5" s="16" t="str">
        <f>TRIM(_xlfn.TEXTBEFORE(Q4, ":"))</f>
        <v>ความหายาก</v>
      </c>
      <c r="S5" s="18"/>
      <c r="T5" s="20" t="e">
        <f>TRIM(_xlfn.TEXTBEFORE(S4, ":"))</f>
        <v>#N/A</v>
      </c>
    </row>
    <row r="6" spans="1:20" ht="15.95" customHeight="1" x14ac:dyDescent="0.25">
      <c r="A6" s="18" t="s">
        <v>787</v>
      </c>
      <c r="B6" s="16" t="str">
        <f>TRIM(_xlfn.TEXTAFTER(A4,":"))</f>
        <v>Rare</v>
      </c>
      <c r="C6" s="18" t="s">
        <v>1876</v>
      </c>
      <c r="D6" s="16" t="str">
        <f>TRIM(_xlfn.TEXTAFTER(C4,":"))</f>
        <v>Selten</v>
      </c>
      <c r="E6" s="18" t="s">
        <v>2594</v>
      </c>
      <c r="F6" s="16" t="str">
        <f>TRIM(_xlfn.TEXTAFTER(E4,":"))</f>
        <v>Raro</v>
      </c>
      <c r="G6" s="18" t="s">
        <v>1138</v>
      </c>
      <c r="H6" s="16" t="str">
        <f>TRIM(_xlfn.TEXTAFTER(G4,":"))</f>
        <v>Rare</v>
      </c>
      <c r="I6" s="18" t="s">
        <v>3319</v>
      </c>
      <c r="J6" s="16" t="str">
        <f>TRIM(_xlfn.TEXTAFTER(I4,":"))</f>
        <v>レア</v>
      </c>
      <c r="K6" s="18" t="s">
        <v>4064</v>
      </c>
      <c r="L6" s="16" t="str">
        <f>TRIM(_xlfn.TEXTAFTER(K4,":"))</f>
        <v>희귀</v>
      </c>
      <c r="M6" s="18" t="s">
        <v>4783</v>
      </c>
      <c r="N6" s="16" t="str">
        <f>TRIM(_xlfn.TEXTAFTER(M4,":"))</f>
        <v>Raro</v>
      </c>
      <c r="O6" s="18" t="s">
        <v>5478</v>
      </c>
      <c r="P6" s="16" t="str">
        <f>TRIM(_xlfn.TEXTAFTER(O4,":"))</f>
        <v>Редкий</v>
      </c>
      <c r="Q6" s="18" t="s">
        <v>787</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788</v>
      </c>
      <c r="B8" s="16"/>
      <c r="C8" s="18" t="s">
        <v>1877</v>
      </c>
      <c r="D8" s="16"/>
      <c r="E8" s="18" t="s">
        <v>2595</v>
      </c>
      <c r="F8" s="16"/>
      <c r="G8" s="18" t="s">
        <v>1139</v>
      </c>
      <c r="H8" s="16"/>
      <c r="I8" s="18" t="s">
        <v>3320</v>
      </c>
      <c r="J8" s="16"/>
      <c r="K8" s="18" t="s">
        <v>4065</v>
      </c>
      <c r="L8" s="16"/>
      <c r="M8" s="18" t="s">
        <v>4784</v>
      </c>
      <c r="N8" s="16"/>
      <c r="O8" s="18" t="s">
        <v>5479</v>
      </c>
      <c r="P8" s="16"/>
      <c r="Q8" s="18" t="s">
        <v>6182</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81</v>
      </c>
      <c r="B10" s="16"/>
      <c r="C10" s="18" t="s">
        <v>1589</v>
      </c>
      <c r="D10" s="16"/>
      <c r="E10" s="18" t="s">
        <v>2308</v>
      </c>
      <c r="F10" s="16"/>
      <c r="G10" s="18" t="s">
        <v>5</v>
      </c>
      <c r="H10" s="16"/>
      <c r="I10" s="18" t="s">
        <v>3018</v>
      </c>
      <c r="J10" s="16"/>
      <c r="K10" s="18" t="s">
        <v>3772</v>
      </c>
      <c r="L10" s="16"/>
      <c r="M10" s="18" t="s">
        <v>2308</v>
      </c>
      <c r="N10" s="16"/>
      <c r="O10" s="18" t="s">
        <v>5183</v>
      </c>
      <c r="P10" s="16"/>
      <c r="Q10" s="18" t="s">
        <v>5928</v>
      </c>
      <c r="R10" s="16"/>
      <c r="S10" s="18"/>
      <c r="T10" s="20"/>
    </row>
    <row r="11" spans="1:20" ht="15.95" customHeight="1" x14ac:dyDescent="0.25">
      <c r="A11" s="18" t="s">
        <v>789</v>
      </c>
      <c r="B11" s="16"/>
      <c r="C11" s="18" t="s">
        <v>1865</v>
      </c>
      <c r="D11" s="16"/>
      <c r="E11" s="18" t="s">
        <v>2583</v>
      </c>
      <c r="F11" s="16"/>
      <c r="G11" s="18" t="s">
        <v>1128</v>
      </c>
      <c r="H11" s="16"/>
      <c r="I11" s="18" t="s">
        <v>3307</v>
      </c>
      <c r="J11" s="16"/>
      <c r="K11" s="18" t="s">
        <v>4052</v>
      </c>
      <c r="L11" s="16"/>
      <c r="M11" s="18" t="s">
        <v>4773</v>
      </c>
      <c r="N11" s="16"/>
      <c r="O11" s="18" t="s">
        <v>5466</v>
      </c>
      <c r="P11" s="16"/>
      <c r="Q11" s="18" t="s">
        <v>6173</v>
      </c>
      <c r="R11" s="16"/>
      <c r="S11" s="18"/>
      <c r="T11" s="20"/>
    </row>
    <row r="12" spans="1:20" ht="15.95" customHeight="1" x14ac:dyDescent="0.25">
      <c r="A12" s="18" t="s">
        <v>790</v>
      </c>
      <c r="B12" s="16"/>
      <c r="C12" s="18" t="s">
        <v>1878</v>
      </c>
      <c r="D12" s="16"/>
      <c r="E12" s="18" t="s">
        <v>2596</v>
      </c>
      <c r="F12" s="16"/>
      <c r="G12" s="18" t="s">
        <v>790</v>
      </c>
      <c r="H12" s="16"/>
      <c r="I12" s="18" t="s">
        <v>3321</v>
      </c>
      <c r="J12" s="16"/>
      <c r="K12" s="18" t="s">
        <v>4066</v>
      </c>
      <c r="L12" s="16"/>
      <c r="M12" s="18" t="s">
        <v>2596</v>
      </c>
      <c r="N12" s="16"/>
      <c r="O12" s="18" t="s">
        <v>5480</v>
      </c>
      <c r="P12" s="16"/>
      <c r="Q12" s="18" t="s">
        <v>790</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791</v>
      </c>
      <c r="B14" s="16"/>
      <c r="C14" s="18" t="s">
        <v>1879</v>
      </c>
      <c r="D14" s="16"/>
      <c r="E14" s="18" t="s">
        <v>2597</v>
      </c>
      <c r="F14" s="16"/>
      <c r="G14" s="18" t="s">
        <v>1140</v>
      </c>
      <c r="H14" s="16"/>
      <c r="I14" s="18" t="s">
        <v>3322</v>
      </c>
      <c r="J14" s="16"/>
      <c r="K14" s="18" t="s">
        <v>4067</v>
      </c>
      <c r="L14" s="16"/>
      <c r="M14" s="18" t="s">
        <v>4785</v>
      </c>
      <c r="N14" s="16"/>
      <c r="O14" s="18" t="s">
        <v>5481</v>
      </c>
      <c r="P14" s="16"/>
      <c r="Q14" s="18" t="s">
        <v>6183</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311</v>
      </c>
      <c r="B16" s="16"/>
      <c r="C16" s="18" t="s">
        <v>1880</v>
      </c>
      <c r="D16" s="16"/>
      <c r="E16" s="18" t="s">
        <v>2598</v>
      </c>
      <c r="F16" s="16"/>
      <c r="G16" s="18" t="s">
        <v>1141</v>
      </c>
      <c r="H16" s="16"/>
      <c r="I16" s="18" t="s">
        <v>3323</v>
      </c>
      <c r="J16" s="16"/>
      <c r="K16" s="18" t="s">
        <v>4068</v>
      </c>
      <c r="L16" s="16"/>
      <c r="M16" s="18" t="s">
        <v>4786</v>
      </c>
      <c r="N16" s="16"/>
      <c r="O16" s="18" t="s">
        <v>5482</v>
      </c>
      <c r="P16" s="16"/>
      <c r="Q16" s="18" t="s">
        <v>6184</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792</v>
      </c>
      <c r="B18" s="16"/>
      <c r="C18" s="18" t="s">
        <v>1881</v>
      </c>
      <c r="D18" s="16"/>
      <c r="E18" s="18" t="s">
        <v>2599</v>
      </c>
      <c r="F18" s="16"/>
      <c r="G18" s="18" t="s">
        <v>1142</v>
      </c>
      <c r="H18" s="16"/>
      <c r="I18" s="18" t="s">
        <v>3324</v>
      </c>
      <c r="J18" s="16"/>
      <c r="K18" s="18" t="s">
        <v>4069</v>
      </c>
      <c r="L18" s="16"/>
      <c r="M18" s="18" t="s">
        <v>4787</v>
      </c>
      <c r="N18" s="16"/>
      <c r="O18" s="18" t="s">
        <v>5483</v>
      </c>
      <c r="P18" s="16"/>
      <c r="Q18" s="18" t="s">
        <v>6185</v>
      </c>
      <c r="R18" s="16"/>
      <c r="S18" s="18"/>
      <c r="T18" s="20"/>
    </row>
    <row r="19" spans="1:20" ht="15.95" customHeight="1" x14ac:dyDescent="0.25">
      <c r="A19" s="18" t="s">
        <v>793</v>
      </c>
      <c r="B19" s="16"/>
      <c r="C19" s="18" t="s">
        <v>1882</v>
      </c>
      <c r="D19" s="16"/>
      <c r="E19" s="18" t="s">
        <v>2600</v>
      </c>
      <c r="F19" s="16"/>
      <c r="G19" s="18" t="s">
        <v>1143</v>
      </c>
      <c r="H19" s="16"/>
      <c r="I19" s="18" t="s">
        <v>3325</v>
      </c>
      <c r="J19" s="16"/>
      <c r="K19" s="18" t="s">
        <v>4070</v>
      </c>
      <c r="L19" s="16"/>
      <c r="M19" s="18" t="s">
        <v>4788</v>
      </c>
      <c r="N19" s="16"/>
      <c r="O19" s="18" t="s">
        <v>5484</v>
      </c>
      <c r="P19" s="16"/>
      <c r="Q19" s="18" t="s">
        <v>6186</v>
      </c>
      <c r="R19" s="16"/>
      <c r="S19" s="18"/>
      <c r="T19" s="20"/>
    </row>
    <row r="20" spans="1:20" ht="15.95" customHeight="1" x14ac:dyDescent="0.25">
      <c r="A20" s="18" t="s">
        <v>794</v>
      </c>
      <c r="B20" s="16"/>
      <c r="C20" s="18" t="s">
        <v>1883</v>
      </c>
      <c r="D20" s="16"/>
      <c r="E20" s="18" t="s">
        <v>2601</v>
      </c>
      <c r="F20" s="16"/>
      <c r="G20" s="18" t="s">
        <v>1144</v>
      </c>
      <c r="H20" s="16"/>
      <c r="I20" s="18" t="s">
        <v>3326</v>
      </c>
      <c r="J20" s="16"/>
      <c r="K20" s="18" t="s">
        <v>4071</v>
      </c>
      <c r="L20" s="16"/>
      <c r="M20" s="18" t="s">
        <v>4789</v>
      </c>
      <c r="N20" s="16"/>
      <c r="O20" s="18" t="s">
        <v>5485</v>
      </c>
      <c r="P20" s="16"/>
      <c r="Q20" s="18" t="s">
        <v>6187</v>
      </c>
      <c r="R20" s="16"/>
      <c r="S20" s="18"/>
      <c r="T20" s="20"/>
    </row>
    <row r="21" spans="1:20" ht="15.95" customHeight="1" x14ac:dyDescent="0.25">
      <c r="A21" s="18" t="s">
        <v>795</v>
      </c>
      <c r="B21" s="16"/>
      <c r="C21" s="18" t="s">
        <v>1884</v>
      </c>
      <c r="D21" s="16"/>
      <c r="E21" s="18" t="s">
        <v>2602</v>
      </c>
      <c r="F21" s="16"/>
      <c r="G21" s="18" t="s">
        <v>1145</v>
      </c>
      <c r="H21" s="16"/>
      <c r="I21" s="18" t="s">
        <v>3327</v>
      </c>
      <c r="J21" s="16"/>
      <c r="K21" s="18" t="s">
        <v>4072</v>
      </c>
      <c r="L21" s="16"/>
      <c r="M21" s="18" t="s">
        <v>4790</v>
      </c>
      <c r="N21" s="16"/>
      <c r="O21" s="18" t="s">
        <v>5486</v>
      </c>
      <c r="P21" s="16"/>
      <c r="Q21" s="18" t="s">
        <v>6188</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796</v>
      </c>
      <c r="B23" s="16" t="str">
        <f>A23</f>
        <v>Hunter Item</v>
      </c>
      <c r="C23" s="18" t="s">
        <v>1885</v>
      </c>
      <c r="D23" s="16" t="str">
        <f>C23</f>
        <v>Jäger-Gegenstand</v>
      </c>
      <c r="E23" s="18" t="s">
        <v>2603</v>
      </c>
      <c r="F23" s="16" t="str">
        <f>E23</f>
        <v>Objeto del Cazador</v>
      </c>
      <c r="G23" s="18" t="s">
        <v>1146</v>
      </c>
      <c r="H23" s="16" t="str">
        <f>G23</f>
        <v>Objet du Chasseur</v>
      </c>
      <c r="I23" s="18" t="s">
        <v>3328</v>
      </c>
      <c r="J23" s="16" t="str">
        <f>I23</f>
        <v>ハンターアイテム</v>
      </c>
      <c r="K23" s="18" t="s">
        <v>4073</v>
      </c>
      <c r="L23" s="16" t="str">
        <f>K23</f>
        <v>사냥꾼 아이템</v>
      </c>
      <c r="M23" s="18" t="s">
        <v>4791</v>
      </c>
      <c r="N23" s="16" t="str">
        <f>M23</f>
        <v>Item do Caçador</v>
      </c>
      <c r="O23" s="18" t="s">
        <v>5487</v>
      </c>
      <c r="P23" s="16" t="str">
        <f>O23</f>
        <v>Предмет Охотника</v>
      </c>
      <c r="Q23" s="18" t="s">
        <v>6189</v>
      </c>
      <c r="R23" s="16" t="str">
        <f>Q23</f>
        <v>ไอเทมผู้พิชิตเหยื่อ</v>
      </c>
      <c r="S23" s="18"/>
      <c r="T23" s="16">
        <f>S23</f>
        <v>0</v>
      </c>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97" priority="2" stopIfTrue="1">
      <formula>NOT(ISERROR(A3))</formula>
    </cfRule>
  </conditionalFormatting>
  <conditionalFormatting sqref="A3:T51">
    <cfRule type="containsErrors" dxfId="296" priority="1" stopIfTrue="1">
      <formula>ISERROR(A3)</formula>
    </cfRule>
    <cfRule type="notContainsBlanks" dxfId="295" priority="3">
      <formula>LEN(TRIM(A3))&gt;0</formula>
    </cfRule>
  </conditionalFormatting>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FDC00B-180E-4FDF-A3F0-E5BD086C8C39}">
  <sheetPr codeName="Sheet34"/>
  <dimension ref="A1:T51"/>
  <sheetViews>
    <sheetView workbookViewId="0">
      <selection activeCell="Q3" sqref="Q3:Q2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8" t="s">
        <v>84</v>
      </c>
    </row>
    <row r="3" spans="1:20" ht="15.95" customHeight="1" x14ac:dyDescent="0.25">
      <c r="A3" s="17" t="s">
        <v>513</v>
      </c>
      <c r="B3" s="16" t="str">
        <f>TRIM(_xlfn.TEXTBEFORE(A3, ":"))</f>
        <v>Item Class</v>
      </c>
      <c r="C3" s="17" t="s">
        <v>1781</v>
      </c>
      <c r="D3" s="16" t="str">
        <f>TRIM(_xlfn.TEXTBEFORE(C3, ":"))</f>
        <v>Gegenstandsklasse</v>
      </c>
      <c r="E3" s="17" t="s">
        <v>2500</v>
      </c>
      <c r="F3" s="16" t="str">
        <f>TRIM(_xlfn.TEXTBEFORE(E3, ":"))</f>
        <v>Clase de objeto</v>
      </c>
      <c r="G3" s="17" t="s">
        <v>1049</v>
      </c>
      <c r="H3" s="16" t="str">
        <f>TRIM(_xlfn.TEXTBEFORE(G3, ":"))</f>
        <v>Classe d'objet</v>
      </c>
      <c r="I3" s="17" t="s">
        <v>3219</v>
      </c>
      <c r="J3" s="16" t="str">
        <f>TRIM(_xlfn.TEXTBEFORE(I3, ":"))</f>
        <v>アイテムクラス</v>
      </c>
      <c r="K3" s="17" t="s">
        <v>3965</v>
      </c>
      <c r="L3" s="16" t="str">
        <f>TRIM(_xlfn.TEXTBEFORE(K3, ":"))</f>
        <v>아이템 종류</v>
      </c>
      <c r="M3" s="17" t="s">
        <v>4694</v>
      </c>
      <c r="N3" s="16" t="str">
        <f>TRIM(_xlfn.TEXTBEFORE(M3, ":"))</f>
        <v>Classe do Item</v>
      </c>
      <c r="O3" s="17" t="s">
        <v>5379</v>
      </c>
      <c r="P3" s="16" t="str">
        <f>TRIM(_xlfn.TEXTBEFORE(O3, ":"))</f>
        <v>Класс предмета</v>
      </c>
      <c r="Q3" s="17" t="s">
        <v>6105</v>
      </c>
      <c r="R3" s="16" t="str">
        <f>TRIM(_xlfn.TEXTBEFORE(Q3, ":"))</f>
        <v>ชนิดไอเทม</v>
      </c>
      <c r="S3" s="17"/>
      <c r="T3" s="20" t="e">
        <f>TRIM(_xlfn.TEXTBEFORE(S3, ":"))</f>
        <v>#N/A</v>
      </c>
    </row>
    <row r="4" spans="1:20" ht="15.95" customHeight="1" x14ac:dyDescent="0.25">
      <c r="A4" s="18" t="s">
        <v>484</v>
      </c>
      <c r="B4" s="16" t="str">
        <f>TRIM(_xlfn.TEXTAFTER(A3, ":"))</f>
        <v>Rings</v>
      </c>
      <c r="C4" s="18" t="s">
        <v>1850</v>
      </c>
      <c r="D4" s="16" t="str">
        <f>TRIM(_xlfn.TEXTAFTER(C3, ":"))</f>
        <v>Ringe</v>
      </c>
      <c r="E4" s="18" t="s">
        <v>2568</v>
      </c>
      <c r="F4" s="16" t="str">
        <f>TRIM(_xlfn.TEXTAFTER(E3, ":"))</f>
        <v>Anillos</v>
      </c>
      <c r="G4" s="18" t="s">
        <v>1113</v>
      </c>
      <c r="H4" s="16" t="str">
        <f>TRIM(_xlfn.TEXTAFTER(G3, ":"))</f>
        <v>Bagues</v>
      </c>
      <c r="I4" s="18" t="s">
        <v>3292</v>
      </c>
      <c r="J4" s="16" t="str">
        <f>TRIM(_xlfn.TEXTAFTER(I3, ":"))</f>
        <v>指輪</v>
      </c>
      <c r="K4" s="18" t="s">
        <v>4037</v>
      </c>
      <c r="L4" s="16" t="str">
        <f>TRIM(_xlfn.TEXTAFTER(K3, ":"))</f>
        <v>반지</v>
      </c>
      <c r="M4" s="18" t="s">
        <v>4758</v>
      </c>
      <c r="N4" s="16" t="str">
        <f>TRIM(_xlfn.TEXTAFTER(M3, ":"))</f>
        <v>Anéis</v>
      </c>
      <c r="O4" s="18" t="s">
        <v>5451</v>
      </c>
      <c r="P4" s="16" t="str">
        <f>TRIM(_xlfn.TEXTAFTER(O3, ":"))</f>
        <v>Кольца</v>
      </c>
      <c r="Q4" s="18" t="s">
        <v>6162</v>
      </c>
      <c r="R4" s="16" t="str">
        <f>TRIM(_xlfn.TEXTAFTER(Q3, ":"))</f>
        <v>แหวน</v>
      </c>
      <c r="S4" s="18"/>
      <c r="T4" s="20" t="e">
        <f>TRIM(_xlfn.TEXTAFTER(S3, ":"))</f>
        <v>#N/A</v>
      </c>
    </row>
    <row r="5" spans="1:20" ht="15.95" customHeight="1" x14ac:dyDescent="0.25">
      <c r="A5" s="18" t="s">
        <v>811</v>
      </c>
      <c r="B5" s="16" t="str">
        <f>TRIM(_xlfn.TEXTBEFORE(A4, ":"))</f>
        <v>Rarity</v>
      </c>
      <c r="C5" s="18" t="s">
        <v>1886</v>
      </c>
      <c r="D5" s="16" t="str">
        <f>TRIM(_xlfn.TEXTBEFORE(C4, ":"))</f>
        <v>Seltenheit</v>
      </c>
      <c r="E5" s="18" t="s">
        <v>2604</v>
      </c>
      <c r="F5" s="16" t="str">
        <f>TRIM(_xlfn.TEXTBEFORE(E4, ":"))</f>
        <v>Rareza</v>
      </c>
      <c r="G5" s="18" t="s">
        <v>1147</v>
      </c>
      <c r="H5" s="16" t="str">
        <f>TRIM(_xlfn.TEXTBEFORE(G4, ":"))</f>
        <v>Rareté</v>
      </c>
      <c r="I5" s="18" t="s">
        <v>3329</v>
      </c>
      <c r="J5" s="16" t="str">
        <f>TRIM(_xlfn.TEXTBEFORE(I4, ":"))</f>
        <v>レアリティ</v>
      </c>
      <c r="K5" s="18" t="s">
        <v>4074</v>
      </c>
      <c r="L5" s="16" t="str">
        <f>TRIM(_xlfn.TEXTBEFORE(K4, ":"))</f>
        <v>아이템 희귀도</v>
      </c>
      <c r="M5" s="18" t="s">
        <v>4792</v>
      </c>
      <c r="N5" s="16" t="str">
        <f>TRIM(_xlfn.TEXTBEFORE(M4, ":"))</f>
        <v>Raridade</v>
      </c>
      <c r="O5" s="18" t="s">
        <v>5488</v>
      </c>
      <c r="P5" s="16" t="str">
        <f>TRIM(_xlfn.TEXTBEFORE(O4, ":"))</f>
        <v>Редкость</v>
      </c>
      <c r="Q5" s="18" t="s">
        <v>811</v>
      </c>
      <c r="R5" s="16" t="str">
        <f>TRIM(_xlfn.TEXTBEFORE(Q4, ":"))</f>
        <v>ความหายาก</v>
      </c>
      <c r="S5" s="18"/>
      <c r="T5" s="20" t="e">
        <f>TRIM(_xlfn.TEXTBEFORE(S4, ":"))</f>
        <v>#N/A</v>
      </c>
    </row>
    <row r="6" spans="1:20" ht="15.95" customHeight="1" x14ac:dyDescent="0.25">
      <c r="A6" s="18" t="s">
        <v>812</v>
      </c>
      <c r="B6" s="16" t="str">
        <f>TRIM(_xlfn.TEXTAFTER(A4,":"))</f>
        <v>Rare</v>
      </c>
      <c r="C6" s="18" t="s">
        <v>1887</v>
      </c>
      <c r="D6" s="16" t="str">
        <f>TRIM(_xlfn.TEXTAFTER(C4,":"))</f>
        <v>Selten</v>
      </c>
      <c r="E6" s="18" t="s">
        <v>2605</v>
      </c>
      <c r="F6" s="16" t="str">
        <f>TRIM(_xlfn.TEXTAFTER(E4,":"))</f>
        <v>Raro</v>
      </c>
      <c r="G6" s="18" t="s">
        <v>1148</v>
      </c>
      <c r="H6" s="16" t="str">
        <f>TRIM(_xlfn.TEXTAFTER(G4,":"))</f>
        <v>Rare</v>
      </c>
      <c r="I6" s="18" t="s">
        <v>3330</v>
      </c>
      <c r="J6" s="16" t="str">
        <f>TRIM(_xlfn.TEXTAFTER(I4,":"))</f>
        <v>レア</v>
      </c>
      <c r="K6" s="18" t="s">
        <v>4075</v>
      </c>
      <c r="L6" s="16" t="str">
        <f>TRIM(_xlfn.TEXTAFTER(K4,":"))</f>
        <v>희귀</v>
      </c>
      <c r="M6" s="18" t="s">
        <v>4793</v>
      </c>
      <c r="N6" s="16" t="str">
        <f>TRIM(_xlfn.TEXTAFTER(M4,":"))</f>
        <v>Raro</v>
      </c>
      <c r="O6" s="18" t="s">
        <v>5489</v>
      </c>
      <c r="P6" s="16" t="str">
        <f>TRIM(_xlfn.TEXTAFTER(O4,":"))</f>
        <v>Редкий</v>
      </c>
      <c r="Q6" s="18" t="s">
        <v>812</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81</v>
      </c>
      <c r="B8" s="16"/>
      <c r="C8" s="18" t="s">
        <v>1589</v>
      </c>
      <c r="D8" s="16"/>
      <c r="E8" s="18" t="s">
        <v>2308</v>
      </c>
      <c r="F8" s="16"/>
      <c r="G8" s="18" t="s">
        <v>5</v>
      </c>
      <c r="H8" s="16"/>
      <c r="I8" s="18" t="s">
        <v>3018</v>
      </c>
      <c r="J8" s="16"/>
      <c r="K8" s="18" t="s">
        <v>3772</v>
      </c>
      <c r="L8" s="16"/>
      <c r="M8" s="18" t="s">
        <v>2308</v>
      </c>
      <c r="N8" s="16"/>
      <c r="O8" s="18" t="s">
        <v>5183</v>
      </c>
      <c r="P8" s="16"/>
      <c r="Q8" s="18" t="s">
        <v>5928</v>
      </c>
      <c r="R8" s="16"/>
      <c r="S8" s="18"/>
      <c r="T8" s="20"/>
    </row>
    <row r="9" spans="1:20" ht="15.95" customHeight="1" x14ac:dyDescent="0.25">
      <c r="A9" s="18" t="s">
        <v>813</v>
      </c>
      <c r="B9" s="16"/>
      <c r="C9" s="18" t="s">
        <v>1888</v>
      </c>
      <c r="D9" s="16"/>
      <c r="E9" s="18" t="s">
        <v>2606</v>
      </c>
      <c r="F9" s="16"/>
      <c r="G9" s="18" t="s">
        <v>1149</v>
      </c>
      <c r="H9" s="16"/>
      <c r="I9" s="18" t="s">
        <v>3331</v>
      </c>
      <c r="J9" s="16"/>
      <c r="K9" s="18" t="s">
        <v>4076</v>
      </c>
      <c r="L9" s="16"/>
      <c r="M9" s="18" t="s">
        <v>4794</v>
      </c>
      <c r="N9" s="16"/>
      <c r="O9" s="18" t="s">
        <v>5490</v>
      </c>
      <c r="P9" s="16"/>
      <c r="Q9" s="18" t="s">
        <v>6190</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88</v>
      </c>
      <c r="B11" s="16"/>
      <c r="C11" s="18" t="s">
        <v>1713</v>
      </c>
      <c r="D11" s="16"/>
      <c r="E11" s="18" t="s">
        <v>2432</v>
      </c>
      <c r="F11" s="16"/>
      <c r="G11" s="18" t="s">
        <v>981</v>
      </c>
      <c r="H11" s="16"/>
      <c r="I11" s="18" t="s">
        <v>3150</v>
      </c>
      <c r="J11" s="16"/>
      <c r="K11" s="18" t="s">
        <v>3897</v>
      </c>
      <c r="L11" s="16"/>
      <c r="M11" s="18" t="s">
        <v>4626</v>
      </c>
      <c r="N11" s="16"/>
      <c r="O11" s="18" t="s">
        <v>5311</v>
      </c>
      <c r="P11" s="16"/>
      <c r="Q11" s="18" t="s">
        <v>6043</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814</v>
      </c>
      <c r="B13" s="16"/>
      <c r="C13" s="18" t="s">
        <v>1889</v>
      </c>
      <c r="D13" s="16"/>
      <c r="E13" s="18" t="s">
        <v>2607</v>
      </c>
      <c r="F13" s="16"/>
      <c r="G13" s="18" t="s">
        <v>1150</v>
      </c>
      <c r="H13" s="16"/>
      <c r="I13" s="18" t="s">
        <v>3332</v>
      </c>
      <c r="J13" s="16"/>
      <c r="K13" s="18" t="s">
        <v>4077</v>
      </c>
      <c r="L13" s="16"/>
      <c r="M13" s="18" t="s">
        <v>4795</v>
      </c>
      <c r="N13" s="16"/>
      <c r="O13" s="18" t="s">
        <v>5491</v>
      </c>
      <c r="P13" s="16"/>
      <c r="Q13" s="18" t="s">
        <v>6191</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815</v>
      </c>
      <c r="B15" s="16"/>
      <c r="C15" s="18" t="s">
        <v>1890</v>
      </c>
      <c r="D15" s="16"/>
      <c r="E15" s="18" t="s">
        <v>2608</v>
      </c>
      <c r="F15" s="16"/>
      <c r="G15" s="18" t="s">
        <v>1151</v>
      </c>
      <c r="H15" s="16"/>
      <c r="I15" s="18" t="s">
        <v>3333</v>
      </c>
      <c r="J15" s="16"/>
      <c r="K15" s="18" t="s">
        <v>4078</v>
      </c>
      <c r="L15" s="16"/>
      <c r="M15" s="18" t="s">
        <v>4796</v>
      </c>
      <c r="N15" s="16"/>
      <c r="O15" s="18" t="s">
        <v>5492</v>
      </c>
      <c r="P15" s="16"/>
      <c r="Q15" s="18" t="s">
        <v>6192</v>
      </c>
      <c r="R15" s="16"/>
      <c r="S15" s="18"/>
      <c r="T15" s="20"/>
    </row>
    <row r="16" spans="1:20" ht="15.95" customHeight="1" x14ac:dyDescent="0.25">
      <c r="A16" s="18" t="s">
        <v>816</v>
      </c>
      <c r="B16" s="16"/>
      <c r="C16" s="18" t="s">
        <v>1891</v>
      </c>
      <c r="D16" s="16"/>
      <c r="E16" s="18" t="s">
        <v>2609</v>
      </c>
      <c r="F16" s="16"/>
      <c r="G16" s="18" t="s">
        <v>1152</v>
      </c>
      <c r="H16" s="16"/>
      <c r="I16" s="18" t="s">
        <v>3334</v>
      </c>
      <c r="J16" s="16"/>
      <c r="K16" s="18" t="s">
        <v>4079</v>
      </c>
      <c r="L16" s="16"/>
      <c r="M16" s="18" t="s">
        <v>4797</v>
      </c>
      <c r="N16" s="16"/>
      <c r="O16" s="18" t="s">
        <v>5493</v>
      </c>
      <c r="P16" s="16"/>
      <c r="Q16" s="18" t="s">
        <v>6193</v>
      </c>
      <c r="R16" s="16"/>
      <c r="S16" s="18"/>
      <c r="T16" s="20"/>
    </row>
    <row r="17" spans="1:20" ht="15.95" customHeight="1" x14ac:dyDescent="0.25">
      <c r="A17" s="18" t="s">
        <v>817</v>
      </c>
      <c r="B17" s="16"/>
      <c r="C17" s="18" t="s">
        <v>1892</v>
      </c>
      <c r="D17" s="16"/>
      <c r="E17" s="18" t="s">
        <v>2610</v>
      </c>
      <c r="F17" s="16"/>
      <c r="G17" s="18" t="s">
        <v>1153</v>
      </c>
      <c r="H17" s="16"/>
      <c r="I17" s="18" t="s">
        <v>3335</v>
      </c>
      <c r="J17" s="16"/>
      <c r="K17" s="18" t="s">
        <v>4080</v>
      </c>
      <c r="L17" s="16"/>
      <c r="M17" s="18" t="s">
        <v>4798</v>
      </c>
      <c r="N17" s="16"/>
      <c r="O17" s="18" t="s">
        <v>5494</v>
      </c>
      <c r="P17" s="16"/>
      <c r="Q17" s="18" t="s">
        <v>6194</v>
      </c>
      <c r="R17" s="16"/>
      <c r="S17" s="18"/>
      <c r="T17" s="20"/>
    </row>
    <row r="18" spans="1:20" ht="15.95" customHeight="1" x14ac:dyDescent="0.25">
      <c r="A18" s="18" t="s">
        <v>818</v>
      </c>
      <c r="B18" s="16"/>
      <c r="C18" s="18" t="s">
        <v>1893</v>
      </c>
      <c r="D18" s="16"/>
      <c r="E18" s="18" t="s">
        <v>2611</v>
      </c>
      <c r="F18" s="16"/>
      <c r="G18" s="18" t="s">
        <v>1154</v>
      </c>
      <c r="H18" s="16"/>
      <c r="I18" s="18" t="s">
        <v>3336</v>
      </c>
      <c r="J18" s="16"/>
      <c r="K18" s="18" t="s">
        <v>4081</v>
      </c>
      <c r="L18" s="16"/>
      <c r="M18" s="18" t="s">
        <v>4799</v>
      </c>
      <c r="N18" s="16"/>
      <c r="O18" s="18" t="s">
        <v>5495</v>
      </c>
      <c r="P18" s="16"/>
      <c r="Q18" s="18" t="s">
        <v>6195</v>
      </c>
      <c r="R18" s="16"/>
      <c r="S18" s="18"/>
      <c r="T18" s="20"/>
    </row>
    <row r="19" spans="1:20" ht="15.95" customHeight="1" x14ac:dyDescent="0.25">
      <c r="A19" s="18" t="s">
        <v>819</v>
      </c>
      <c r="B19" s="16"/>
      <c r="C19" s="18" t="s">
        <v>1894</v>
      </c>
      <c r="D19" s="16"/>
      <c r="E19" s="18" t="s">
        <v>2612</v>
      </c>
      <c r="F19" s="16"/>
      <c r="G19" s="18" t="s">
        <v>1155</v>
      </c>
      <c r="H19" s="16"/>
      <c r="I19" s="18" t="s">
        <v>3337</v>
      </c>
      <c r="J19" s="16"/>
      <c r="K19" s="18" t="s">
        <v>4082</v>
      </c>
      <c r="L19" s="16"/>
      <c r="M19" s="18" t="s">
        <v>4800</v>
      </c>
      <c r="N19" s="16"/>
      <c r="O19" s="18" t="s">
        <v>5496</v>
      </c>
      <c r="P19" s="16"/>
      <c r="Q19" s="18" t="s">
        <v>6196</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820</v>
      </c>
      <c r="B21" s="16" t="str">
        <f>A21</f>
        <v>Redeemer Item</v>
      </c>
      <c r="C21" s="18" t="s">
        <v>1895</v>
      </c>
      <c r="D21" s="16" t="str">
        <f>C21</f>
        <v>Erlöserin-Gegenstand</v>
      </c>
      <c r="E21" s="18" t="s">
        <v>2613</v>
      </c>
      <c r="F21" s="16" t="str">
        <f>E21</f>
        <v>Objeto de la Redentora</v>
      </c>
      <c r="G21" s="18" t="s">
        <v>1156</v>
      </c>
      <c r="H21" s="16" t="str">
        <f>G21</f>
        <v>Objet de la Rédemptrice</v>
      </c>
      <c r="I21" s="18" t="s">
        <v>3338</v>
      </c>
      <c r="J21" s="16" t="str">
        <f>I21</f>
        <v>レディーマーアイテム</v>
      </c>
      <c r="K21" s="18" t="s">
        <v>4083</v>
      </c>
      <c r="L21" s="16" t="str">
        <f>K21</f>
        <v>대속자 아이템</v>
      </c>
      <c r="M21" s="18" t="s">
        <v>4801</v>
      </c>
      <c r="N21" s="16" t="str">
        <f>M21</f>
        <v>Item do Redentor</v>
      </c>
      <c r="O21" s="18" t="s">
        <v>5497</v>
      </c>
      <c r="P21" s="16" t="str">
        <f>O21</f>
        <v>Предмет Избавительницы</v>
      </c>
      <c r="Q21" s="18" t="s">
        <v>6197</v>
      </c>
      <c r="R21" s="16" t="str">
        <f>Q21</f>
        <v>ไอเทมผู้พิชิตบาป</v>
      </c>
      <c r="S21" s="18"/>
      <c r="T21" s="16">
        <f>S21</f>
        <v>0</v>
      </c>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94" priority="2" stopIfTrue="1">
      <formula>NOT(ISERROR(A3))</formula>
    </cfRule>
  </conditionalFormatting>
  <conditionalFormatting sqref="A3:T51">
    <cfRule type="containsErrors" dxfId="293" priority="1" stopIfTrue="1">
      <formula>ISERROR(A3)</formula>
    </cfRule>
    <cfRule type="notContainsBlanks" dxfId="292" priority="3">
      <formula>LEN(TRIM(A3))&gt;0</formula>
    </cfRule>
  </conditionalFormatting>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ED36D-5853-4903-8D62-2E5F6ACA9B44}">
  <sheetPr codeName="Sheet35"/>
  <dimension ref="A1:T51"/>
  <sheetViews>
    <sheetView workbookViewId="0">
      <selection activeCell="Q3" sqref="Q3:Q23"/>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8" t="s">
        <v>84</v>
      </c>
    </row>
    <row r="3" spans="1:20" ht="15.95" customHeight="1" x14ac:dyDescent="0.25">
      <c r="A3" s="17" t="s">
        <v>455</v>
      </c>
      <c r="B3" s="16" t="str">
        <f>TRIM(_xlfn.TEXTBEFORE(A3, ":"))</f>
        <v>Item Class</v>
      </c>
      <c r="C3" s="17" t="s">
        <v>1813</v>
      </c>
      <c r="D3" s="16" t="str">
        <f>TRIM(_xlfn.TEXTBEFORE(C3, ":"))</f>
        <v>Gegenstandsklasse</v>
      </c>
      <c r="E3" s="17" t="s">
        <v>2531</v>
      </c>
      <c r="F3" s="16" t="str">
        <f>TRIM(_xlfn.TEXTBEFORE(E3, ":"))</f>
        <v>Clase de objeto</v>
      </c>
      <c r="G3" s="17" t="s">
        <v>1079</v>
      </c>
      <c r="H3" s="16" t="str">
        <f>TRIM(_xlfn.TEXTBEFORE(G3, ":"))</f>
        <v>Classe d'objet</v>
      </c>
      <c r="I3" s="17" t="s">
        <v>3254</v>
      </c>
      <c r="J3" s="16" t="str">
        <f>TRIM(_xlfn.TEXTBEFORE(I3, ":"))</f>
        <v>アイテムクラス</v>
      </c>
      <c r="K3" s="17" t="s">
        <v>3999</v>
      </c>
      <c r="L3" s="16" t="str">
        <f>TRIM(_xlfn.TEXTBEFORE(K3, ":"))</f>
        <v>아이템 종류</v>
      </c>
      <c r="M3" s="17" t="s">
        <v>4723</v>
      </c>
      <c r="N3" s="16" t="str">
        <f>TRIM(_xlfn.TEXTBEFORE(M3, ":"))</f>
        <v>Classe do Item</v>
      </c>
      <c r="O3" s="17" t="s">
        <v>5413</v>
      </c>
      <c r="P3" s="16" t="str">
        <f>TRIM(_xlfn.TEXTBEFORE(O3, ":"))</f>
        <v>Класс предмета</v>
      </c>
      <c r="Q3" s="17" t="s">
        <v>6131</v>
      </c>
      <c r="R3" s="16" t="str">
        <f>TRIM(_xlfn.TEXTBEFORE(Q3, ":"))</f>
        <v>ชนิดไอเทม</v>
      </c>
      <c r="S3" s="17"/>
      <c r="T3" s="20" t="e">
        <f>TRIM(_xlfn.TEXTBEFORE(S3, ":"))</f>
        <v>#N/A</v>
      </c>
    </row>
    <row r="4" spans="1:20" ht="15.95" customHeight="1" x14ac:dyDescent="0.25">
      <c r="A4" s="18" t="s">
        <v>484</v>
      </c>
      <c r="B4" s="16" t="str">
        <f>TRIM(_xlfn.TEXTAFTER(A3, ":"))</f>
        <v>Shields</v>
      </c>
      <c r="C4" s="18" t="s">
        <v>1850</v>
      </c>
      <c r="D4" s="16" t="str">
        <f>TRIM(_xlfn.TEXTAFTER(C3, ":"))</f>
        <v>Schilde</v>
      </c>
      <c r="E4" s="18" t="s">
        <v>2568</v>
      </c>
      <c r="F4" s="16" t="str">
        <f>TRIM(_xlfn.TEXTAFTER(E3, ":"))</f>
        <v>Escudos</v>
      </c>
      <c r="G4" s="18" t="s">
        <v>1113</v>
      </c>
      <c r="H4" s="16" t="str">
        <f>TRIM(_xlfn.TEXTAFTER(G3, ":"))</f>
        <v>Boucliers</v>
      </c>
      <c r="I4" s="18" t="s">
        <v>3292</v>
      </c>
      <c r="J4" s="16" t="str">
        <f>TRIM(_xlfn.TEXTAFTER(I3, ":"))</f>
        <v>盾</v>
      </c>
      <c r="K4" s="18" t="s">
        <v>4037</v>
      </c>
      <c r="L4" s="16" t="str">
        <f>TRIM(_xlfn.TEXTAFTER(K3, ":"))</f>
        <v>방패</v>
      </c>
      <c r="M4" s="18" t="s">
        <v>4758</v>
      </c>
      <c r="N4" s="16" t="str">
        <f>TRIM(_xlfn.TEXTAFTER(M3, ":"))</f>
        <v>Escudos</v>
      </c>
      <c r="O4" s="18" t="s">
        <v>5451</v>
      </c>
      <c r="P4" s="16" t="str">
        <f>TRIM(_xlfn.TEXTAFTER(O3, ":"))</f>
        <v>Щиты</v>
      </c>
      <c r="Q4" s="18" t="s">
        <v>6162</v>
      </c>
      <c r="R4" s="16" t="str">
        <f>TRIM(_xlfn.TEXTAFTER(Q3, ":"))</f>
        <v>โล่</v>
      </c>
      <c r="S4" s="18"/>
      <c r="T4" s="20" t="e">
        <f>TRIM(_xlfn.TEXTAFTER(S3, ":"))</f>
        <v>#N/A</v>
      </c>
    </row>
    <row r="5" spans="1:20" ht="15.95" customHeight="1" x14ac:dyDescent="0.25">
      <c r="A5" s="18" t="s">
        <v>778</v>
      </c>
      <c r="B5" s="16" t="str">
        <f>TRIM(_xlfn.TEXTBEFORE(A4, ":"))</f>
        <v>Rarity</v>
      </c>
      <c r="C5" s="18" t="s">
        <v>1896</v>
      </c>
      <c r="D5" s="16" t="str">
        <f>TRIM(_xlfn.TEXTBEFORE(C4, ":"))</f>
        <v>Seltenheit</v>
      </c>
      <c r="E5" s="18" t="s">
        <v>2614</v>
      </c>
      <c r="F5" s="16" t="str">
        <f>TRIM(_xlfn.TEXTBEFORE(E4, ":"))</f>
        <v>Rareza</v>
      </c>
      <c r="G5" s="18" t="s">
        <v>1157</v>
      </c>
      <c r="H5" s="16" t="str">
        <f>TRIM(_xlfn.TEXTBEFORE(G4, ":"))</f>
        <v>Rareté</v>
      </c>
      <c r="I5" s="18" t="s">
        <v>3339</v>
      </c>
      <c r="J5" s="16" t="str">
        <f>TRIM(_xlfn.TEXTBEFORE(I4, ":"))</f>
        <v>レアリティ</v>
      </c>
      <c r="K5" s="18" t="s">
        <v>4084</v>
      </c>
      <c r="L5" s="16" t="str">
        <f>TRIM(_xlfn.TEXTBEFORE(K4, ":"))</f>
        <v>아이템 희귀도</v>
      </c>
      <c r="M5" s="18" t="s">
        <v>4802</v>
      </c>
      <c r="N5" s="16" t="str">
        <f>TRIM(_xlfn.TEXTBEFORE(M4, ":"))</f>
        <v>Raridade</v>
      </c>
      <c r="O5" s="18" t="s">
        <v>5498</v>
      </c>
      <c r="P5" s="16" t="str">
        <f>TRIM(_xlfn.TEXTBEFORE(O4, ":"))</f>
        <v>Редкость</v>
      </c>
      <c r="Q5" s="18" t="s">
        <v>778</v>
      </c>
      <c r="R5" s="16" t="str">
        <f>TRIM(_xlfn.TEXTBEFORE(Q4, ":"))</f>
        <v>ความหายาก</v>
      </c>
      <c r="S5" s="18"/>
      <c r="T5" s="20" t="e">
        <f>TRIM(_xlfn.TEXTBEFORE(S4, ":"))</f>
        <v>#N/A</v>
      </c>
    </row>
    <row r="6" spans="1:20" ht="15.95" customHeight="1" x14ac:dyDescent="0.25">
      <c r="A6" s="18" t="s">
        <v>4</v>
      </c>
      <c r="B6" s="16" t="str">
        <f>TRIM(_xlfn.TEXTAFTER(A4,":"))</f>
        <v>Rare</v>
      </c>
      <c r="C6" s="18" t="s">
        <v>4</v>
      </c>
      <c r="D6" s="16" t="str">
        <f>TRIM(_xlfn.TEXTAFTER(C4,":"))</f>
        <v>Selten</v>
      </c>
      <c r="E6" s="18" t="s">
        <v>4</v>
      </c>
      <c r="F6" s="16" t="str">
        <f>TRIM(_xlfn.TEXTAFTER(E4,":"))</f>
        <v>Raro</v>
      </c>
      <c r="G6" s="18" t="s">
        <v>4</v>
      </c>
      <c r="H6" s="16" t="str">
        <f>TRIM(_xlfn.TEXTAFTER(G4,":"))</f>
        <v>Rare</v>
      </c>
      <c r="I6" s="18" t="s">
        <v>4</v>
      </c>
      <c r="J6" s="16" t="str">
        <f>TRIM(_xlfn.TEXTAFTER(I4,":"))</f>
        <v>レア</v>
      </c>
      <c r="K6" s="18" t="s">
        <v>4</v>
      </c>
      <c r="L6" s="16" t="str">
        <f>TRIM(_xlfn.TEXTAFTER(K4,":"))</f>
        <v>희귀</v>
      </c>
      <c r="M6" s="18" t="s">
        <v>4</v>
      </c>
      <c r="N6" s="16" t="str">
        <f>TRIM(_xlfn.TEXTAFTER(M4,":"))</f>
        <v>Raro</v>
      </c>
      <c r="O6" s="18" t="s">
        <v>4</v>
      </c>
      <c r="P6" s="16" t="str">
        <f>TRIM(_xlfn.TEXTAFTER(O4,":"))</f>
        <v>Редкий</v>
      </c>
      <c r="Q6" s="18" t="s">
        <v>4</v>
      </c>
      <c r="R6" s="16" t="str">
        <f>TRIM(_xlfn.TEXTAFTER(Q4,":"))</f>
        <v>แรร์</v>
      </c>
      <c r="S6" s="18"/>
      <c r="T6" s="20" t="e">
        <f>TRIM(_xlfn.TEXTAFTER(S4,":"))</f>
        <v>#N/A</v>
      </c>
    </row>
    <row r="7" spans="1:20" ht="15.95" customHeight="1" x14ac:dyDescent="0.25">
      <c r="A7" s="18" t="s">
        <v>779</v>
      </c>
      <c r="B7" s="16"/>
      <c r="C7" s="18" t="s">
        <v>1897</v>
      </c>
      <c r="D7" s="16"/>
      <c r="E7" s="18" t="s">
        <v>2615</v>
      </c>
      <c r="F7" s="16"/>
      <c r="G7" s="18" t="s">
        <v>1158</v>
      </c>
      <c r="H7" s="16"/>
      <c r="I7" s="18" t="s">
        <v>3340</v>
      </c>
      <c r="J7" s="16"/>
      <c r="K7" s="18" t="s">
        <v>4085</v>
      </c>
      <c r="L7" s="16"/>
      <c r="M7" s="18" t="s">
        <v>4803</v>
      </c>
      <c r="N7" s="16"/>
      <c r="O7" s="18" t="s">
        <v>5499</v>
      </c>
      <c r="P7" s="16"/>
      <c r="Q7" s="18" t="s">
        <v>6198</v>
      </c>
      <c r="R7" s="16"/>
      <c r="S7" s="18"/>
      <c r="T7" s="20"/>
    </row>
    <row r="8" spans="1:20" ht="15.95" customHeight="1" x14ac:dyDescent="0.25">
      <c r="A8" s="18" t="s">
        <v>780</v>
      </c>
      <c r="B8" s="16"/>
      <c r="C8" s="18" t="s">
        <v>1898</v>
      </c>
      <c r="D8" s="16"/>
      <c r="E8" s="18" t="s">
        <v>2616</v>
      </c>
      <c r="F8" s="16"/>
      <c r="G8" s="18" t="s">
        <v>1159</v>
      </c>
      <c r="H8" s="16"/>
      <c r="I8" s="18" t="s">
        <v>3341</v>
      </c>
      <c r="J8" s="16"/>
      <c r="K8" s="18" t="s">
        <v>4086</v>
      </c>
      <c r="L8" s="16"/>
      <c r="M8" s="18" t="s">
        <v>2616</v>
      </c>
      <c r="N8" s="16"/>
      <c r="O8" s="18" t="s">
        <v>5500</v>
      </c>
      <c r="P8" s="16"/>
      <c r="Q8" s="18" t="s">
        <v>6199</v>
      </c>
      <c r="R8" s="16"/>
      <c r="S8" s="18"/>
      <c r="T8" s="20"/>
    </row>
    <row r="9" spans="1:20" ht="15.95" customHeight="1" x14ac:dyDescent="0.25">
      <c r="A9" s="18" t="s">
        <v>781</v>
      </c>
      <c r="B9" s="16"/>
      <c r="C9" s="18" t="s">
        <v>1899</v>
      </c>
      <c r="D9" s="16"/>
      <c r="E9" s="18" t="s">
        <v>2617</v>
      </c>
      <c r="F9" s="16"/>
      <c r="G9" s="18" t="s">
        <v>1160</v>
      </c>
      <c r="H9" s="16"/>
      <c r="I9" s="18" t="s">
        <v>3342</v>
      </c>
      <c r="J9" s="16"/>
      <c r="K9" s="18" t="s">
        <v>4087</v>
      </c>
      <c r="L9" s="16"/>
      <c r="M9" s="18" t="s">
        <v>4804</v>
      </c>
      <c r="N9" s="16"/>
      <c r="O9" s="18" t="s">
        <v>5501</v>
      </c>
      <c r="P9" s="16"/>
      <c r="Q9" s="18" t="s">
        <v>6200</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81</v>
      </c>
      <c r="B11" s="16"/>
      <c r="C11" s="18" t="s">
        <v>1589</v>
      </c>
      <c r="D11" s="16"/>
      <c r="E11" s="18" t="s">
        <v>2308</v>
      </c>
      <c r="F11" s="16"/>
      <c r="G11" s="18" t="s">
        <v>5</v>
      </c>
      <c r="H11" s="16"/>
      <c r="I11" s="18" t="s">
        <v>3018</v>
      </c>
      <c r="J11" s="16"/>
      <c r="K11" s="18" t="s">
        <v>3772</v>
      </c>
      <c r="L11" s="16"/>
      <c r="M11" s="18" t="s">
        <v>2308</v>
      </c>
      <c r="N11" s="16"/>
      <c r="O11" s="18" t="s">
        <v>5183</v>
      </c>
      <c r="P11" s="16"/>
      <c r="Q11" s="18" t="s">
        <v>5928</v>
      </c>
      <c r="R11" s="16"/>
      <c r="S11" s="18"/>
      <c r="T11" s="20"/>
    </row>
    <row r="12" spans="1:20" ht="15.95" customHeight="1" x14ac:dyDescent="0.25">
      <c r="A12" s="18" t="s">
        <v>782</v>
      </c>
      <c r="B12" s="16"/>
      <c r="C12" s="18" t="s">
        <v>782</v>
      </c>
      <c r="D12" s="16"/>
      <c r="E12" s="18" t="s">
        <v>2618</v>
      </c>
      <c r="F12" s="16"/>
      <c r="G12" s="18" t="s">
        <v>1161</v>
      </c>
      <c r="H12" s="16"/>
      <c r="I12" s="18" t="s">
        <v>3343</v>
      </c>
      <c r="J12" s="16"/>
      <c r="K12" s="18" t="s">
        <v>4088</v>
      </c>
      <c r="L12" s="16"/>
      <c r="M12" s="18" t="s">
        <v>1161</v>
      </c>
      <c r="N12" s="16"/>
      <c r="O12" s="18" t="s">
        <v>5502</v>
      </c>
      <c r="P12" s="16"/>
      <c r="Q12" s="18" t="s">
        <v>782</v>
      </c>
      <c r="R12" s="16"/>
      <c r="S12" s="18"/>
      <c r="T12" s="20"/>
    </row>
    <row r="13" spans="1:20" ht="15.95" customHeight="1" x14ac:dyDescent="0.25">
      <c r="A13" s="18" t="s">
        <v>783</v>
      </c>
      <c r="B13" s="16"/>
      <c r="C13" s="18" t="s">
        <v>783</v>
      </c>
      <c r="D13" s="16"/>
      <c r="E13" s="18" t="s">
        <v>783</v>
      </c>
      <c r="F13" s="16"/>
      <c r="G13" s="18" t="s">
        <v>783</v>
      </c>
      <c r="H13" s="16"/>
      <c r="I13" s="18" t="s">
        <v>3344</v>
      </c>
      <c r="J13" s="16"/>
      <c r="K13" s="18" t="s">
        <v>4089</v>
      </c>
      <c r="L13" s="16"/>
      <c r="M13" s="18" t="s">
        <v>783</v>
      </c>
      <c r="N13" s="16"/>
      <c r="O13" s="18" t="s">
        <v>5503</v>
      </c>
      <c r="P13" s="16"/>
      <c r="Q13" s="18" t="s">
        <v>783</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784</v>
      </c>
      <c r="B15" s="16"/>
      <c r="C15" s="18" t="s">
        <v>1900</v>
      </c>
      <c r="D15" s="16"/>
      <c r="E15" s="18" t="s">
        <v>2619</v>
      </c>
      <c r="F15" s="16"/>
      <c r="G15" s="18" t="s">
        <v>1162</v>
      </c>
      <c r="H15" s="16"/>
      <c r="I15" s="18" t="s">
        <v>3345</v>
      </c>
      <c r="J15" s="16"/>
      <c r="K15" s="18" t="s">
        <v>4090</v>
      </c>
      <c r="L15" s="16"/>
      <c r="M15" s="18" t="s">
        <v>4805</v>
      </c>
      <c r="N15" s="16"/>
      <c r="O15" s="18" t="s">
        <v>5504</v>
      </c>
      <c r="P15" s="16"/>
      <c r="Q15" s="18" t="s">
        <v>6201</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88</v>
      </c>
      <c r="B17" s="16"/>
      <c r="C17" s="18" t="s">
        <v>1713</v>
      </c>
      <c r="D17" s="16"/>
      <c r="E17" s="18" t="s">
        <v>2432</v>
      </c>
      <c r="F17" s="16"/>
      <c r="G17" s="18" t="s">
        <v>981</v>
      </c>
      <c r="H17" s="16"/>
      <c r="I17" s="18" t="s">
        <v>3150</v>
      </c>
      <c r="J17" s="16"/>
      <c r="K17" s="18" t="s">
        <v>3897</v>
      </c>
      <c r="L17" s="16"/>
      <c r="M17" s="18" t="s">
        <v>4626</v>
      </c>
      <c r="N17" s="16"/>
      <c r="O17" s="18" t="s">
        <v>5311</v>
      </c>
      <c r="P17" s="16"/>
      <c r="Q17" s="18" t="s">
        <v>6043</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773</v>
      </c>
      <c r="B19" s="16"/>
      <c r="C19" s="18" t="s">
        <v>1901</v>
      </c>
      <c r="D19" s="16"/>
      <c r="E19" s="18" t="s">
        <v>2620</v>
      </c>
      <c r="F19" s="16"/>
      <c r="G19" s="18" t="s">
        <v>1163</v>
      </c>
      <c r="H19" s="16"/>
      <c r="I19" s="18" t="s">
        <v>3346</v>
      </c>
      <c r="J19" s="16"/>
      <c r="K19" s="18" t="s">
        <v>4091</v>
      </c>
      <c r="L19" s="16"/>
      <c r="M19" s="18" t="s">
        <v>4806</v>
      </c>
      <c r="N19" s="16"/>
      <c r="O19" s="18" t="s">
        <v>5505</v>
      </c>
      <c r="P19" s="16"/>
      <c r="Q19" s="18" t="s">
        <v>6202</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50</v>
      </c>
      <c r="B21" s="16"/>
      <c r="C21" s="18" t="s">
        <v>1784</v>
      </c>
      <c r="D21" s="16"/>
      <c r="E21" s="18" t="s">
        <v>2503</v>
      </c>
      <c r="F21" s="16"/>
      <c r="G21" s="18" t="s">
        <v>1052</v>
      </c>
      <c r="H21" s="16"/>
      <c r="I21" s="18" t="s">
        <v>3222</v>
      </c>
      <c r="J21" s="16"/>
      <c r="K21" s="18" t="s">
        <v>3968</v>
      </c>
      <c r="L21" s="16"/>
      <c r="M21" s="18" t="s">
        <v>4697</v>
      </c>
      <c r="N21" s="16"/>
      <c r="O21" s="18" t="s">
        <v>5382</v>
      </c>
      <c r="P21" s="16"/>
      <c r="Q21" s="18" t="s">
        <v>6107</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785</v>
      </c>
      <c r="B23" s="16" t="str">
        <f>A23</f>
        <v>Shaper Item</v>
      </c>
      <c r="C23" s="18" t="s">
        <v>1902</v>
      </c>
      <c r="D23" s="16" t="str">
        <f>C23</f>
        <v>Schöpfer-Gegenstand</v>
      </c>
      <c r="E23" s="18" t="s">
        <v>2621</v>
      </c>
      <c r="F23" s="16" t="str">
        <f>E23</f>
        <v>Objeto del Creador</v>
      </c>
      <c r="G23" s="18" t="s">
        <v>1164</v>
      </c>
      <c r="H23" s="16" t="str">
        <f>G23</f>
        <v>Objet du Façonneur</v>
      </c>
      <c r="I23" s="18" t="s">
        <v>3347</v>
      </c>
      <c r="J23" s="16" t="str">
        <f>I23</f>
        <v>シェイパーアイテム</v>
      </c>
      <c r="K23" s="18" t="s">
        <v>4092</v>
      </c>
      <c r="L23" s="16" t="str">
        <f>K23</f>
        <v>쉐이퍼 아이템</v>
      </c>
      <c r="M23" s="18" t="s">
        <v>4807</v>
      </c>
      <c r="N23" s="16" t="str">
        <f>M23</f>
        <v>Item do Criador</v>
      </c>
      <c r="O23" s="18" t="s">
        <v>5506</v>
      </c>
      <c r="P23" s="16" t="str">
        <f>O23</f>
        <v>Предмет Создателя</v>
      </c>
      <c r="Q23" s="18" t="s">
        <v>6203</v>
      </c>
      <c r="R23" s="16" t="str">
        <f>Q23</f>
        <v>ไอเทมเชปเปอร์</v>
      </c>
      <c r="S23" s="18"/>
      <c r="T23" s="16">
        <f>S23</f>
        <v>0</v>
      </c>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91" priority="2" stopIfTrue="1">
      <formula>NOT(ISERROR(A3))</formula>
    </cfRule>
  </conditionalFormatting>
  <conditionalFormatting sqref="A3:T51">
    <cfRule type="containsErrors" dxfId="290" priority="1" stopIfTrue="1">
      <formula>ISERROR(A3)</formula>
    </cfRule>
    <cfRule type="notContainsBlanks" dxfId="289" priority="3">
      <formula>LEN(TRIM(A3))&gt;0</formula>
    </cfRule>
  </conditionalFormatting>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CBF69E-9F1D-44C3-AAF6-207473796E2F}">
  <sheetPr codeName="Sheet36"/>
  <dimension ref="A1:T51"/>
  <sheetViews>
    <sheetView workbookViewId="0">
      <selection activeCell="Q3" sqref="Q3:Q2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8" t="s">
        <v>84</v>
      </c>
    </row>
    <row r="3" spans="1:20" ht="15.95" customHeight="1" x14ac:dyDescent="0.25">
      <c r="A3" s="16" t="s">
        <v>427</v>
      </c>
      <c r="B3" s="16" t="str">
        <f>TRIM(_xlfn.TEXTBEFORE(A3, ":"))</f>
        <v>Item Class</v>
      </c>
      <c r="C3" s="17" t="s">
        <v>1798</v>
      </c>
      <c r="D3" s="16" t="str">
        <f>TRIM(_xlfn.TEXTBEFORE(C3, ":"))</f>
        <v>Gegenstandsklasse</v>
      </c>
      <c r="E3" s="17" t="s">
        <v>2517</v>
      </c>
      <c r="F3" s="16" t="str">
        <f>TRIM(_xlfn.TEXTBEFORE(E3, ":"))</f>
        <v>Clase de objeto</v>
      </c>
      <c r="G3" s="17" t="s">
        <v>1065</v>
      </c>
      <c r="H3" s="16" t="str">
        <f>TRIM(_xlfn.TEXTBEFORE(G3, ":"))</f>
        <v>Classe d'objet</v>
      </c>
      <c r="I3" s="17" t="s">
        <v>3237</v>
      </c>
      <c r="J3" s="16" t="str">
        <f>TRIM(_xlfn.TEXTBEFORE(I3, ":"))</f>
        <v>アイテムクラス</v>
      </c>
      <c r="K3" s="17" t="s">
        <v>3983</v>
      </c>
      <c r="L3" s="16" t="str">
        <f>TRIM(_xlfn.TEXTBEFORE(K3, ":"))</f>
        <v>아이템 종류</v>
      </c>
      <c r="M3" s="17" t="s">
        <v>4710</v>
      </c>
      <c r="N3" s="16" t="str">
        <f>TRIM(_xlfn.TEXTBEFORE(M3, ":"))</f>
        <v>Classe do Item</v>
      </c>
      <c r="O3" s="17" t="s">
        <v>5397</v>
      </c>
      <c r="P3" s="16" t="str">
        <f>TRIM(_xlfn.TEXTBEFORE(O3, ":"))</f>
        <v>Класс предмета</v>
      </c>
      <c r="Q3" s="17" t="s">
        <v>6120</v>
      </c>
      <c r="R3" s="16" t="str">
        <f>TRIM(_xlfn.TEXTBEFORE(Q3, ":"))</f>
        <v>ชนิดไอเทม</v>
      </c>
      <c r="S3" s="17"/>
      <c r="T3" s="20" t="e">
        <f>TRIM(_xlfn.TEXTBEFORE(S3, ":"))</f>
        <v>#N/A</v>
      </c>
    </row>
    <row r="4" spans="1:20" ht="15.95" customHeight="1" x14ac:dyDescent="0.25">
      <c r="A4" s="18" t="s">
        <v>470</v>
      </c>
      <c r="B4" s="16" t="str">
        <f>TRIM(_xlfn.TEXTAFTER(A3, ":"))</f>
        <v>Body Armours</v>
      </c>
      <c r="C4" s="18" t="s">
        <v>1681</v>
      </c>
      <c r="D4" s="16" t="str">
        <f>TRIM(_xlfn.TEXTAFTER(C3, ":"))</f>
        <v>Körperrüstungen</v>
      </c>
      <c r="E4" s="18" t="s">
        <v>2400</v>
      </c>
      <c r="F4" s="16" t="str">
        <f>TRIM(_xlfn.TEXTAFTER(E3, ":"))</f>
        <v>Armaduras corporales</v>
      </c>
      <c r="G4" s="18" t="s">
        <v>948</v>
      </c>
      <c r="H4" s="16" t="str">
        <f>TRIM(_xlfn.TEXTAFTER(G3, ":"))</f>
        <v>Armures</v>
      </c>
      <c r="I4" s="18" t="s">
        <v>3118</v>
      </c>
      <c r="J4" s="16" t="str">
        <f>TRIM(_xlfn.TEXTAFTER(I3, ":"))</f>
        <v>鎧</v>
      </c>
      <c r="K4" s="18" t="s">
        <v>3865</v>
      </c>
      <c r="L4" s="16" t="str">
        <f>TRIM(_xlfn.TEXTAFTER(K3, ":"))</f>
        <v>갑옷</v>
      </c>
      <c r="M4" s="18" t="s">
        <v>4595</v>
      </c>
      <c r="N4" s="16" t="str">
        <f>TRIM(_xlfn.TEXTAFTER(M3, ":"))</f>
        <v>Peitorais</v>
      </c>
      <c r="O4" s="18" t="s">
        <v>5278</v>
      </c>
      <c r="P4" s="16" t="str">
        <f>TRIM(_xlfn.TEXTAFTER(O3, ":"))</f>
        <v>Доспехи</v>
      </c>
      <c r="Q4" s="18" t="s">
        <v>6012</v>
      </c>
      <c r="R4" s="16" t="str">
        <f>TRIM(_xlfn.TEXTAFTER(Q3, ":"))</f>
        <v>เสื้อเกราะ</v>
      </c>
      <c r="S4" s="18"/>
      <c r="T4" s="20" t="e">
        <f>TRIM(_xlfn.TEXTAFTER(S3, ":"))</f>
        <v>#N/A</v>
      </c>
    </row>
    <row r="5" spans="1:20" ht="15.95" customHeight="1" x14ac:dyDescent="0.25">
      <c r="A5" s="18" t="s">
        <v>767</v>
      </c>
      <c r="B5" s="16" t="str">
        <f>TRIM(_xlfn.TEXTBEFORE(A4, ":"))</f>
        <v>Rarity</v>
      </c>
      <c r="C5" s="18" t="s">
        <v>1903</v>
      </c>
      <c r="D5" s="16" t="str">
        <f>TRIM(_xlfn.TEXTBEFORE(C4, ":"))</f>
        <v>Seltenheit</v>
      </c>
      <c r="E5" s="18" t="s">
        <v>2622</v>
      </c>
      <c r="F5" s="16" t="str">
        <f>TRIM(_xlfn.TEXTBEFORE(E4, ":"))</f>
        <v>Rareza</v>
      </c>
      <c r="G5" s="18" t="s">
        <v>1165</v>
      </c>
      <c r="H5" s="16" t="str">
        <f>TRIM(_xlfn.TEXTBEFORE(G4, ":"))</f>
        <v>Rareté</v>
      </c>
      <c r="I5" s="18" t="s">
        <v>3348</v>
      </c>
      <c r="J5" s="16" t="str">
        <f>TRIM(_xlfn.TEXTBEFORE(I4, ":"))</f>
        <v>レアリティ</v>
      </c>
      <c r="K5" s="18" t="s">
        <v>4093</v>
      </c>
      <c r="L5" s="16" t="str">
        <f>TRIM(_xlfn.TEXTBEFORE(K4, ":"))</f>
        <v>아이템 희귀도</v>
      </c>
      <c r="M5" s="18" t="s">
        <v>4808</v>
      </c>
      <c r="N5" s="16" t="str">
        <f>TRIM(_xlfn.TEXTBEFORE(M4, ":"))</f>
        <v>Raridade</v>
      </c>
      <c r="O5" s="18" t="s">
        <v>5507</v>
      </c>
      <c r="P5" s="16" t="str">
        <f>TRIM(_xlfn.TEXTBEFORE(O4, ":"))</f>
        <v>Редкость</v>
      </c>
      <c r="Q5" s="18" t="s">
        <v>767</v>
      </c>
      <c r="R5" s="16" t="str">
        <f>TRIM(_xlfn.TEXTBEFORE(Q4, ":"))</f>
        <v>ความหายาก</v>
      </c>
      <c r="S5" s="18"/>
      <c r="T5" s="20"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e">
        <f>TRIM(_xlfn.TEXTAFTER(S4,":"))</f>
        <v>#N/A</v>
      </c>
    </row>
    <row r="7" spans="1:20" ht="15.95" customHeight="1" x14ac:dyDescent="0.25">
      <c r="A7" s="18" t="s">
        <v>768</v>
      </c>
      <c r="B7" s="16"/>
      <c r="C7" s="18" t="s">
        <v>1904</v>
      </c>
      <c r="D7" s="16"/>
      <c r="E7" s="18" t="s">
        <v>2623</v>
      </c>
      <c r="F7" s="16"/>
      <c r="G7" s="18" t="s">
        <v>1166</v>
      </c>
      <c r="H7" s="16"/>
      <c r="I7" s="18" t="s">
        <v>3349</v>
      </c>
      <c r="J7" s="16"/>
      <c r="K7" s="18" t="s">
        <v>4094</v>
      </c>
      <c r="L7" s="16"/>
      <c r="M7" s="18" t="s">
        <v>4809</v>
      </c>
      <c r="N7" s="16"/>
      <c r="O7" s="18" t="s">
        <v>5508</v>
      </c>
      <c r="P7" s="16"/>
      <c r="Q7" s="18" t="s">
        <v>6204</v>
      </c>
      <c r="R7" s="16"/>
      <c r="S7" s="18"/>
      <c r="T7" s="20"/>
    </row>
    <row r="8" spans="1:20" ht="15.95" customHeight="1" x14ac:dyDescent="0.25">
      <c r="A8" s="18" t="s">
        <v>769</v>
      </c>
      <c r="B8" s="16"/>
      <c r="C8" s="18" t="s">
        <v>1905</v>
      </c>
      <c r="D8" s="16"/>
      <c r="E8" s="18" t="s">
        <v>2624</v>
      </c>
      <c r="F8" s="16"/>
      <c r="G8" s="18" t="s">
        <v>1167</v>
      </c>
      <c r="H8" s="16"/>
      <c r="I8" s="18" t="s">
        <v>3350</v>
      </c>
      <c r="J8" s="16"/>
      <c r="K8" s="18" t="s">
        <v>4095</v>
      </c>
      <c r="L8" s="16"/>
      <c r="M8" s="18" t="s">
        <v>2624</v>
      </c>
      <c r="N8" s="16"/>
      <c r="O8" s="18" t="s">
        <v>5509</v>
      </c>
      <c r="P8" s="16"/>
      <c r="Q8" s="18" t="s">
        <v>6205</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81</v>
      </c>
      <c r="B10" s="16"/>
      <c r="C10" s="18" t="s">
        <v>1589</v>
      </c>
      <c r="D10" s="16"/>
      <c r="E10" s="18" t="s">
        <v>2308</v>
      </c>
      <c r="F10" s="16"/>
      <c r="G10" s="18" t="s">
        <v>5</v>
      </c>
      <c r="H10" s="16"/>
      <c r="I10" s="18" t="s">
        <v>3018</v>
      </c>
      <c r="J10" s="16"/>
      <c r="K10" s="18" t="s">
        <v>3772</v>
      </c>
      <c r="L10" s="16"/>
      <c r="M10" s="18" t="s">
        <v>2308</v>
      </c>
      <c r="N10" s="16"/>
      <c r="O10" s="18" t="s">
        <v>5183</v>
      </c>
      <c r="P10" s="16"/>
      <c r="Q10" s="18" t="s">
        <v>5928</v>
      </c>
      <c r="R10" s="16"/>
      <c r="S10" s="18"/>
      <c r="T10" s="20"/>
    </row>
    <row r="11" spans="1:20" ht="15.95" customHeight="1" x14ac:dyDescent="0.25">
      <c r="A11" s="18" t="s">
        <v>107</v>
      </c>
      <c r="B11" s="16"/>
      <c r="C11" s="18" t="s">
        <v>1590</v>
      </c>
      <c r="D11" s="16"/>
      <c r="E11" s="18" t="s">
        <v>2337</v>
      </c>
      <c r="F11" s="16"/>
      <c r="G11" s="18" t="s">
        <v>864</v>
      </c>
      <c r="H11" s="16"/>
      <c r="I11" s="18" t="s">
        <v>3051</v>
      </c>
      <c r="J11" s="16"/>
      <c r="K11" s="18" t="s">
        <v>3802</v>
      </c>
      <c r="L11" s="16"/>
      <c r="M11" s="18" t="s">
        <v>4530</v>
      </c>
      <c r="N11" s="16"/>
      <c r="O11" s="18" t="s">
        <v>5213</v>
      </c>
      <c r="P11" s="16"/>
      <c r="Q11" s="18" t="s">
        <v>5955</v>
      </c>
      <c r="R11" s="16"/>
      <c r="S11" s="18"/>
      <c r="T11" s="20"/>
    </row>
    <row r="12" spans="1:20" ht="15.95" customHeight="1" x14ac:dyDescent="0.25">
      <c r="A12" s="18" t="s">
        <v>770</v>
      </c>
      <c r="B12" s="16"/>
      <c r="C12" s="18" t="s">
        <v>770</v>
      </c>
      <c r="D12" s="16"/>
      <c r="E12" s="18" t="s">
        <v>2625</v>
      </c>
      <c r="F12" s="16"/>
      <c r="G12" s="18" t="s">
        <v>1168</v>
      </c>
      <c r="H12" s="16"/>
      <c r="I12" s="18" t="s">
        <v>3351</v>
      </c>
      <c r="J12" s="16"/>
      <c r="K12" s="18" t="s">
        <v>4096</v>
      </c>
      <c r="L12" s="16"/>
      <c r="M12" s="18" t="s">
        <v>1168</v>
      </c>
      <c r="N12" s="16"/>
      <c r="O12" s="18" t="s">
        <v>5510</v>
      </c>
      <c r="P12" s="16"/>
      <c r="Q12" s="18" t="s">
        <v>770</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771</v>
      </c>
      <c r="B14" s="16"/>
      <c r="C14" s="18" t="s">
        <v>1906</v>
      </c>
      <c r="D14" s="16"/>
      <c r="E14" s="18" t="s">
        <v>2626</v>
      </c>
      <c r="F14" s="16"/>
      <c r="G14" s="18" t="s">
        <v>1169</v>
      </c>
      <c r="H14" s="16"/>
      <c r="I14" s="18" t="s">
        <v>3352</v>
      </c>
      <c r="J14" s="16"/>
      <c r="K14" s="18" t="s">
        <v>4097</v>
      </c>
      <c r="L14" s="16"/>
      <c r="M14" s="18" t="s">
        <v>4810</v>
      </c>
      <c r="N14" s="16"/>
      <c r="O14" s="18" t="s">
        <v>5511</v>
      </c>
      <c r="P14" s="16"/>
      <c r="Q14" s="18" t="s">
        <v>6206</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772</v>
      </c>
      <c r="B16" s="16"/>
      <c r="C16" s="18" t="s">
        <v>1907</v>
      </c>
      <c r="D16" s="16"/>
      <c r="E16" s="18" t="s">
        <v>2627</v>
      </c>
      <c r="F16" s="16"/>
      <c r="G16" s="18" t="s">
        <v>1170</v>
      </c>
      <c r="H16" s="16"/>
      <c r="I16" s="18" t="s">
        <v>3353</v>
      </c>
      <c r="J16" s="16"/>
      <c r="K16" s="18" t="s">
        <v>4098</v>
      </c>
      <c r="L16" s="16"/>
      <c r="M16" s="18" t="s">
        <v>4811</v>
      </c>
      <c r="N16" s="16"/>
      <c r="O16" s="18" t="s">
        <v>5512</v>
      </c>
      <c r="P16" s="16"/>
      <c r="Q16" s="18" t="s">
        <v>6207</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773</v>
      </c>
      <c r="B18" s="16"/>
      <c r="C18" s="18" t="s">
        <v>1901</v>
      </c>
      <c r="D18" s="16"/>
      <c r="E18" s="18" t="s">
        <v>2620</v>
      </c>
      <c r="F18" s="16"/>
      <c r="G18" s="18" t="s">
        <v>1163</v>
      </c>
      <c r="H18" s="16"/>
      <c r="I18" s="18" t="s">
        <v>3346</v>
      </c>
      <c r="J18" s="16"/>
      <c r="K18" s="18" t="s">
        <v>4091</v>
      </c>
      <c r="L18" s="16"/>
      <c r="M18" s="18" t="s">
        <v>4806</v>
      </c>
      <c r="N18" s="16"/>
      <c r="O18" s="18" t="s">
        <v>5505</v>
      </c>
      <c r="P18" s="16"/>
      <c r="Q18" s="18" t="s">
        <v>6202</v>
      </c>
      <c r="R18" s="16"/>
      <c r="S18" s="18"/>
      <c r="T18" s="20"/>
    </row>
    <row r="19" spans="1:20" ht="15.95" customHeight="1" x14ac:dyDescent="0.25">
      <c r="A19" s="18" t="s">
        <v>774</v>
      </c>
      <c r="B19" s="16"/>
      <c r="C19" s="18" t="s">
        <v>1908</v>
      </c>
      <c r="D19" s="16"/>
      <c r="E19" s="18" t="s">
        <v>2628</v>
      </c>
      <c r="F19" s="16"/>
      <c r="G19" s="18" t="s">
        <v>1171</v>
      </c>
      <c r="H19" s="16"/>
      <c r="I19" s="18" t="s">
        <v>3354</v>
      </c>
      <c r="J19" s="16"/>
      <c r="K19" s="18" t="s">
        <v>4099</v>
      </c>
      <c r="L19" s="16"/>
      <c r="M19" s="18" t="s">
        <v>4812</v>
      </c>
      <c r="N19" s="16"/>
      <c r="O19" s="18" t="s">
        <v>5513</v>
      </c>
      <c r="P19" s="16"/>
      <c r="Q19" s="18" t="s">
        <v>6208</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775</v>
      </c>
      <c r="B21" s="16"/>
      <c r="C21" s="18" t="s">
        <v>1909</v>
      </c>
      <c r="D21" s="16"/>
      <c r="E21" s="18" t="s">
        <v>2629</v>
      </c>
      <c r="F21" s="16"/>
      <c r="G21" s="18" t="s">
        <v>1172</v>
      </c>
      <c r="H21" s="16"/>
      <c r="I21" s="18" t="s">
        <v>3355</v>
      </c>
      <c r="J21" s="16"/>
      <c r="K21" s="18" t="s">
        <v>4100</v>
      </c>
      <c r="L21" s="16"/>
      <c r="M21" s="18" t="s">
        <v>4813</v>
      </c>
      <c r="N21" s="16"/>
      <c r="O21" s="18" t="s">
        <v>5514</v>
      </c>
      <c r="P21" s="16"/>
      <c r="Q21" s="18" t="s">
        <v>6209</v>
      </c>
      <c r="R21" s="16"/>
      <c r="S21" s="18"/>
      <c r="T21" s="20"/>
    </row>
    <row r="22" spans="1:20" ht="15.95" customHeight="1" x14ac:dyDescent="0.25">
      <c r="A22" s="18" t="s">
        <v>776</v>
      </c>
      <c r="B22" s="16"/>
      <c r="C22" s="18" t="s">
        <v>1910</v>
      </c>
      <c r="D22" s="16"/>
      <c r="E22" s="18" t="s">
        <v>2630</v>
      </c>
      <c r="F22" s="16"/>
      <c r="G22" s="18" t="s">
        <v>1173</v>
      </c>
      <c r="H22" s="16"/>
      <c r="I22" s="18" t="s">
        <v>3356</v>
      </c>
      <c r="J22" s="16"/>
      <c r="K22" s="18" t="s">
        <v>4101</v>
      </c>
      <c r="L22" s="16"/>
      <c r="M22" s="18" t="s">
        <v>4814</v>
      </c>
      <c r="N22" s="16"/>
      <c r="O22" s="18" t="s">
        <v>5515</v>
      </c>
      <c r="P22" s="16"/>
      <c r="Q22" s="18" t="s">
        <v>6210</v>
      </c>
      <c r="R22" s="16"/>
      <c r="S22" s="18"/>
      <c r="T22" s="20"/>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0"/>
    </row>
    <row r="24" spans="1:20" ht="15.95" customHeight="1" x14ac:dyDescent="0.25">
      <c r="A24" s="18" t="s">
        <v>777</v>
      </c>
      <c r="B24" s="16" t="str">
        <f>A24</f>
        <v>Warlord Item</v>
      </c>
      <c r="C24" s="18" t="s">
        <v>1911</v>
      </c>
      <c r="D24" s="16" t="str">
        <f>C24</f>
        <v>Kriegsfürst-Gegenstand</v>
      </c>
      <c r="E24" s="18" t="s">
        <v>2631</v>
      </c>
      <c r="F24" s="16" t="str">
        <f>E24</f>
        <v>Objeto del Jefe de guerra</v>
      </c>
      <c r="G24" s="18" t="s">
        <v>1174</v>
      </c>
      <c r="H24" s="16" t="str">
        <f>G24</f>
        <v>Objet du Seigneur de guerre</v>
      </c>
      <c r="I24" s="18" t="s">
        <v>3357</v>
      </c>
      <c r="J24" s="16" t="str">
        <f>I24</f>
        <v>ウォーロードアイテム</v>
      </c>
      <c r="K24" s="18" t="s">
        <v>4102</v>
      </c>
      <c r="L24" s="16" t="str">
        <f>K24</f>
        <v>전쟁군주 아이템</v>
      </c>
      <c r="M24" s="18" t="s">
        <v>4815</v>
      </c>
      <c r="N24" s="16" t="str">
        <f>M24</f>
        <v>Item do Senhor da Guerra</v>
      </c>
      <c r="O24" s="18" t="s">
        <v>5516</v>
      </c>
      <c r="P24" s="16" t="str">
        <f>O24</f>
        <v>Предмет Вождя</v>
      </c>
      <c r="Q24" s="18" t="s">
        <v>6211</v>
      </c>
      <c r="R24" s="16" t="str">
        <f>Q24</f>
        <v>ไอเทมผู้พิชิตศึก</v>
      </c>
      <c r="S24" s="18"/>
      <c r="T24" s="16">
        <f>S24</f>
        <v>0</v>
      </c>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88" priority="2" stopIfTrue="1">
      <formula>NOT(ISERROR(A3))</formula>
    </cfRule>
  </conditionalFormatting>
  <conditionalFormatting sqref="A3:T51">
    <cfRule type="containsErrors" dxfId="287" priority="1" stopIfTrue="1">
      <formula>ISERROR(A3)</formula>
    </cfRule>
    <cfRule type="notContainsBlanks" dxfId="286" priority="3">
      <formula>LEN(TRIM(A3))&gt;0</formula>
    </cfRule>
  </conditionalFormatting>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9C3F6E-4E93-4BC2-BEA7-E4F6E512C902}">
  <sheetPr codeName="Sheet37"/>
  <dimension ref="A1:T51"/>
  <sheetViews>
    <sheetView workbookViewId="0">
      <selection activeCell="Q3" sqref="Q3:Q2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8" t="s">
        <v>84</v>
      </c>
    </row>
    <row r="3" spans="1:20" ht="15.95" customHeight="1" x14ac:dyDescent="0.25">
      <c r="A3" s="17" t="s">
        <v>829</v>
      </c>
      <c r="B3" s="16" t="str">
        <f>TRIM(_xlfn.TEXTBEFORE(A3, ":"))</f>
        <v>Item Class</v>
      </c>
      <c r="C3" s="17" t="s">
        <v>1912</v>
      </c>
      <c r="D3" s="16" t="str">
        <f>TRIM(_xlfn.TEXTBEFORE(C3, ":"))</f>
        <v>Gegenstandsklasse</v>
      </c>
      <c r="E3" s="17" t="s">
        <v>2632</v>
      </c>
      <c r="F3" s="16" t="str">
        <f>TRIM(_xlfn.TEXTBEFORE(E3, ":"))</f>
        <v>Clase de objeto</v>
      </c>
      <c r="G3" s="17" t="s">
        <v>1175</v>
      </c>
      <c r="H3" s="16" t="str">
        <f>TRIM(_xlfn.TEXTBEFORE(G3, ":"))</f>
        <v>Classe d'objet</v>
      </c>
      <c r="I3" s="17" t="s">
        <v>3358</v>
      </c>
      <c r="J3" s="16" t="str">
        <f>TRIM(_xlfn.TEXTBEFORE(I3, ":"))</f>
        <v>アイテムクラス</v>
      </c>
      <c r="K3" s="17" t="s">
        <v>4103</v>
      </c>
      <c r="L3" s="16" t="str">
        <f>TRIM(_xlfn.TEXTBEFORE(K3, ":"))</f>
        <v>아이템 종류</v>
      </c>
      <c r="M3" s="17" t="s">
        <v>4816</v>
      </c>
      <c r="N3" s="16" t="str">
        <f>TRIM(_xlfn.TEXTBEFORE(M3, ":"))</f>
        <v>Classe do Item</v>
      </c>
      <c r="O3" s="17" t="s">
        <v>5517</v>
      </c>
      <c r="P3" s="16" t="str">
        <f>TRIM(_xlfn.TEXTBEFORE(O3, ":"))</f>
        <v>Класс предмета</v>
      </c>
      <c r="Q3" s="17" t="s">
        <v>6212</v>
      </c>
      <c r="R3" s="16" t="str">
        <f>TRIM(_xlfn.TEXTBEFORE(Q3, ":"))</f>
        <v>ชนิดไอเทม</v>
      </c>
      <c r="S3" s="17"/>
      <c r="T3" s="20" t="e">
        <f>TRIM(_xlfn.TEXTBEFORE(S3, ":"))</f>
        <v>#N/A</v>
      </c>
    </row>
    <row r="4" spans="1:20" ht="15.95" customHeight="1" x14ac:dyDescent="0.25">
      <c r="A4" s="18" t="s">
        <v>484</v>
      </c>
      <c r="B4" s="16" t="str">
        <f>TRIM(_xlfn.TEXTAFTER(A3, ":"))</f>
        <v>Abyss Jewels</v>
      </c>
      <c r="C4" s="18" t="s">
        <v>1850</v>
      </c>
      <c r="D4" s="16" t="str">
        <f>TRIM(_xlfn.TEXTAFTER(C3, ":"))</f>
        <v>Abgrund-Juwelen</v>
      </c>
      <c r="E4" s="18" t="s">
        <v>2568</v>
      </c>
      <c r="F4" s="16" t="str">
        <f>TRIM(_xlfn.TEXTAFTER(E3, ":"))</f>
        <v>Joyas de abismo</v>
      </c>
      <c r="G4" s="18" t="s">
        <v>1113</v>
      </c>
      <c r="H4" s="16" t="str">
        <f>TRIM(_xlfn.TEXTAFTER(G3, ":"))</f>
        <v>Joyaux abyssaux</v>
      </c>
      <c r="I4" s="18" t="s">
        <v>3292</v>
      </c>
      <c r="J4" s="16" t="str">
        <f>TRIM(_xlfn.TEXTAFTER(I3, ":"))</f>
        <v>アビスジュエル</v>
      </c>
      <c r="K4" s="18" t="s">
        <v>4037</v>
      </c>
      <c r="L4" s="16" t="str">
        <f>TRIM(_xlfn.TEXTAFTER(K3, ":"))</f>
        <v>심연 주얼</v>
      </c>
      <c r="M4" s="18" t="s">
        <v>4758</v>
      </c>
      <c r="N4" s="16" t="str">
        <f>TRIM(_xlfn.TEXTAFTER(M3, ":"))</f>
        <v>Joias Abissais</v>
      </c>
      <c r="O4" s="18" t="s">
        <v>5451</v>
      </c>
      <c r="P4" s="16" t="str">
        <f>TRIM(_xlfn.TEXTAFTER(O3, ":"))</f>
        <v>Самоцветы Бездны</v>
      </c>
      <c r="Q4" s="18" t="s">
        <v>6162</v>
      </c>
      <c r="R4" s="16" t="str">
        <f>TRIM(_xlfn.TEXTAFTER(Q3, ":"))</f>
        <v>จิวเวลอะบิส</v>
      </c>
      <c r="S4" s="18"/>
      <c r="T4" s="20" t="e">
        <f>TRIM(_xlfn.TEXTAFTER(S3, ":"))</f>
        <v>#N/A</v>
      </c>
    </row>
    <row r="5" spans="1:20" ht="15.95" customHeight="1" x14ac:dyDescent="0.25">
      <c r="A5" s="18" t="s">
        <v>830</v>
      </c>
      <c r="B5" s="16" t="str">
        <f>TRIM(_xlfn.TEXTBEFORE(A4, ":"))</f>
        <v>Rarity</v>
      </c>
      <c r="C5" s="18" t="s">
        <v>1913</v>
      </c>
      <c r="D5" s="16" t="str">
        <f>TRIM(_xlfn.TEXTBEFORE(C4, ":"))</f>
        <v>Seltenheit</v>
      </c>
      <c r="E5" s="18" t="s">
        <v>2633</v>
      </c>
      <c r="F5" s="16" t="str">
        <f>TRIM(_xlfn.TEXTBEFORE(E4, ":"))</f>
        <v>Rareza</v>
      </c>
      <c r="G5" s="18" t="s">
        <v>1176</v>
      </c>
      <c r="H5" s="16" t="str">
        <f>TRIM(_xlfn.TEXTBEFORE(G4, ":"))</f>
        <v>Rareté</v>
      </c>
      <c r="I5" s="18" t="s">
        <v>3359</v>
      </c>
      <c r="J5" s="16" t="str">
        <f>TRIM(_xlfn.TEXTBEFORE(I4, ":"))</f>
        <v>レアリティ</v>
      </c>
      <c r="K5" s="18" t="s">
        <v>4104</v>
      </c>
      <c r="L5" s="16" t="str">
        <f>TRIM(_xlfn.TEXTBEFORE(K4, ":"))</f>
        <v>아이템 희귀도</v>
      </c>
      <c r="M5" s="18" t="s">
        <v>4817</v>
      </c>
      <c r="N5" s="16" t="str">
        <f>TRIM(_xlfn.TEXTBEFORE(M4, ":"))</f>
        <v>Raridade</v>
      </c>
      <c r="O5" s="18" t="s">
        <v>5518</v>
      </c>
      <c r="P5" s="16" t="str">
        <f>TRIM(_xlfn.TEXTBEFORE(O4, ":"))</f>
        <v>Редкость</v>
      </c>
      <c r="Q5" s="18" t="s">
        <v>830</v>
      </c>
      <c r="R5" s="16" t="str">
        <f>TRIM(_xlfn.TEXTBEFORE(Q4, ":"))</f>
        <v>ความหายาก</v>
      </c>
      <c r="S5" s="18"/>
      <c r="T5" s="20" t="e">
        <f>TRIM(_xlfn.TEXTBEFORE(S4, ":"))</f>
        <v>#N/A</v>
      </c>
    </row>
    <row r="6" spans="1:20" ht="15.95" customHeight="1" x14ac:dyDescent="0.25">
      <c r="A6" s="18" t="s">
        <v>831</v>
      </c>
      <c r="B6" s="16" t="str">
        <f>TRIM(_xlfn.TEXTAFTER(A4,":"))</f>
        <v>Rare</v>
      </c>
      <c r="C6" s="18" t="s">
        <v>1914</v>
      </c>
      <c r="D6" s="16" t="str">
        <f>TRIM(_xlfn.TEXTAFTER(C4,":"))</f>
        <v>Selten</v>
      </c>
      <c r="E6" s="18" t="s">
        <v>2634</v>
      </c>
      <c r="F6" s="16" t="str">
        <f>TRIM(_xlfn.TEXTAFTER(E4,":"))</f>
        <v>Raro</v>
      </c>
      <c r="G6" s="18" t="s">
        <v>1177</v>
      </c>
      <c r="H6" s="16" t="str">
        <f>TRIM(_xlfn.TEXTAFTER(G4,":"))</f>
        <v>Rare</v>
      </c>
      <c r="I6" s="18" t="s">
        <v>3360</v>
      </c>
      <c r="J6" s="16" t="str">
        <f>TRIM(_xlfn.TEXTAFTER(I4,":"))</f>
        <v>レア</v>
      </c>
      <c r="K6" s="18" t="s">
        <v>4105</v>
      </c>
      <c r="L6" s="16" t="str">
        <f>TRIM(_xlfn.TEXTAFTER(K4,":"))</f>
        <v>희귀</v>
      </c>
      <c r="M6" s="18" t="s">
        <v>4818</v>
      </c>
      <c r="N6" s="16" t="str">
        <f>TRIM(_xlfn.TEXTAFTER(M4,":"))</f>
        <v>Raro</v>
      </c>
      <c r="O6" s="18" t="s">
        <v>5519</v>
      </c>
      <c r="P6" s="16" t="str">
        <f>TRIM(_xlfn.TEXTAFTER(O4,":"))</f>
        <v>Редкий</v>
      </c>
      <c r="Q6" s="18" t="s">
        <v>831</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832</v>
      </c>
      <c r="B8" s="16"/>
      <c r="C8" s="18" t="s">
        <v>1915</v>
      </c>
      <c r="D8" s="16"/>
      <c r="E8" s="18" t="s">
        <v>2635</v>
      </c>
      <c r="F8" s="16"/>
      <c r="G8" s="18" t="s">
        <v>1178</v>
      </c>
      <c r="H8" s="16"/>
      <c r="I8" s="18" t="s">
        <v>3361</v>
      </c>
      <c r="J8" s="16"/>
      <c r="K8" s="18" t="s">
        <v>4106</v>
      </c>
      <c r="L8" s="16"/>
      <c r="M8" s="18" t="s">
        <v>4819</v>
      </c>
      <c r="N8" s="16"/>
      <c r="O8" s="18" t="s">
        <v>5384</v>
      </c>
      <c r="P8" s="16"/>
      <c r="Q8" s="18" t="s">
        <v>6213</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81</v>
      </c>
      <c r="B10" s="16"/>
      <c r="C10" s="18" t="s">
        <v>1589</v>
      </c>
      <c r="D10" s="16"/>
      <c r="E10" s="18" t="s">
        <v>2308</v>
      </c>
      <c r="F10" s="16"/>
      <c r="G10" s="18" t="s">
        <v>5</v>
      </c>
      <c r="H10" s="16"/>
      <c r="I10" s="18" t="s">
        <v>3018</v>
      </c>
      <c r="J10" s="16"/>
      <c r="K10" s="18" t="s">
        <v>3772</v>
      </c>
      <c r="L10" s="16"/>
      <c r="M10" s="18" t="s">
        <v>2308</v>
      </c>
      <c r="N10" s="16"/>
      <c r="O10" s="18" t="s">
        <v>5183</v>
      </c>
      <c r="P10" s="16"/>
      <c r="Q10" s="18" t="s">
        <v>5928</v>
      </c>
      <c r="R10" s="16"/>
      <c r="S10" s="18"/>
      <c r="T10" s="20"/>
    </row>
    <row r="11" spans="1:20" ht="15.95" customHeight="1" x14ac:dyDescent="0.25">
      <c r="A11" s="18" t="s">
        <v>446</v>
      </c>
      <c r="B11" s="16"/>
      <c r="C11" s="18" t="s">
        <v>1788</v>
      </c>
      <c r="D11" s="16"/>
      <c r="E11" s="18" t="s">
        <v>2507</v>
      </c>
      <c r="F11" s="16"/>
      <c r="G11" s="18" t="s">
        <v>1056</v>
      </c>
      <c r="H11" s="16"/>
      <c r="I11" s="18" t="s">
        <v>3227</v>
      </c>
      <c r="J11" s="16"/>
      <c r="K11" s="18" t="s">
        <v>3973</v>
      </c>
      <c r="L11" s="16"/>
      <c r="M11" s="18" t="s">
        <v>4700</v>
      </c>
      <c r="N11" s="16"/>
      <c r="O11" s="18" t="s">
        <v>5387</v>
      </c>
      <c r="P11" s="16"/>
      <c r="Q11" s="18" t="s">
        <v>6110</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254</v>
      </c>
      <c r="B13" s="16"/>
      <c r="C13" s="18" t="s">
        <v>1730</v>
      </c>
      <c r="D13" s="16"/>
      <c r="E13" s="18" t="s">
        <v>2449</v>
      </c>
      <c r="F13" s="16"/>
      <c r="G13" s="18" t="s">
        <v>998</v>
      </c>
      <c r="H13" s="16"/>
      <c r="I13" s="18" t="s">
        <v>3167</v>
      </c>
      <c r="J13" s="16"/>
      <c r="K13" s="18" t="s">
        <v>3914</v>
      </c>
      <c r="L13" s="16"/>
      <c r="M13" s="18" t="s">
        <v>4643</v>
      </c>
      <c r="N13" s="16"/>
      <c r="O13" s="18" t="s">
        <v>5328</v>
      </c>
      <c r="P13" s="16"/>
      <c r="Q13" s="18" t="s">
        <v>6060</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833</v>
      </c>
      <c r="B15" s="16"/>
      <c r="C15" s="18" t="s">
        <v>1916</v>
      </c>
      <c r="D15" s="16"/>
      <c r="E15" s="18" t="s">
        <v>2636</v>
      </c>
      <c r="F15" s="16"/>
      <c r="G15" s="18" t="s">
        <v>1179</v>
      </c>
      <c r="H15" s="16"/>
      <c r="I15" s="18" t="s">
        <v>3362</v>
      </c>
      <c r="J15" s="16"/>
      <c r="K15" s="18" t="s">
        <v>4107</v>
      </c>
      <c r="L15" s="16"/>
      <c r="M15" s="18" t="s">
        <v>4820</v>
      </c>
      <c r="N15" s="16"/>
      <c r="O15" s="18" t="s">
        <v>5520</v>
      </c>
      <c r="P15" s="16"/>
      <c r="Q15" s="18" t="s">
        <v>6214</v>
      </c>
      <c r="R15" s="16"/>
      <c r="S15" s="18"/>
      <c r="T15" s="20"/>
    </row>
    <row r="16" spans="1:20" ht="15.95" customHeight="1" x14ac:dyDescent="0.25">
      <c r="A16" s="18" t="s">
        <v>834</v>
      </c>
      <c r="B16" s="16"/>
      <c r="C16" s="18" t="s">
        <v>1917</v>
      </c>
      <c r="D16" s="16"/>
      <c r="E16" s="18" t="s">
        <v>2637</v>
      </c>
      <c r="F16" s="16"/>
      <c r="G16" s="18" t="s">
        <v>1180</v>
      </c>
      <c r="H16" s="16"/>
      <c r="I16" s="18" t="s">
        <v>3363</v>
      </c>
      <c r="J16" s="16"/>
      <c r="K16" s="18" t="s">
        <v>4108</v>
      </c>
      <c r="L16" s="16"/>
      <c r="M16" s="18" t="s">
        <v>4821</v>
      </c>
      <c r="N16" s="16"/>
      <c r="O16" s="18" t="s">
        <v>5521</v>
      </c>
      <c r="P16" s="16"/>
      <c r="Q16" s="18" t="s">
        <v>6215</v>
      </c>
      <c r="R16" s="16"/>
      <c r="S16" s="18"/>
      <c r="T16" s="20"/>
    </row>
    <row r="17" spans="1:20" ht="15.95" customHeight="1" x14ac:dyDescent="0.25">
      <c r="A17" s="18" t="s">
        <v>835</v>
      </c>
      <c r="B17" s="16"/>
      <c r="C17" s="18" t="s">
        <v>1918</v>
      </c>
      <c r="D17" s="16"/>
      <c r="E17" s="18" t="s">
        <v>2638</v>
      </c>
      <c r="F17" s="16"/>
      <c r="G17" s="18" t="s">
        <v>1181</v>
      </c>
      <c r="H17" s="16"/>
      <c r="I17" s="18" t="s">
        <v>3364</v>
      </c>
      <c r="J17" s="16"/>
      <c r="K17" s="18" t="s">
        <v>4109</v>
      </c>
      <c r="L17" s="16"/>
      <c r="M17" s="18" t="s">
        <v>4822</v>
      </c>
      <c r="N17" s="16"/>
      <c r="O17" s="18" t="s">
        <v>5522</v>
      </c>
      <c r="P17" s="16"/>
      <c r="Q17" s="18" t="s">
        <v>6216</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836</v>
      </c>
      <c r="B19" s="16"/>
      <c r="C19" s="18" t="s">
        <v>1919</v>
      </c>
      <c r="D19" s="16"/>
      <c r="E19" s="18" t="s">
        <v>2639</v>
      </c>
      <c r="F19" s="16"/>
      <c r="G19" s="18" t="s">
        <v>1182</v>
      </c>
      <c r="H19" s="16"/>
      <c r="I19" s="18" t="s">
        <v>3365</v>
      </c>
      <c r="J19" s="16"/>
      <c r="K19" s="18" t="s">
        <v>4110</v>
      </c>
      <c r="L19" s="16"/>
      <c r="M19" s="18" t="s">
        <v>4823</v>
      </c>
      <c r="N19" s="16"/>
      <c r="O19" s="18" t="s">
        <v>5523</v>
      </c>
      <c r="P19" s="16"/>
      <c r="Q19" s="18" t="s">
        <v>6217</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837</v>
      </c>
      <c r="B21" s="16"/>
      <c r="C21" s="18" t="s">
        <v>1920</v>
      </c>
      <c r="D21" s="16"/>
      <c r="E21" s="18" t="s">
        <v>2640</v>
      </c>
      <c r="F21" s="16"/>
      <c r="G21" s="18" t="s">
        <v>1183</v>
      </c>
      <c r="H21" s="16"/>
      <c r="I21" s="18" t="s">
        <v>3366</v>
      </c>
      <c r="J21" s="16"/>
      <c r="K21" s="18" t="s">
        <v>4111</v>
      </c>
      <c r="L21" s="16"/>
      <c r="M21" s="18" t="s">
        <v>4824</v>
      </c>
      <c r="N21" s="16"/>
      <c r="O21" s="18" t="s">
        <v>5524</v>
      </c>
      <c r="P21" s="16"/>
      <c r="Q21" s="18" t="s">
        <v>6218</v>
      </c>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85" priority="2" stopIfTrue="1">
      <formula>NOT(ISERROR(A3))</formula>
    </cfRule>
  </conditionalFormatting>
  <conditionalFormatting sqref="A3:T51">
    <cfRule type="containsErrors" dxfId="284" priority="1" stopIfTrue="1">
      <formula>ISERROR(A3)</formula>
    </cfRule>
    <cfRule type="notContainsBlanks" dxfId="283" priority="3">
      <formula>LEN(TRIM(A3))&gt;0</formula>
    </cfRule>
  </conditionalFormatting>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51389D-15BE-4C4F-A5EC-901782E31E76}">
  <sheetPr codeName="Sheet38"/>
  <dimension ref="A1:T51"/>
  <sheetViews>
    <sheetView workbookViewId="0"/>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9" t="s">
        <v>84</v>
      </c>
    </row>
    <row r="3" spans="1:20" ht="15.95" customHeight="1" x14ac:dyDescent="0.25">
      <c r="A3" s="17" t="s">
        <v>79</v>
      </c>
      <c r="B3" s="16" t="str">
        <f>TRIM(_xlfn.TEXTBEFORE(A3, ":"))</f>
        <v>Item Class</v>
      </c>
      <c r="C3" s="17" t="s">
        <v>1921</v>
      </c>
      <c r="D3" s="16" t="str">
        <f>TRIM(_xlfn.TEXTBEFORE(C3, ":"))</f>
        <v>Gegenstandsklasse</v>
      </c>
      <c r="E3" s="17" t="s">
        <v>2641</v>
      </c>
      <c r="F3" s="16" t="str">
        <f>TRIM(_xlfn.TEXTBEFORE(E3, ":"))</f>
        <v>Clase de objeto</v>
      </c>
      <c r="G3" s="17" t="s">
        <v>0</v>
      </c>
      <c r="H3" s="16" t="str">
        <f>TRIM(_xlfn.TEXTBEFORE(G3, ":"))</f>
        <v>Classe d'objet</v>
      </c>
      <c r="I3" s="17" t="s">
        <v>3367</v>
      </c>
      <c r="J3" s="16" t="str">
        <f>TRIM(_xlfn.TEXTBEFORE(I3, ":"))</f>
        <v>アイテムクラス</v>
      </c>
      <c r="K3" s="17" t="s">
        <v>4112</v>
      </c>
      <c r="L3" s="16" t="str">
        <f>TRIM(_xlfn.TEXTBEFORE(K3, ":"))</f>
        <v>아이템 종류</v>
      </c>
      <c r="M3" s="17" t="s">
        <v>4825</v>
      </c>
      <c r="N3" s="16" t="str">
        <f>TRIM(_xlfn.TEXTBEFORE(M3, ":"))</f>
        <v>Classe do Item</v>
      </c>
      <c r="O3" s="17" t="s">
        <v>5525</v>
      </c>
      <c r="P3" s="16" t="str">
        <f>TRIM(_xlfn.TEXTBEFORE(O3, ":"))</f>
        <v>Класс предмета</v>
      </c>
      <c r="Q3" s="17" t="s">
        <v>6219</v>
      </c>
      <c r="R3" s="16" t="str">
        <f>TRIM(_xlfn.TEXTBEFORE(Q3, ":"))</f>
        <v>ชนิดไอเทม</v>
      </c>
      <c r="S3" s="17"/>
      <c r="T3" s="16" t="e">
        <f>TRIM(_xlfn.TEXTBEFORE(S3, ":"))</f>
        <v>#N/A</v>
      </c>
    </row>
    <row r="4" spans="1:20" ht="15.95" customHeight="1" x14ac:dyDescent="0.25">
      <c r="A4" s="18" t="s">
        <v>80</v>
      </c>
      <c r="B4" s="16" t="str">
        <f>TRIM(_xlfn.TEXTAFTER(A3, ":"))</f>
        <v>Belts</v>
      </c>
      <c r="C4" s="18" t="s">
        <v>1643</v>
      </c>
      <c r="D4" s="16" t="str">
        <f>TRIM(_xlfn.TEXTAFTER(C3, ":"))</f>
        <v>Gürtel</v>
      </c>
      <c r="E4" s="18" t="s">
        <v>2363</v>
      </c>
      <c r="F4" s="16" t="str">
        <f>TRIM(_xlfn.TEXTAFTER(E3, ":"))</f>
        <v>Cinturones</v>
      </c>
      <c r="G4" s="18" t="s">
        <v>1</v>
      </c>
      <c r="H4" s="16" t="str">
        <f>TRIM(_xlfn.TEXTAFTER(G3, ":"))</f>
        <v>Ceintures</v>
      </c>
      <c r="I4" s="18" t="s">
        <v>3078</v>
      </c>
      <c r="J4" s="16" t="str">
        <f>TRIM(_xlfn.TEXTAFTER(I3, ":"))</f>
        <v>ベルト</v>
      </c>
      <c r="K4" s="18" t="s">
        <v>3828</v>
      </c>
      <c r="L4" s="16" t="str">
        <f>TRIM(_xlfn.TEXTAFTER(K3, ":"))</f>
        <v>허리띠</v>
      </c>
      <c r="M4" s="18" t="s">
        <v>4557</v>
      </c>
      <c r="N4" s="16" t="str">
        <f>TRIM(_xlfn.TEXTAFTER(M3, ":"))</f>
        <v>Cintos</v>
      </c>
      <c r="O4" s="18" t="s">
        <v>5240</v>
      </c>
      <c r="P4" s="16" t="str">
        <f>TRIM(_xlfn.TEXTAFTER(O3, ":"))</f>
        <v>Пояса</v>
      </c>
      <c r="Q4" s="18" t="s">
        <v>5977</v>
      </c>
      <c r="R4" s="16" t="str">
        <f>TRIM(_xlfn.TEXTAFTER(Q3, ":"))</f>
        <v>เข็มขัด</v>
      </c>
      <c r="S4" s="18"/>
      <c r="T4" s="16" t="e">
        <f>TRIM(_xlfn.TEXTAFTER(S3, ":"))</f>
        <v>#N/A</v>
      </c>
    </row>
    <row r="5" spans="1:20" ht="15.95" customHeight="1" x14ac:dyDescent="0.25">
      <c r="A5" s="18" t="s">
        <v>85</v>
      </c>
      <c r="B5" s="16" t="str">
        <f>TRIM(_xlfn.TEXTBEFORE(A4, ":"))</f>
        <v>Rarity</v>
      </c>
      <c r="C5" s="18" t="s">
        <v>1922</v>
      </c>
      <c r="D5" s="16" t="str">
        <f>TRIM(_xlfn.TEXTBEFORE(C4, ":"))</f>
        <v>Seltenheit</v>
      </c>
      <c r="E5" s="18" t="s">
        <v>2642</v>
      </c>
      <c r="F5" s="16" t="str">
        <f>TRIM(_xlfn.TEXTBEFORE(E4, ":"))</f>
        <v>Rareza</v>
      </c>
      <c r="G5" s="18" t="s">
        <v>2</v>
      </c>
      <c r="H5" s="16" t="str">
        <f>TRIM(_xlfn.TEXTBEFORE(G4, ":"))</f>
        <v>Rareté</v>
      </c>
      <c r="I5" s="18" t="s">
        <v>3368</v>
      </c>
      <c r="J5" s="16" t="str">
        <f>TRIM(_xlfn.TEXTBEFORE(I4, ":"))</f>
        <v>レアリティ</v>
      </c>
      <c r="K5" s="18" t="s">
        <v>4113</v>
      </c>
      <c r="L5" s="16" t="str">
        <f>TRIM(_xlfn.TEXTBEFORE(K4, ":"))</f>
        <v>아이템 희귀도</v>
      </c>
      <c r="M5" s="18" t="s">
        <v>4826</v>
      </c>
      <c r="N5" s="16" t="str">
        <f>TRIM(_xlfn.TEXTBEFORE(M4, ":"))</f>
        <v>Raridade</v>
      </c>
      <c r="O5" s="18" t="s">
        <v>5526</v>
      </c>
      <c r="P5" s="16" t="str">
        <f>TRIM(_xlfn.TEXTBEFORE(O4, ":"))</f>
        <v>Редкость</v>
      </c>
      <c r="Q5" s="18" t="s">
        <v>85</v>
      </c>
      <c r="R5" s="16" t="str">
        <f>TRIM(_xlfn.TEXTBEFORE(Q4, ":"))</f>
        <v>ความหายาก</v>
      </c>
      <c r="S5" s="18"/>
      <c r="T5" s="16" t="e">
        <f>TRIM(_xlfn.TEXTBEFORE(S4, ":"))</f>
        <v>#N/A</v>
      </c>
    </row>
    <row r="6" spans="1:20" ht="15.95" customHeight="1" x14ac:dyDescent="0.25">
      <c r="A6" s="18" t="s">
        <v>86</v>
      </c>
      <c r="B6" s="16" t="str">
        <f>TRIM(_xlfn.TEXTAFTER(A4,":"))</f>
        <v>Unique</v>
      </c>
      <c r="C6" s="18" t="s">
        <v>1923</v>
      </c>
      <c r="D6" s="16" t="str">
        <f>TRIM(_xlfn.TEXTAFTER(C4,":"))</f>
        <v>Einzigartig</v>
      </c>
      <c r="E6" s="18" t="s">
        <v>2643</v>
      </c>
      <c r="F6" s="16" t="str">
        <f>TRIM(_xlfn.TEXTAFTER(E4,":"))</f>
        <v>Único</v>
      </c>
      <c r="G6" s="18" t="s">
        <v>3</v>
      </c>
      <c r="H6" s="16" t="str">
        <f>TRIM(_xlfn.TEXTAFTER(G4,":"))</f>
        <v>Unique</v>
      </c>
      <c r="I6" s="18" t="s">
        <v>3369</v>
      </c>
      <c r="J6" s="16" t="str">
        <f>TRIM(_xlfn.TEXTAFTER(I4,":"))</f>
        <v>ユニーク</v>
      </c>
      <c r="K6" s="18" t="s">
        <v>4114</v>
      </c>
      <c r="L6" s="16" t="str">
        <f>TRIM(_xlfn.TEXTAFTER(K4,":"))</f>
        <v>고유</v>
      </c>
      <c r="M6" s="18" t="s">
        <v>4827</v>
      </c>
      <c r="N6" s="16" t="str">
        <f>TRIM(_xlfn.TEXTAFTER(M4,":"))</f>
        <v>Único</v>
      </c>
      <c r="O6" s="18" t="s">
        <v>5527</v>
      </c>
      <c r="P6" s="16" t="str">
        <f>TRIM(_xlfn.TEXTAFTER(O4,":"))</f>
        <v>Уникальный</v>
      </c>
      <c r="Q6" s="18" t="s">
        <v>86</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81</v>
      </c>
      <c r="B8" s="16"/>
      <c r="C8" s="18" t="s">
        <v>1589</v>
      </c>
      <c r="D8" s="16"/>
      <c r="E8" s="18" t="s">
        <v>2308</v>
      </c>
      <c r="F8" s="16"/>
      <c r="G8" s="18" t="s">
        <v>5</v>
      </c>
      <c r="H8" s="16"/>
      <c r="I8" s="18" t="s">
        <v>3018</v>
      </c>
      <c r="J8" s="16"/>
      <c r="K8" s="18" t="s">
        <v>3772</v>
      </c>
      <c r="L8" s="16"/>
      <c r="M8" s="18" t="s">
        <v>2308</v>
      </c>
      <c r="N8" s="16"/>
      <c r="O8" s="18" t="s">
        <v>5183</v>
      </c>
      <c r="P8" s="16"/>
      <c r="Q8" s="18" t="s">
        <v>5928</v>
      </c>
      <c r="R8" s="16"/>
      <c r="S8" s="18"/>
      <c r="T8" s="16"/>
    </row>
    <row r="9" spans="1:20" ht="15.95" customHeight="1" x14ac:dyDescent="0.25">
      <c r="A9" s="18" t="s">
        <v>87</v>
      </c>
      <c r="B9" s="16"/>
      <c r="C9" s="18" t="s">
        <v>1924</v>
      </c>
      <c r="D9" s="16"/>
      <c r="E9" s="18" t="s">
        <v>2644</v>
      </c>
      <c r="F9" s="16"/>
      <c r="G9" s="18" t="s">
        <v>1184</v>
      </c>
      <c r="H9" s="16"/>
      <c r="I9" s="18" t="s">
        <v>3370</v>
      </c>
      <c r="J9" s="16"/>
      <c r="K9" s="18" t="s">
        <v>4115</v>
      </c>
      <c r="L9" s="16"/>
      <c r="M9" s="18" t="s">
        <v>4828</v>
      </c>
      <c r="N9" s="16"/>
      <c r="O9" s="18" t="s">
        <v>5528</v>
      </c>
      <c r="P9" s="16"/>
      <c r="Q9" s="18" t="s">
        <v>6220</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88</v>
      </c>
      <c r="B11" s="16"/>
      <c r="C11" s="18" t="s">
        <v>1713</v>
      </c>
      <c r="D11" s="16"/>
      <c r="E11" s="18" t="s">
        <v>2432</v>
      </c>
      <c r="F11" s="16"/>
      <c r="G11" s="18" t="s">
        <v>981</v>
      </c>
      <c r="H11" s="16"/>
      <c r="I11" s="18" t="s">
        <v>3150</v>
      </c>
      <c r="J11" s="16"/>
      <c r="K11" s="18" t="s">
        <v>3897</v>
      </c>
      <c r="L11" s="16"/>
      <c r="M11" s="18" t="s">
        <v>4626</v>
      </c>
      <c r="N11" s="16"/>
      <c r="O11" s="18" t="s">
        <v>5311</v>
      </c>
      <c r="P11" s="16"/>
      <c r="Q11" s="18" t="s">
        <v>6043</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89</v>
      </c>
      <c r="B13" s="16"/>
      <c r="C13" s="18" t="s">
        <v>1925</v>
      </c>
      <c r="D13" s="16"/>
      <c r="E13" s="18" t="s">
        <v>2645</v>
      </c>
      <c r="F13" s="16"/>
      <c r="G13" s="18" t="s">
        <v>1185</v>
      </c>
      <c r="H13" s="16"/>
      <c r="I13" s="18" t="s">
        <v>3371</v>
      </c>
      <c r="J13" s="16"/>
      <c r="K13" s="18" t="s">
        <v>4116</v>
      </c>
      <c r="L13" s="16"/>
      <c r="M13" s="18" t="s">
        <v>4829</v>
      </c>
      <c r="N13" s="16"/>
      <c r="O13" s="18" t="s">
        <v>5529</v>
      </c>
      <c r="P13" s="16"/>
      <c r="Q13" s="18" t="s">
        <v>6221</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90</v>
      </c>
      <c r="B15" s="16"/>
      <c r="C15" s="18" t="s">
        <v>1926</v>
      </c>
      <c r="D15" s="16"/>
      <c r="E15" s="18" t="s">
        <v>2646</v>
      </c>
      <c r="F15" s="16"/>
      <c r="G15" s="18" t="s">
        <v>1186</v>
      </c>
      <c r="H15" s="16"/>
      <c r="I15" s="18" t="s">
        <v>3372</v>
      </c>
      <c r="J15" s="16"/>
      <c r="K15" s="18" t="s">
        <v>4117</v>
      </c>
      <c r="L15" s="16"/>
      <c r="M15" s="18" t="s">
        <v>4830</v>
      </c>
      <c r="N15" s="16"/>
      <c r="O15" s="18" t="s">
        <v>5530</v>
      </c>
      <c r="P15" s="16"/>
      <c r="Q15" s="18" t="s">
        <v>6222</v>
      </c>
      <c r="R15" s="16"/>
      <c r="S15" s="18"/>
      <c r="T15" s="21"/>
    </row>
    <row r="16" spans="1:20" ht="15.95" customHeight="1" x14ac:dyDescent="0.25">
      <c r="A16" s="18" t="s">
        <v>91</v>
      </c>
      <c r="B16" s="16"/>
      <c r="C16" s="18" t="s">
        <v>1927</v>
      </c>
      <c r="D16" s="16"/>
      <c r="E16" s="18" t="s">
        <v>2647</v>
      </c>
      <c r="F16" s="16"/>
      <c r="G16" s="18" t="s">
        <v>1187</v>
      </c>
      <c r="H16" s="16"/>
      <c r="I16" s="18" t="s">
        <v>3373</v>
      </c>
      <c r="J16" s="16"/>
      <c r="K16" s="18" t="s">
        <v>4118</v>
      </c>
      <c r="L16" s="16"/>
      <c r="M16" s="18" t="s">
        <v>4831</v>
      </c>
      <c r="N16" s="16"/>
      <c r="O16" s="18" t="s">
        <v>5531</v>
      </c>
      <c r="P16" s="16"/>
      <c r="Q16" s="18" t="s">
        <v>6223</v>
      </c>
      <c r="R16" s="16"/>
      <c r="S16" s="18"/>
      <c r="T16" s="21"/>
    </row>
    <row r="17" spans="1:20" ht="15.95" customHeight="1" x14ac:dyDescent="0.25">
      <c r="A17" s="18" t="s">
        <v>92</v>
      </c>
      <c r="B17" s="16"/>
      <c r="C17" s="18" t="s">
        <v>1928</v>
      </c>
      <c r="D17" s="16"/>
      <c r="E17" s="18" t="s">
        <v>2648</v>
      </c>
      <c r="F17" s="16"/>
      <c r="G17" s="18" t="s">
        <v>1188</v>
      </c>
      <c r="H17" s="16"/>
      <c r="I17" s="18" t="s">
        <v>3374</v>
      </c>
      <c r="J17" s="16"/>
      <c r="K17" s="18" t="s">
        <v>4119</v>
      </c>
      <c r="L17" s="16"/>
      <c r="M17" s="18" t="s">
        <v>4832</v>
      </c>
      <c r="N17" s="16"/>
      <c r="O17" s="18" t="s">
        <v>5532</v>
      </c>
      <c r="P17" s="16"/>
      <c r="Q17" s="18" t="s">
        <v>6224</v>
      </c>
      <c r="R17" s="16"/>
      <c r="S17" s="18"/>
      <c r="T17" s="21"/>
    </row>
    <row r="18" spans="1:20" ht="15.95" customHeight="1" x14ac:dyDescent="0.25">
      <c r="A18" s="18" t="s">
        <v>93</v>
      </c>
      <c r="B18" s="16"/>
      <c r="C18" s="18" t="s">
        <v>1929</v>
      </c>
      <c r="D18" s="16"/>
      <c r="E18" s="18" t="s">
        <v>2649</v>
      </c>
      <c r="F18" s="16"/>
      <c r="G18" s="18" t="s">
        <v>8</v>
      </c>
      <c r="H18" s="16"/>
      <c r="I18" s="18" t="s">
        <v>3375</v>
      </c>
      <c r="J18" s="16"/>
      <c r="K18" s="18" t="s">
        <v>4120</v>
      </c>
      <c r="L18" s="16"/>
      <c r="M18" s="18" t="s">
        <v>4833</v>
      </c>
      <c r="N18" s="16"/>
      <c r="O18" s="18" t="s">
        <v>5533</v>
      </c>
      <c r="P18" s="16"/>
      <c r="Q18" s="18" t="s">
        <v>6225</v>
      </c>
      <c r="R18" s="16"/>
      <c r="S18" s="18"/>
      <c r="T18" s="21"/>
    </row>
    <row r="19" spans="1:20" ht="15.95" customHeight="1" x14ac:dyDescent="0.25">
      <c r="A19" s="18" t="s">
        <v>94</v>
      </c>
      <c r="B19" s="16"/>
      <c r="C19" s="18" t="s">
        <v>1930</v>
      </c>
      <c r="D19" s="16"/>
      <c r="E19" s="18" t="s">
        <v>2650</v>
      </c>
      <c r="F19" s="16"/>
      <c r="G19" s="18" t="s">
        <v>1189</v>
      </c>
      <c r="H19" s="16"/>
      <c r="I19" s="18" t="s">
        <v>3376</v>
      </c>
      <c r="J19" s="16"/>
      <c r="K19" s="18" t="s">
        <v>4121</v>
      </c>
      <c r="L19" s="16"/>
      <c r="M19" s="18" t="s">
        <v>4834</v>
      </c>
      <c r="N19" s="16"/>
      <c r="O19" s="18" t="s">
        <v>5534</v>
      </c>
      <c r="P19" s="16"/>
      <c r="Q19" s="18" t="s">
        <v>6226</v>
      </c>
      <c r="R19" s="16"/>
      <c r="S19" s="18"/>
      <c r="T19" s="21"/>
    </row>
    <row r="20" spans="1:20" ht="15.95" customHeight="1" x14ac:dyDescent="0.25">
      <c r="A20" s="18" t="s">
        <v>95</v>
      </c>
      <c r="B20" s="16"/>
      <c r="C20" s="18" t="s">
        <v>1931</v>
      </c>
      <c r="D20" s="16"/>
      <c r="E20" s="18" t="s">
        <v>2651</v>
      </c>
      <c r="F20" s="16"/>
      <c r="G20" s="18" t="s">
        <v>9</v>
      </c>
      <c r="H20" s="16"/>
      <c r="I20" s="18" t="s">
        <v>3377</v>
      </c>
      <c r="J20" s="16"/>
      <c r="K20" s="18" t="s">
        <v>4122</v>
      </c>
      <c r="L20" s="16"/>
      <c r="M20" s="18" t="s">
        <v>4835</v>
      </c>
      <c r="N20" s="16"/>
      <c r="O20" s="18" t="s">
        <v>5535</v>
      </c>
      <c r="P20" s="16"/>
      <c r="Q20" s="18" t="s">
        <v>6227</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96</v>
      </c>
      <c r="B22" s="16"/>
      <c r="C22" s="18" t="s">
        <v>1932</v>
      </c>
      <c r="D22" s="16"/>
      <c r="E22" s="18" t="s">
        <v>2652</v>
      </c>
      <c r="F22" s="16"/>
      <c r="G22" s="18" t="s">
        <v>10</v>
      </c>
      <c r="H22" s="16"/>
      <c r="I22" s="18" t="s">
        <v>3378</v>
      </c>
      <c r="J22" s="16"/>
      <c r="K22" s="18" t="s">
        <v>4123</v>
      </c>
      <c r="L22" s="16"/>
      <c r="M22" s="18" t="s">
        <v>4836</v>
      </c>
      <c r="N22" s="16"/>
      <c r="O22" s="18" t="s">
        <v>5536</v>
      </c>
      <c r="P22" s="16"/>
      <c r="Q22" s="18" t="s">
        <v>6228</v>
      </c>
      <c r="R22" s="16"/>
      <c r="S22" s="18"/>
      <c r="T22" s="21"/>
    </row>
    <row r="23" spans="1:20" ht="15.95" customHeight="1" x14ac:dyDescent="0.25">
      <c r="A23" s="18" t="s">
        <v>97</v>
      </c>
      <c r="B23" s="16"/>
      <c r="C23" s="18" t="s">
        <v>1933</v>
      </c>
      <c r="D23" s="16"/>
      <c r="E23" s="18" t="s">
        <v>2653</v>
      </c>
      <c r="F23" s="16"/>
      <c r="G23" s="18" t="s">
        <v>11</v>
      </c>
      <c r="H23" s="16"/>
      <c r="I23" s="18" t="s">
        <v>3379</v>
      </c>
      <c r="J23" s="16"/>
      <c r="K23" s="18" t="s">
        <v>4124</v>
      </c>
      <c r="L23" s="16"/>
      <c r="M23" s="18" t="s">
        <v>4837</v>
      </c>
      <c r="N23" s="16"/>
      <c r="O23" s="18" t="s">
        <v>5537</v>
      </c>
      <c r="P23" s="16"/>
      <c r="Q23" s="18" t="s">
        <v>6229</v>
      </c>
      <c r="R23" s="16"/>
      <c r="S23" s="18"/>
      <c r="T23" s="21"/>
    </row>
    <row r="24" spans="1:20" ht="15.95" customHeight="1" x14ac:dyDescent="0.25">
      <c r="A24" s="18" t="s">
        <v>98</v>
      </c>
      <c r="B24" s="16"/>
      <c r="C24" s="18" t="s">
        <v>1934</v>
      </c>
      <c r="D24" s="16"/>
      <c r="E24" s="18" t="s">
        <v>2654</v>
      </c>
      <c r="F24" s="16"/>
      <c r="G24" s="18" t="s">
        <v>12</v>
      </c>
      <c r="H24" s="16"/>
      <c r="I24" s="18" t="s">
        <v>3380</v>
      </c>
      <c r="J24" s="16"/>
      <c r="K24" s="18" t="s">
        <v>4125</v>
      </c>
      <c r="L24" s="16"/>
      <c r="M24" s="18" t="s">
        <v>4838</v>
      </c>
      <c r="N24" s="16"/>
      <c r="O24" s="18" t="s">
        <v>5538</v>
      </c>
      <c r="P24" s="16"/>
      <c r="Q24" s="18" t="s">
        <v>6230</v>
      </c>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18"/>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82" priority="1" stopIfTrue="1">
      <formula>NOT(ISERROR(A3))</formula>
    </cfRule>
  </conditionalFormatting>
  <conditionalFormatting sqref="A3:T51">
    <cfRule type="containsErrors" dxfId="281" priority="4" stopIfTrue="1">
      <formula>ISERROR(A3)</formula>
    </cfRule>
    <cfRule type="notContainsBlanks" dxfId="280" priority="5">
      <formula>LEN(TRIM(A3))&gt;0</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43D588-CF5E-478F-A02C-999B98814312}">
  <sheetPr codeName="Sheet39"/>
  <dimension ref="A1:T51"/>
  <sheetViews>
    <sheetView workbookViewId="0"/>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9" t="s">
        <v>84</v>
      </c>
    </row>
    <row r="3" spans="1:20" ht="15.95" customHeight="1" x14ac:dyDescent="0.25">
      <c r="A3" s="17" t="s">
        <v>415</v>
      </c>
      <c r="B3" s="16" t="str">
        <f>TRIM(_xlfn.TEXTBEFORE(A3, ":"))</f>
        <v>Item Class</v>
      </c>
      <c r="C3" s="17" t="s">
        <v>1860</v>
      </c>
      <c r="D3" s="16" t="str">
        <f>TRIM(_xlfn.TEXTBEFORE(C3, ":"))</f>
        <v>Gegenstandsklasse</v>
      </c>
      <c r="E3" s="17" t="s">
        <v>2578</v>
      </c>
      <c r="F3" s="16" t="str">
        <f>TRIM(_xlfn.TEXTBEFORE(E3, ":"))</f>
        <v>Clase de objeto</v>
      </c>
      <c r="G3" s="17" t="s">
        <v>1123</v>
      </c>
      <c r="H3" s="16" t="str">
        <f>TRIM(_xlfn.TEXTBEFORE(G3, ":"))</f>
        <v>Classe d'objet</v>
      </c>
      <c r="I3" s="17" t="s">
        <v>3302</v>
      </c>
      <c r="J3" s="16" t="str">
        <f>TRIM(_xlfn.TEXTBEFORE(I3, ":"))</f>
        <v>アイテムクラス</v>
      </c>
      <c r="K3" s="17" t="s">
        <v>4047</v>
      </c>
      <c r="L3" s="16" t="str">
        <f>TRIM(_xlfn.TEXTBEFORE(K3, ":"))</f>
        <v>아이템 종류</v>
      </c>
      <c r="M3" s="17" t="s">
        <v>4768</v>
      </c>
      <c r="N3" s="16" t="str">
        <f>TRIM(_xlfn.TEXTBEFORE(M3, ":"))</f>
        <v>Classe do Item</v>
      </c>
      <c r="O3" s="17" t="s">
        <v>5461</v>
      </c>
      <c r="P3" s="16" t="str">
        <f>TRIM(_xlfn.TEXTBEFORE(O3, ":"))</f>
        <v>Класс предмета</v>
      </c>
      <c r="Q3" s="17" t="s">
        <v>6170</v>
      </c>
      <c r="R3" s="16" t="str">
        <f>TRIM(_xlfn.TEXTBEFORE(Q3, ":"))</f>
        <v>ชนิดไอเทม</v>
      </c>
      <c r="S3" s="17"/>
      <c r="T3" s="16" t="e">
        <f>TRIM(_xlfn.TEXTBEFORE(S3, ":"))</f>
        <v>#N/A</v>
      </c>
    </row>
    <row r="4" spans="1:20" ht="15.95" customHeight="1" x14ac:dyDescent="0.25">
      <c r="A4" s="18" t="s">
        <v>80</v>
      </c>
      <c r="B4" s="16" t="str">
        <f>TRIM(_xlfn.TEXTAFTER(A3, ":"))</f>
        <v>Boots</v>
      </c>
      <c r="C4" s="18" t="s">
        <v>1643</v>
      </c>
      <c r="D4" s="16" t="str">
        <f>TRIM(_xlfn.TEXTAFTER(C3, ":"))</f>
        <v>Stiefel</v>
      </c>
      <c r="E4" s="18" t="s">
        <v>2363</v>
      </c>
      <c r="F4" s="16" t="str">
        <f>TRIM(_xlfn.TEXTAFTER(E3, ":"))</f>
        <v>Botas</v>
      </c>
      <c r="G4" s="18" t="s">
        <v>1</v>
      </c>
      <c r="H4" s="16" t="str">
        <f>TRIM(_xlfn.TEXTAFTER(G3, ":"))</f>
        <v>Bottes</v>
      </c>
      <c r="I4" s="18" t="s">
        <v>3078</v>
      </c>
      <c r="J4" s="16" t="str">
        <f>TRIM(_xlfn.TEXTAFTER(I3, ":"))</f>
        <v>靴</v>
      </c>
      <c r="K4" s="18" t="s">
        <v>3828</v>
      </c>
      <c r="L4" s="16" t="str">
        <f>TRIM(_xlfn.TEXTAFTER(K3, ":"))</f>
        <v>장화</v>
      </c>
      <c r="M4" s="18" t="s">
        <v>4557</v>
      </c>
      <c r="N4" s="16" t="str">
        <f>TRIM(_xlfn.TEXTAFTER(M3, ":"))</f>
        <v>Botas</v>
      </c>
      <c r="O4" s="18" t="s">
        <v>5240</v>
      </c>
      <c r="P4" s="16" t="str">
        <f>TRIM(_xlfn.TEXTAFTER(O3, ":"))</f>
        <v>Обувь</v>
      </c>
      <c r="Q4" s="18" t="s">
        <v>5977</v>
      </c>
      <c r="R4" s="16" t="str">
        <f>TRIM(_xlfn.TEXTAFTER(Q3, ":"))</f>
        <v>รองเท้า</v>
      </c>
      <c r="S4" s="18"/>
      <c r="T4" s="16" t="e">
        <f>TRIM(_xlfn.TEXTAFTER(S3, ":"))</f>
        <v>#N/A</v>
      </c>
    </row>
    <row r="5" spans="1:20" ht="15.95" customHeight="1" x14ac:dyDescent="0.25">
      <c r="A5" s="18" t="s">
        <v>416</v>
      </c>
      <c r="B5" s="16" t="str">
        <f>TRIM(_xlfn.TEXTBEFORE(A4, ":"))</f>
        <v>Rarity</v>
      </c>
      <c r="C5" s="18" t="s">
        <v>416</v>
      </c>
      <c r="D5" s="16" t="str">
        <f>TRIM(_xlfn.TEXTBEFORE(C4, ":"))</f>
        <v>Seltenheit</v>
      </c>
      <c r="E5" s="18" t="s">
        <v>2655</v>
      </c>
      <c r="F5" s="16" t="str">
        <f>TRIM(_xlfn.TEXTBEFORE(E4, ":"))</f>
        <v>Rareza</v>
      </c>
      <c r="G5" s="18" t="s">
        <v>1190</v>
      </c>
      <c r="H5" s="16" t="str">
        <f>TRIM(_xlfn.TEXTBEFORE(G4, ":"))</f>
        <v>Rareté</v>
      </c>
      <c r="I5" s="18" t="s">
        <v>3381</v>
      </c>
      <c r="J5" s="16" t="str">
        <f>TRIM(_xlfn.TEXTBEFORE(I4, ":"))</f>
        <v>レアリティ</v>
      </c>
      <c r="K5" s="18" t="s">
        <v>4126</v>
      </c>
      <c r="L5" s="16" t="str">
        <f>TRIM(_xlfn.TEXTBEFORE(K4, ":"))</f>
        <v>아이템 희귀도</v>
      </c>
      <c r="M5" s="18" t="s">
        <v>4839</v>
      </c>
      <c r="N5" s="16" t="str">
        <f>TRIM(_xlfn.TEXTBEFORE(M4, ":"))</f>
        <v>Raridade</v>
      </c>
      <c r="O5" s="18" t="s">
        <v>5539</v>
      </c>
      <c r="P5" s="16" t="str">
        <f>TRIM(_xlfn.TEXTBEFORE(O4, ":"))</f>
        <v>Редкость</v>
      </c>
      <c r="Q5" s="18" t="s">
        <v>416</v>
      </c>
      <c r="R5" s="16" t="str">
        <f>TRIM(_xlfn.TEXTBEFORE(Q4, ":"))</f>
        <v>ความหายาก</v>
      </c>
      <c r="S5" s="18"/>
      <c r="T5" s="16" t="e">
        <f>TRIM(_xlfn.TEXTBEFORE(S4, ":"))</f>
        <v>#N/A</v>
      </c>
    </row>
    <row r="6" spans="1:20" ht="15.95" customHeight="1" x14ac:dyDescent="0.25">
      <c r="A6" s="18" t="s">
        <v>417</v>
      </c>
      <c r="B6" s="16" t="str">
        <f>TRIM(_xlfn.TEXTAFTER(A4,":"))</f>
        <v>Unique</v>
      </c>
      <c r="C6" s="18" t="s">
        <v>1935</v>
      </c>
      <c r="D6" s="16" t="str">
        <f>TRIM(_xlfn.TEXTAFTER(C4,":"))</f>
        <v>Einzigartig</v>
      </c>
      <c r="E6" s="18" t="s">
        <v>2656</v>
      </c>
      <c r="F6" s="16" t="str">
        <f>TRIM(_xlfn.TEXTAFTER(E4,":"))</f>
        <v>Único</v>
      </c>
      <c r="G6" s="18" t="s">
        <v>1191</v>
      </c>
      <c r="H6" s="16" t="str">
        <f>TRIM(_xlfn.TEXTAFTER(G4,":"))</f>
        <v>Unique</v>
      </c>
      <c r="I6" s="18" t="s">
        <v>3382</v>
      </c>
      <c r="J6" s="16" t="str">
        <f>TRIM(_xlfn.TEXTAFTER(I4,":"))</f>
        <v>ユニーク</v>
      </c>
      <c r="K6" s="18" t="s">
        <v>4127</v>
      </c>
      <c r="L6" s="16" t="str">
        <f>TRIM(_xlfn.TEXTAFTER(K4,":"))</f>
        <v>고유</v>
      </c>
      <c r="M6" s="18" t="s">
        <v>4840</v>
      </c>
      <c r="N6" s="16" t="str">
        <f>TRIM(_xlfn.TEXTAFTER(M4,":"))</f>
        <v>Único</v>
      </c>
      <c r="O6" s="18" t="s">
        <v>5540</v>
      </c>
      <c r="P6" s="16" t="str">
        <f>TRIM(_xlfn.TEXTAFTER(O4,":"))</f>
        <v>Уникальный</v>
      </c>
      <c r="Q6" s="18" t="s">
        <v>417</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418</v>
      </c>
      <c r="B8" s="16"/>
      <c r="C8" s="18" t="s">
        <v>1936</v>
      </c>
      <c r="D8" s="16"/>
      <c r="E8" s="18" t="s">
        <v>2657</v>
      </c>
      <c r="F8" s="16"/>
      <c r="G8" s="18" t="s">
        <v>1192</v>
      </c>
      <c r="H8" s="16"/>
      <c r="I8" s="18" t="s">
        <v>3383</v>
      </c>
      <c r="J8" s="16"/>
      <c r="K8" s="18" t="s">
        <v>4128</v>
      </c>
      <c r="L8" s="16"/>
      <c r="M8" s="18" t="s">
        <v>4841</v>
      </c>
      <c r="N8" s="16"/>
      <c r="O8" s="18" t="s">
        <v>5541</v>
      </c>
      <c r="P8" s="16"/>
      <c r="Q8" s="18" t="s">
        <v>6231</v>
      </c>
      <c r="R8" s="16"/>
      <c r="S8" s="18"/>
      <c r="T8" s="16"/>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419</v>
      </c>
      <c r="B10" s="16"/>
      <c r="C10" s="18" t="s">
        <v>1937</v>
      </c>
      <c r="D10" s="16"/>
      <c r="E10" s="18" t="s">
        <v>2658</v>
      </c>
      <c r="F10" s="16"/>
      <c r="G10" s="18" t="s">
        <v>1193</v>
      </c>
      <c r="H10" s="16"/>
      <c r="I10" s="18" t="s">
        <v>3384</v>
      </c>
      <c r="J10" s="16"/>
      <c r="K10" s="18" t="s">
        <v>4129</v>
      </c>
      <c r="L10" s="16"/>
      <c r="M10" s="18" t="s">
        <v>4842</v>
      </c>
      <c r="N10" s="16"/>
      <c r="O10" s="18" t="s">
        <v>5542</v>
      </c>
      <c r="P10" s="16"/>
      <c r="Q10" s="18" t="s">
        <v>6232</v>
      </c>
      <c r="R10" s="16"/>
      <c r="S10" s="18"/>
      <c r="T10" s="16"/>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5.95" customHeight="1" x14ac:dyDescent="0.25">
      <c r="A12" s="18" t="s">
        <v>420</v>
      </c>
      <c r="B12" s="16"/>
      <c r="C12" s="18" t="s">
        <v>1790</v>
      </c>
      <c r="D12" s="16"/>
      <c r="E12" s="18" t="s">
        <v>2509</v>
      </c>
      <c r="F12" s="16"/>
      <c r="G12" s="18" t="s">
        <v>7</v>
      </c>
      <c r="H12" s="16"/>
      <c r="I12" s="18" t="s">
        <v>3229</v>
      </c>
      <c r="J12" s="16"/>
      <c r="K12" s="18" t="s">
        <v>3975</v>
      </c>
      <c r="L12" s="16"/>
      <c r="M12" s="18" t="s">
        <v>4702</v>
      </c>
      <c r="N12" s="16"/>
      <c r="O12" s="18" t="s">
        <v>5389</v>
      </c>
      <c r="P12" s="16"/>
      <c r="Q12" s="18" t="s">
        <v>6112</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421</v>
      </c>
      <c r="B14" s="16"/>
      <c r="C14" s="18" t="s">
        <v>1938</v>
      </c>
      <c r="D14" s="16"/>
      <c r="E14" s="18" t="s">
        <v>2659</v>
      </c>
      <c r="F14" s="16"/>
      <c r="G14" s="18" t="s">
        <v>1194</v>
      </c>
      <c r="H14" s="16"/>
      <c r="I14" s="18" t="s">
        <v>3385</v>
      </c>
      <c r="J14" s="16"/>
      <c r="K14" s="18" t="s">
        <v>4130</v>
      </c>
      <c r="L14" s="16"/>
      <c r="M14" s="18" t="s">
        <v>4843</v>
      </c>
      <c r="N14" s="16"/>
      <c r="O14" s="18" t="s">
        <v>5543</v>
      </c>
      <c r="P14" s="16"/>
      <c r="Q14" s="18" t="s">
        <v>6233</v>
      </c>
      <c r="R14" s="16"/>
      <c r="S14" s="18"/>
      <c r="T14" s="21"/>
    </row>
    <row r="15" spans="1:20" ht="15.95" customHeight="1" x14ac:dyDescent="0.25">
      <c r="A15" s="18" t="s">
        <v>422</v>
      </c>
      <c r="B15" s="16"/>
      <c r="C15" s="18" t="s">
        <v>1939</v>
      </c>
      <c r="D15" s="16"/>
      <c r="E15" s="18" t="s">
        <v>2660</v>
      </c>
      <c r="F15" s="16"/>
      <c r="G15" s="18" t="s">
        <v>1195</v>
      </c>
      <c r="H15" s="16"/>
      <c r="I15" s="18" t="s">
        <v>3386</v>
      </c>
      <c r="J15" s="16"/>
      <c r="K15" s="18" t="s">
        <v>4131</v>
      </c>
      <c r="L15" s="16"/>
      <c r="M15" s="18" t="s">
        <v>4844</v>
      </c>
      <c r="N15" s="16"/>
      <c r="O15" s="18" t="s">
        <v>5544</v>
      </c>
      <c r="P15" s="16"/>
      <c r="Q15" s="18" t="s">
        <v>6234</v>
      </c>
      <c r="R15" s="16"/>
      <c r="S15" s="18"/>
      <c r="T15" s="21"/>
    </row>
    <row r="16" spans="1:20" ht="15.95" customHeight="1" x14ac:dyDescent="0.25">
      <c r="A16" s="18" t="s">
        <v>423</v>
      </c>
      <c r="B16" s="16"/>
      <c r="C16" s="18" t="s">
        <v>1940</v>
      </c>
      <c r="D16" s="16"/>
      <c r="E16" s="18" t="s">
        <v>2661</v>
      </c>
      <c r="F16" s="16"/>
      <c r="G16" s="18" t="s">
        <v>1196</v>
      </c>
      <c r="H16" s="16"/>
      <c r="I16" s="18" t="s">
        <v>3387</v>
      </c>
      <c r="J16" s="16"/>
      <c r="K16" s="18" t="s">
        <v>4132</v>
      </c>
      <c r="L16" s="16"/>
      <c r="M16" s="18" t="s">
        <v>4845</v>
      </c>
      <c r="N16" s="16"/>
      <c r="O16" s="18" t="s">
        <v>5545</v>
      </c>
      <c r="P16" s="16"/>
      <c r="Q16" s="18" t="s">
        <v>6235</v>
      </c>
      <c r="R16" s="16"/>
      <c r="S16" s="18"/>
      <c r="T16" s="21"/>
    </row>
    <row r="17" spans="1:20" ht="15.95" customHeight="1" x14ac:dyDescent="0.25">
      <c r="A17" s="18" t="s">
        <v>424</v>
      </c>
      <c r="B17" s="16"/>
      <c r="C17" s="18" t="s">
        <v>1941</v>
      </c>
      <c r="D17" s="16"/>
      <c r="E17" s="18" t="s">
        <v>2662</v>
      </c>
      <c r="F17" s="16"/>
      <c r="G17" s="18" t="s">
        <v>1197</v>
      </c>
      <c r="H17" s="16"/>
      <c r="I17" s="18" t="s">
        <v>3388</v>
      </c>
      <c r="J17" s="16"/>
      <c r="K17" s="18" t="s">
        <v>4133</v>
      </c>
      <c r="L17" s="16"/>
      <c r="M17" s="18" t="s">
        <v>4846</v>
      </c>
      <c r="N17" s="16"/>
      <c r="O17" s="18" t="s">
        <v>5546</v>
      </c>
      <c r="P17" s="16"/>
      <c r="Q17" s="18" t="s">
        <v>6236</v>
      </c>
      <c r="R17" s="16"/>
      <c r="S17" s="18"/>
      <c r="T17" s="21"/>
    </row>
    <row r="18" spans="1:20" ht="15.95" customHeight="1" x14ac:dyDescent="0.25">
      <c r="A18" s="18" t="s">
        <v>425</v>
      </c>
      <c r="B18" s="16"/>
      <c r="C18" s="18" t="s">
        <v>1942</v>
      </c>
      <c r="D18" s="16"/>
      <c r="E18" s="18" t="s">
        <v>2663</v>
      </c>
      <c r="F18" s="16"/>
      <c r="G18" s="18" t="s">
        <v>1198</v>
      </c>
      <c r="H18" s="16"/>
      <c r="I18" s="18" t="s">
        <v>3389</v>
      </c>
      <c r="J18" s="16"/>
      <c r="K18" s="18" t="s">
        <v>4134</v>
      </c>
      <c r="L18" s="16"/>
      <c r="M18" s="18" t="s">
        <v>4847</v>
      </c>
      <c r="N18" s="16"/>
      <c r="O18" s="18" t="s">
        <v>5547</v>
      </c>
      <c r="P18" s="16"/>
      <c r="Q18" s="18" t="s">
        <v>6237</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426</v>
      </c>
      <c r="B20" s="16"/>
      <c r="C20" s="18" t="s">
        <v>1943</v>
      </c>
      <c r="D20" s="16"/>
      <c r="E20" s="18" t="s">
        <v>2664</v>
      </c>
      <c r="F20" s="16"/>
      <c r="G20" s="18" t="s">
        <v>1199</v>
      </c>
      <c r="H20" s="16"/>
      <c r="I20" s="18" t="s">
        <v>3390</v>
      </c>
      <c r="J20" s="16"/>
      <c r="K20" s="18" t="s">
        <v>4135</v>
      </c>
      <c r="L20" s="16"/>
      <c r="M20" s="18" t="s">
        <v>4848</v>
      </c>
      <c r="N20" s="16"/>
      <c r="O20" s="18" t="s">
        <v>5548</v>
      </c>
      <c r="P20" s="16"/>
      <c r="Q20" s="18" t="s">
        <v>6238</v>
      </c>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79" priority="2" stopIfTrue="1">
      <formula>NOT(ISERROR(A3))</formula>
    </cfRule>
  </conditionalFormatting>
  <conditionalFormatting sqref="A3:T51">
    <cfRule type="containsErrors" dxfId="278" priority="1" stopIfTrue="1">
      <formula>ISERROR(A3)</formula>
    </cfRule>
    <cfRule type="notContainsBlanks" dxfId="277" priority="3">
      <formula>LEN(TRIM(A3))&gt;0</formula>
    </cfRule>
  </conditionalFormatting>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54B4F7-74D6-4CEE-8EE5-8BE0F39F55D4}">
  <sheetPr codeName="Sheet40"/>
  <dimension ref="A1:T51"/>
  <sheetViews>
    <sheetView workbookViewId="0"/>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9" t="s">
        <v>84</v>
      </c>
    </row>
    <row r="3" spans="1:20" ht="15.95" customHeight="1" x14ac:dyDescent="0.25">
      <c r="A3" s="17" t="s">
        <v>398</v>
      </c>
      <c r="B3" s="16" t="str">
        <f>TRIM(_xlfn.TEXTBEFORE(A3, ":"))</f>
        <v>Item Class</v>
      </c>
      <c r="C3" s="17" t="s">
        <v>1944</v>
      </c>
      <c r="D3" s="16" t="str">
        <f>TRIM(_xlfn.TEXTBEFORE(C3, ":"))</f>
        <v>Gegenstandsklasse</v>
      </c>
      <c r="E3" s="17" t="s">
        <v>2665</v>
      </c>
      <c r="F3" s="16" t="str">
        <f>TRIM(_xlfn.TEXTBEFORE(E3, ":"))</f>
        <v>Clase de objeto</v>
      </c>
      <c r="G3" s="17" t="s">
        <v>1200</v>
      </c>
      <c r="H3" s="16" t="str">
        <f>TRIM(_xlfn.TEXTBEFORE(G3, ":"))</f>
        <v>Classe d'objet</v>
      </c>
      <c r="I3" s="17" t="s">
        <v>3391</v>
      </c>
      <c r="J3" s="16" t="str">
        <f>TRIM(_xlfn.TEXTBEFORE(I3, ":"))</f>
        <v>アイテムクラス</v>
      </c>
      <c r="K3" s="17" t="s">
        <v>4136</v>
      </c>
      <c r="L3" s="16" t="str">
        <f>TRIM(_xlfn.TEXTBEFORE(K3, ":"))</f>
        <v>아이템 종류</v>
      </c>
      <c r="M3" s="17" t="s">
        <v>4849</v>
      </c>
      <c r="N3" s="16" t="str">
        <f>TRIM(_xlfn.TEXTBEFORE(M3, ":"))</f>
        <v>Classe do Item</v>
      </c>
      <c r="O3" s="17" t="s">
        <v>5549</v>
      </c>
      <c r="P3" s="16" t="str">
        <f>TRIM(_xlfn.TEXTBEFORE(O3, ":"))</f>
        <v>Класс предмета</v>
      </c>
      <c r="Q3" s="17" t="s">
        <v>6239</v>
      </c>
      <c r="R3" s="16" t="str">
        <f>TRIM(_xlfn.TEXTBEFORE(Q3, ":"))</f>
        <v>ชนิดไอเทม</v>
      </c>
      <c r="S3" s="17"/>
      <c r="T3" s="16" t="e">
        <f>TRIM(_xlfn.TEXTBEFORE(S3, ":"))</f>
        <v>#N/A</v>
      </c>
    </row>
    <row r="4" spans="1:20" ht="15.95" customHeight="1" x14ac:dyDescent="0.25">
      <c r="A4" s="18" t="s">
        <v>80</v>
      </c>
      <c r="B4" s="16" t="str">
        <f>TRIM(_xlfn.TEXTAFTER(A3, ":"))</f>
        <v>Gloves</v>
      </c>
      <c r="C4" s="18" t="s">
        <v>1643</v>
      </c>
      <c r="D4" s="16" t="str">
        <f>TRIM(_xlfn.TEXTAFTER(C3, ":"))</f>
        <v>Handschuhe</v>
      </c>
      <c r="E4" s="18" t="s">
        <v>2363</v>
      </c>
      <c r="F4" s="16" t="str">
        <f>TRIM(_xlfn.TEXTAFTER(E3, ":"))</f>
        <v>Guantes</v>
      </c>
      <c r="G4" s="18" t="s">
        <v>1</v>
      </c>
      <c r="H4" s="16" t="str">
        <f>TRIM(_xlfn.TEXTAFTER(G3, ":"))</f>
        <v>Gants</v>
      </c>
      <c r="I4" s="18" t="s">
        <v>3078</v>
      </c>
      <c r="J4" s="16" t="str">
        <f>TRIM(_xlfn.TEXTAFTER(I3, ":"))</f>
        <v>手袋</v>
      </c>
      <c r="K4" s="18" t="s">
        <v>3828</v>
      </c>
      <c r="L4" s="16" t="str">
        <f>TRIM(_xlfn.TEXTAFTER(K3, ":"))</f>
        <v>장갑</v>
      </c>
      <c r="M4" s="18" t="s">
        <v>4557</v>
      </c>
      <c r="N4" s="16" t="str">
        <f>TRIM(_xlfn.TEXTAFTER(M3, ":"))</f>
        <v>Luvas</v>
      </c>
      <c r="O4" s="18" t="s">
        <v>5240</v>
      </c>
      <c r="P4" s="16" t="str">
        <f>TRIM(_xlfn.TEXTAFTER(O3, ":"))</f>
        <v>Перчатки</v>
      </c>
      <c r="Q4" s="18" t="s">
        <v>5977</v>
      </c>
      <c r="R4" s="16" t="str">
        <f>TRIM(_xlfn.TEXTAFTER(Q3, ":"))</f>
        <v>ถุงมือ</v>
      </c>
      <c r="S4" s="18"/>
      <c r="T4" s="16" t="e">
        <f>TRIM(_xlfn.TEXTAFTER(S3, ":"))</f>
        <v>#N/A</v>
      </c>
    </row>
    <row r="5" spans="1:20" ht="15.95" customHeight="1" x14ac:dyDescent="0.25">
      <c r="A5" s="18" t="s">
        <v>399</v>
      </c>
      <c r="B5" s="16" t="str">
        <f>TRIM(_xlfn.TEXTBEFORE(A4, ":"))</f>
        <v>Rarity</v>
      </c>
      <c r="C5" s="18" t="s">
        <v>1945</v>
      </c>
      <c r="D5" s="16" t="str">
        <f>TRIM(_xlfn.TEXTBEFORE(C4, ":"))</f>
        <v>Seltenheit</v>
      </c>
      <c r="E5" s="18" t="s">
        <v>2666</v>
      </c>
      <c r="F5" s="16" t="str">
        <f>TRIM(_xlfn.TEXTBEFORE(E4, ":"))</f>
        <v>Rareza</v>
      </c>
      <c r="G5" s="18" t="s">
        <v>1201</v>
      </c>
      <c r="H5" s="16" t="str">
        <f>TRIM(_xlfn.TEXTBEFORE(G4, ":"))</f>
        <v>Rareté</v>
      </c>
      <c r="I5" s="18" t="s">
        <v>3392</v>
      </c>
      <c r="J5" s="16" t="str">
        <f>TRIM(_xlfn.TEXTBEFORE(I4, ":"))</f>
        <v>レアリティ</v>
      </c>
      <c r="K5" s="18" t="s">
        <v>4137</v>
      </c>
      <c r="L5" s="16" t="str">
        <f>TRIM(_xlfn.TEXTBEFORE(K4, ":"))</f>
        <v>아이템 희귀도</v>
      </c>
      <c r="M5" s="18" t="s">
        <v>2666</v>
      </c>
      <c r="N5" s="16" t="str">
        <f>TRIM(_xlfn.TEXTBEFORE(M4, ":"))</f>
        <v>Raridade</v>
      </c>
      <c r="O5" s="18" t="s">
        <v>5550</v>
      </c>
      <c r="P5" s="16" t="str">
        <f>TRIM(_xlfn.TEXTBEFORE(O4, ":"))</f>
        <v>Редкость</v>
      </c>
      <c r="Q5" s="18" t="s">
        <v>399</v>
      </c>
      <c r="R5" s="16" t="str">
        <f>TRIM(_xlfn.TEXTBEFORE(Q4, ":"))</f>
        <v>ความหายาก</v>
      </c>
      <c r="S5" s="18"/>
      <c r="T5" s="16" t="e">
        <f>TRIM(_xlfn.TEXTBEFORE(S4, ":"))</f>
        <v>#N/A</v>
      </c>
    </row>
    <row r="6" spans="1:20" ht="15.95" customHeight="1" x14ac:dyDescent="0.25">
      <c r="A6" s="18" t="s">
        <v>400</v>
      </c>
      <c r="B6" s="16" t="str">
        <f>TRIM(_xlfn.TEXTAFTER(A4,":"))</f>
        <v>Unique</v>
      </c>
      <c r="C6" s="18" t="s">
        <v>1946</v>
      </c>
      <c r="D6" s="16" t="str">
        <f>TRIM(_xlfn.TEXTAFTER(C4,":"))</f>
        <v>Einzigartig</v>
      </c>
      <c r="E6" s="18" t="s">
        <v>2667</v>
      </c>
      <c r="F6" s="16" t="str">
        <f>TRIM(_xlfn.TEXTAFTER(E4,":"))</f>
        <v>Único</v>
      </c>
      <c r="G6" s="18" t="s">
        <v>1202</v>
      </c>
      <c r="H6" s="16" t="str">
        <f>TRIM(_xlfn.TEXTAFTER(G4,":"))</f>
        <v>Unique</v>
      </c>
      <c r="I6" s="18" t="s">
        <v>3393</v>
      </c>
      <c r="J6" s="16" t="str">
        <f>TRIM(_xlfn.TEXTAFTER(I4,":"))</f>
        <v>ユニーク</v>
      </c>
      <c r="K6" s="18" t="s">
        <v>4138</v>
      </c>
      <c r="L6" s="16" t="str">
        <f>TRIM(_xlfn.TEXTAFTER(K4,":"))</f>
        <v>고유</v>
      </c>
      <c r="M6" s="18" t="s">
        <v>4850</v>
      </c>
      <c r="N6" s="16" t="str">
        <f>TRIM(_xlfn.TEXTAFTER(M4,":"))</f>
        <v>Único</v>
      </c>
      <c r="O6" s="18" t="s">
        <v>5551</v>
      </c>
      <c r="P6" s="16" t="str">
        <f>TRIM(_xlfn.TEXTAFTER(O4,":"))</f>
        <v>Уникальный</v>
      </c>
      <c r="Q6" s="18" t="s">
        <v>400</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401</v>
      </c>
      <c r="B8" s="16"/>
      <c r="C8" s="18" t="s">
        <v>1947</v>
      </c>
      <c r="D8" s="16"/>
      <c r="E8" s="18" t="s">
        <v>2668</v>
      </c>
      <c r="F8" s="16"/>
      <c r="G8" s="18" t="s">
        <v>1203</v>
      </c>
      <c r="H8" s="16"/>
      <c r="I8" s="18" t="s">
        <v>3394</v>
      </c>
      <c r="J8" s="16"/>
      <c r="K8" s="18" t="s">
        <v>4139</v>
      </c>
      <c r="L8" s="16"/>
      <c r="M8" s="18" t="s">
        <v>2668</v>
      </c>
      <c r="N8" s="16"/>
      <c r="O8" s="18" t="s">
        <v>5552</v>
      </c>
      <c r="P8" s="16"/>
      <c r="Q8" s="18" t="s">
        <v>6240</v>
      </c>
      <c r="R8" s="16"/>
      <c r="S8" s="18"/>
      <c r="T8" s="16"/>
    </row>
    <row r="9" spans="1:20" ht="15.95" customHeight="1" x14ac:dyDescent="0.25">
      <c r="A9" s="18" t="s">
        <v>402</v>
      </c>
      <c r="B9" s="16"/>
      <c r="C9" s="18" t="s">
        <v>1948</v>
      </c>
      <c r="D9" s="16"/>
      <c r="E9" s="18" t="s">
        <v>2669</v>
      </c>
      <c r="F9" s="16"/>
      <c r="G9" s="18" t="s">
        <v>1204</v>
      </c>
      <c r="H9" s="16"/>
      <c r="I9" s="18" t="s">
        <v>3395</v>
      </c>
      <c r="J9" s="16"/>
      <c r="K9" s="18" t="s">
        <v>4140</v>
      </c>
      <c r="L9" s="16"/>
      <c r="M9" s="18" t="s">
        <v>4851</v>
      </c>
      <c r="N9" s="16"/>
      <c r="O9" s="18" t="s">
        <v>5553</v>
      </c>
      <c r="P9" s="16"/>
      <c r="Q9" s="18" t="s">
        <v>6241</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81</v>
      </c>
      <c r="B11" s="16"/>
      <c r="C11" s="18" t="s">
        <v>1589</v>
      </c>
      <c r="D11" s="16"/>
      <c r="E11" s="18" t="s">
        <v>2308</v>
      </c>
      <c r="F11" s="16"/>
      <c r="G11" s="18" t="s">
        <v>5</v>
      </c>
      <c r="H11" s="16"/>
      <c r="I11" s="18" t="s">
        <v>3018</v>
      </c>
      <c r="J11" s="16"/>
      <c r="K11" s="18" t="s">
        <v>3772</v>
      </c>
      <c r="L11" s="16"/>
      <c r="M11" s="18" t="s">
        <v>2308</v>
      </c>
      <c r="N11" s="16"/>
      <c r="O11" s="18" t="s">
        <v>5183</v>
      </c>
      <c r="P11" s="16"/>
      <c r="Q11" s="18" t="s">
        <v>5928</v>
      </c>
      <c r="R11" s="16"/>
      <c r="S11" s="18"/>
      <c r="T11" s="16"/>
    </row>
    <row r="12" spans="1:20" ht="15.95" customHeight="1" x14ac:dyDescent="0.25">
      <c r="A12" s="18" t="s">
        <v>403</v>
      </c>
      <c r="B12" s="16"/>
      <c r="C12" s="18" t="s">
        <v>1949</v>
      </c>
      <c r="D12" s="16"/>
      <c r="E12" s="18" t="s">
        <v>2670</v>
      </c>
      <c r="F12" s="16"/>
      <c r="G12" s="18" t="s">
        <v>1205</v>
      </c>
      <c r="H12" s="16"/>
      <c r="I12" s="18" t="s">
        <v>3396</v>
      </c>
      <c r="J12" s="16"/>
      <c r="K12" s="18" t="s">
        <v>4141</v>
      </c>
      <c r="L12" s="16"/>
      <c r="M12" s="18" t="s">
        <v>4852</v>
      </c>
      <c r="N12" s="16"/>
      <c r="O12" s="18" t="s">
        <v>5554</v>
      </c>
      <c r="P12" s="16"/>
      <c r="Q12" s="18" t="s">
        <v>6242</v>
      </c>
      <c r="R12" s="16"/>
      <c r="S12" s="18"/>
      <c r="T12" s="21"/>
    </row>
    <row r="13" spans="1:20" ht="15.95" customHeight="1" x14ac:dyDescent="0.25">
      <c r="A13" s="18" t="s">
        <v>404</v>
      </c>
      <c r="B13" s="16"/>
      <c r="C13" s="18" t="s">
        <v>404</v>
      </c>
      <c r="D13" s="16"/>
      <c r="E13" s="18" t="s">
        <v>2671</v>
      </c>
      <c r="F13" s="16"/>
      <c r="G13" s="18" t="s">
        <v>1206</v>
      </c>
      <c r="H13" s="16"/>
      <c r="I13" s="18" t="s">
        <v>3397</v>
      </c>
      <c r="J13" s="16"/>
      <c r="K13" s="18" t="s">
        <v>4142</v>
      </c>
      <c r="L13" s="16"/>
      <c r="M13" s="18" t="s">
        <v>1206</v>
      </c>
      <c r="N13" s="16"/>
      <c r="O13" s="18" t="s">
        <v>5555</v>
      </c>
      <c r="P13" s="16"/>
      <c r="Q13" s="18" t="s">
        <v>404</v>
      </c>
      <c r="R13" s="16"/>
      <c r="S13" s="18"/>
      <c r="T13" s="21"/>
    </row>
    <row r="14" spans="1:20" ht="15.95" customHeight="1" x14ac:dyDescent="0.25">
      <c r="A14" s="18" t="s">
        <v>405</v>
      </c>
      <c r="B14" s="16"/>
      <c r="C14" s="18" t="s">
        <v>1950</v>
      </c>
      <c r="D14" s="16"/>
      <c r="E14" s="18" t="s">
        <v>2672</v>
      </c>
      <c r="F14" s="16"/>
      <c r="G14" s="18" t="s">
        <v>405</v>
      </c>
      <c r="H14" s="16"/>
      <c r="I14" s="18" t="s">
        <v>3398</v>
      </c>
      <c r="J14" s="16"/>
      <c r="K14" s="18" t="s">
        <v>4143</v>
      </c>
      <c r="L14" s="16"/>
      <c r="M14" s="18" t="s">
        <v>2672</v>
      </c>
      <c r="N14" s="16"/>
      <c r="O14" s="18" t="s">
        <v>5556</v>
      </c>
      <c r="P14" s="16"/>
      <c r="Q14" s="18" t="s">
        <v>405</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406</v>
      </c>
      <c r="B16" s="16"/>
      <c r="C16" s="18" t="s">
        <v>1951</v>
      </c>
      <c r="D16" s="16"/>
      <c r="E16" s="18" t="s">
        <v>2673</v>
      </c>
      <c r="F16" s="16"/>
      <c r="G16" s="18" t="s">
        <v>1207</v>
      </c>
      <c r="H16" s="16"/>
      <c r="I16" s="18" t="s">
        <v>3399</v>
      </c>
      <c r="J16" s="16"/>
      <c r="K16" s="18" t="s">
        <v>4144</v>
      </c>
      <c r="L16" s="16"/>
      <c r="M16" s="18" t="s">
        <v>4853</v>
      </c>
      <c r="N16" s="16"/>
      <c r="O16" s="18" t="s">
        <v>5557</v>
      </c>
      <c r="P16" s="16"/>
      <c r="Q16" s="18" t="s">
        <v>6243</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254</v>
      </c>
      <c r="B18" s="16"/>
      <c r="C18" s="18" t="s">
        <v>1730</v>
      </c>
      <c r="D18" s="16"/>
      <c r="E18" s="18" t="s">
        <v>2449</v>
      </c>
      <c r="F18" s="16"/>
      <c r="G18" s="18" t="s">
        <v>998</v>
      </c>
      <c r="H18" s="16"/>
      <c r="I18" s="18" t="s">
        <v>3167</v>
      </c>
      <c r="J18" s="16"/>
      <c r="K18" s="18" t="s">
        <v>3914</v>
      </c>
      <c r="L18" s="16"/>
      <c r="M18" s="18" t="s">
        <v>4643</v>
      </c>
      <c r="N18" s="16"/>
      <c r="O18" s="18" t="s">
        <v>5328</v>
      </c>
      <c r="P18" s="16"/>
      <c r="Q18" s="18" t="s">
        <v>6060</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407</v>
      </c>
      <c r="B20" s="16"/>
      <c r="C20" s="18" t="s">
        <v>1952</v>
      </c>
      <c r="D20" s="16"/>
      <c r="E20" s="18" t="s">
        <v>2674</v>
      </c>
      <c r="F20" s="16"/>
      <c r="G20" s="18" t="s">
        <v>1208</v>
      </c>
      <c r="H20" s="16"/>
      <c r="I20" s="18" t="s">
        <v>3400</v>
      </c>
      <c r="J20" s="16"/>
      <c r="K20" s="18" t="s">
        <v>4145</v>
      </c>
      <c r="L20" s="16"/>
      <c r="M20" s="18" t="s">
        <v>4854</v>
      </c>
      <c r="N20" s="16"/>
      <c r="O20" s="18" t="s">
        <v>5558</v>
      </c>
      <c r="P20" s="16"/>
      <c r="Q20" s="18" t="s">
        <v>6244</v>
      </c>
      <c r="R20" s="16"/>
      <c r="S20" s="18"/>
      <c r="T20" s="21"/>
    </row>
    <row r="21" spans="1:20" ht="15.95" customHeight="1" x14ac:dyDescent="0.25">
      <c r="A21" s="18" t="s">
        <v>408</v>
      </c>
      <c r="B21" s="16"/>
      <c r="C21" s="18" t="s">
        <v>1953</v>
      </c>
      <c r="D21" s="16"/>
      <c r="E21" s="18" t="s">
        <v>2675</v>
      </c>
      <c r="F21" s="16"/>
      <c r="G21" s="18" t="s">
        <v>1209</v>
      </c>
      <c r="H21" s="16"/>
      <c r="I21" s="18" t="s">
        <v>3401</v>
      </c>
      <c r="J21" s="16"/>
      <c r="K21" s="18" t="s">
        <v>4146</v>
      </c>
      <c r="L21" s="16"/>
      <c r="M21" s="18" t="s">
        <v>4855</v>
      </c>
      <c r="N21" s="16"/>
      <c r="O21" s="18" t="s">
        <v>5559</v>
      </c>
      <c r="P21" s="16"/>
      <c r="Q21" s="18" t="s">
        <v>6245</v>
      </c>
      <c r="R21" s="16"/>
      <c r="S21" s="18"/>
      <c r="T21" s="21"/>
    </row>
    <row r="22" spans="1:20" ht="15.95" customHeight="1" x14ac:dyDescent="0.25">
      <c r="A22" s="18" t="s">
        <v>409</v>
      </c>
      <c r="B22" s="16"/>
      <c r="C22" s="18" t="s">
        <v>1954</v>
      </c>
      <c r="D22" s="16"/>
      <c r="E22" s="18" t="s">
        <v>2676</v>
      </c>
      <c r="F22" s="16"/>
      <c r="G22" s="18" t="s">
        <v>1210</v>
      </c>
      <c r="H22" s="16"/>
      <c r="I22" s="18" t="s">
        <v>3402</v>
      </c>
      <c r="J22" s="16"/>
      <c r="K22" s="18" t="s">
        <v>4147</v>
      </c>
      <c r="L22" s="16"/>
      <c r="M22" s="18" t="s">
        <v>4856</v>
      </c>
      <c r="N22" s="16"/>
      <c r="O22" s="18" t="s">
        <v>5560</v>
      </c>
      <c r="P22" s="16"/>
      <c r="Q22" s="18" t="s">
        <v>6246</v>
      </c>
      <c r="R22" s="16"/>
      <c r="S22" s="18"/>
      <c r="T22" s="21"/>
    </row>
    <row r="23" spans="1:20" ht="15.95" customHeight="1" x14ac:dyDescent="0.25">
      <c r="A23" s="18" t="s">
        <v>410</v>
      </c>
      <c r="B23" s="16"/>
      <c r="C23" s="18" t="s">
        <v>1955</v>
      </c>
      <c r="D23" s="16"/>
      <c r="E23" s="18" t="s">
        <v>2677</v>
      </c>
      <c r="F23" s="16"/>
      <c r="G23" s="18" t="s">
        <v>1211</v>
      </c>
      <c r="H23" s="16"/>
      <c r="I23" s="18" t="s">
        <v>3403</v>
      </c>
      <c r="J23" s="16"/>
      <c r="K23" s="18" t="s">
        <v>4148</v>
      </c>
      <c r="L23" s="16"/>
      <c r="M23" s="18" t="s">
        <v>4857</v>
      </c>
      <c r="N23" s="16"/>
      <c r="O23" s="18" t="s">
        <v>5561</v>
      </c>
      <c r="P23" s="16"/>
      <c r="Q23" s="18" t="s">
        <v>6247</v>
      </c>
      <c r="R23" s="16"/>
      <c r="S23" s="18"/>
      <c r="T23" s="21"/>
    </row>
    <row r="24" spans="1:20" ht="15.95" customHeight="1" x14ac:dyDescent="0.25">
      <c r="A24" s="18" t="s">
        <v>411</v>
      </c>
      <c r="B24" s="16"/>
      <c r="C24" s="18" t="s">
        <v>1956</v>
      </c>
      <c r="D24" s="16"/>
      <c r="E24" s="18" t="s">
        <v>2678</v>
      </c>
      <c r="F24" s="16"/>
      <c r="G24" s="18" t="s">
        <v>1212</v>
      </c>
      <c r="H24" s="16"/>
      <c r="I24" s="18" t="s">
        <v>3404</v>
      </c>
      <c r="J24" s="16"/>
      <c r="K24" s="18" t="s">
        <v>4149</v>
      </c>
      <c r="L24" s="16"/>
      <c r="M24" s="18" t="s">
        <v>4858</v>
      </c>
      <c r="N24" s="16"/>
      <c r="O24" s="18" t="s">
        <v>5562</v>
      </c>
      <c r="P24" s="16"/>
      <c r="Q24" s="18" t="s">
        <v>6248</v>
      </c>
      <c r="R24" s="16"/>
      <c r="S24" s="18"/>
      <c r="T24" s="21"/>
    </row>
    <row r="25" spans="1:20" ht="15.95" customHeight="1" x14ac:dyDescent="0.25">
      <c r="A25" s="18" t="s">
        <v>412</v>
      </c>
      <c r="B25" s="16"/>
      <c r="C25" s="18" t="s">
        <v>1957</v>
      </c>
      <c r="D25" s="16"/>
      <c r="E25" s="18" t="s">
        <v>2679</v>
      </c>
      <c r="F25" s="16"/>
      <c r="G25" s="18" t="s">
        <v>1213</v>
      </c>
      <c r="H25" s="16"/>
      <c r="I25" s="18" t="s">
        <v>3405</v>
      </c>
      <c r="J25" s="16"/>
      <c r="K25" s="18" t="s">
        <v>4150</v>
      </c>
      <c r="L25" s="16"/>
      <c r="M25" s="18" t="s">
        <v>4859</v>
      </c>
      <c r="N25" s="16"/>
      <c r="O25" s="18" t="s">
        <v>5563</v>
      </c>
      <c r="P25" s="16"/>
      <c r="Q25" s="18" t="s">
        <v>6249</v>
      </c>
      <c r="R25" s="16"/>
      <c r="S25" s="18"/>
      <c r="T25" s="21"/>
    </row>
    <row r="26" spans="1:20" ht="15.95" customHeight="1" x14ac:dyDescent="0.25">
      <c r="A26" s="18" t="s">
        <v>413</v>
      </c>
      <c r="B26" s="16"/>
      <c r="C26" s="18" t="s">
        <v>1958</v>
      </c>
      <c r="D26" s="16"/>
      <c r="E26" s="18" t="s">
        <v>2680</v>
      </c>
      <c r="F26" s="16"/>
      <c r="G26" s="18" t="s">
        <v>1214</v>
      </c>
      <c r="H26" s="16"/>
      <c r="I26" s="18" t="s">
        <v>4</v>
      </c>
      <c r="J26" s="16"/>
      <c r="K26" s="18" t="s">
        <v>4151</v>
      </c>
      <c r="L26" s="16"/>
      <c r="M26" s="18" t="s">
        <v>4860</v>
      </c>
      <c r="N26" s="16"/>
      <c r="O26" s="18" t="s">
        <v>5564</v>
      </c>
      <c r="P26" s="16"/>
      <c r="Q26" s="18" t="s">
        <v>6250</v>
      </c>
      <c r="R26" s="16"/>
      <c r="S26" s="18"/>
      <c r="T26" s="21"/>
    </row>
    <row r="27" spans="1:20" ht="15.95" customHeight="1" x14ac:dyDescent="0.25">
      <c r="A27" s="18" t="s">
        <v>4</v>
      </c>
      <c r="B27" s="16"/>
      <c r="C27" s="18" t="s">
        <v>4</v>
      </c>
      <c r="D27" s="16"/>
      <c r="E27" s="18" t="s">
        <v>4</v>
      </c>
      <c r="F27" s="16"/>
      <c r="G27" s="18" t="s">
        <v>4</v>
      </c>
      <c r="H27" s="16"/>
      <c r="I27" s="18" t="s">
        <v>3406</v>
      </c>
      <c r="J27" s="16"/>
      <c r="K27" s="18" t="s">
        <v>4</v>
      </c>
      <c r="L27" s="16"/>
      <c r="M27" s="18" t="s">
        <v>4</v>
      </c>
      <c r="N27" s="16"/>
      <c r="O27" s="18" t="s">
        <v>4</v>
      </c>
      <c r="P27" s="16"/>
      <c r="Q27" s="18" t="s">
        <v>4</v>
      </c>
      <c r="R27" s="16"/>
      <c r="S27" s="18"/>
      <c r="T27" s="21"/>
    </row>
    <row r="28" spans="1:20" ht="15.95" customHeight="1" x14ac:dyDescent="0.25">
      <c r="A28" s="18" t="s">
        <v>414</v>
      </c>
      <c r="B28" s="16"/>
      <c r="C28" s="18" t="s">
        <v>1959</v>
      </c>
      <c r="D28" s="16"/>
      <c r="E28" s="18" t="s">
        <v>2681</v>
      </c>
      <c r="F28" s="16"/>
      <c r="G28" s="18" t="s">
        <v>1215</v>
      </c>
      <c r="H28" s="16"/>
      <c r="I28" s="18" t="s">
        <v>3407</v>
      </c>
      <c r="J28" s="16"/>
      <c r="K28" s="18" t="s">
        <v>4152</v>
      </c>
      <c r="L28" s="16"/>
      <c r="M28" s="18" t="s">
        <v>4861</v>
      </c>
      <c r="N28" s="16"/>
      <c r="O28" s="18" t="s">
        <v>5565</v>
      </c>
      <c r="P28" s="16"/>
      <c r="Q28" s="18" t="s">
        <v>6251</v>
      </c>
      <c r="R28" s="16"/>
      <c r="S28" s="18"/>
      <c r="T28" s="21"/>
    </row>
    <row r="29" spans="1:20" ht="15.95" customHeight="1" x14ac:dyDescent="0.25">
      <c r="A29" s="18" t="e">
        <f>- Coralito, Brotherhood of Silence</f>
        <v>#NAME?</v>
      </c>
      <c r="B29" s="16"/>
      <c r="C29" s="18" t="s">
        <v>1960</v>
      </c>
      <c r="D29" s="16"/>
      <c r="E29" s="18" t="e">
        <f>- Coralito, Hermandad del Silencio</f>
        <v>#NAME?</v>
      </c>
      <c r="F29" s="16"/>
      <c r="G29" s="18" t="s">
        <v>1216</v>
      </c>
      <c r="H29" s="16"/>
      <c r="I29" s="18" t="s">
        <v>3408</v>
      </c>
      <c r="J29" s="16"/>
      <c r="K29" s="18" t="e" cm="1">
        <f t="array" ref="K29">- 침묵의 형제단 코랄리토</f>
        <v>#NAME?</v>
      </c>
      <c r="L29" s="16"/>
      <c r="M29" s="18" t="e">
        <f>- Coralito, Irmandade do Silêncio</f>
        <v>#NAME?</v>
      </c>
      <c r="N29" s="16"/>
      <c r="O29" s="18" t="s">
        <v>5566</v>
      </c>
      <c r="P29" s="16"/>
      <c r="Q29" s="18" t="e" cm="1">
        <f t="array" ref="Q29">- โครอลลิโต ภราดร​แห่ง​ความเงียบงัน</f>
        <v>#NAME?</v>
      </c>
      <c r="R29" s="16"/>
      <c r="S29" s="18"/>
      <c r="T29" s="21"/>
    </row>
    <row r="30" spans="1:20" ht="15.95" customHeight="1" x14ac:dyDescent="0.25">
      <c r="A30" s="18"/>
      <c r="B30" s="16"/>
      <c r="C30" s="18"/>
      <c r="D30" s="16"/>
      <c r="E30" s="18"/>
      <c r="F30" s="16"/>
      <c r="G30" s="18" t="s">
        <v>1217</v>
      </c>
      <c r="H30" s="16"/>
      <c r="I30" s="18"/>
      <c r="J30" s="16"/>
      <c r="K30" s="18"/>
      <c r="L30" s="16"/>
      <c r="M30" s="18"/>
      <c r="N30" s="16"/>
      <c r="O30" s="18" t="e">
        <f>- Коралито, Безмолвное братство</f>
        <v>#NAME?</v>
      </c>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76" priority="2" stopIfTrue="1">
      <formula>NOT(ISERROR(A3))</formula>
    </cfRule>
  </conditionalFormatting>
  <conditionalFormatting sqref="A3:T51">
    <cfRule type="containsErrors" dxfId="275" priority="1" stopIfTrue="1">
      <formula>ISERROR(A3)</formula>
    </cfRule>
    <cfRule type="notContainsBlanks" dxfId="274" priority="3">
      <formula>LEN(TRIM(A3))&gt;0</formula>
    </cfRule>
  </conditionalFormatting>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24D70-D94B-4A7B-92B2-96076BBBDBA9}">
  <sheetPr codeName="Sheet41"/>
  <dimension ref="A1:T51"/>
  <sheetViews>
    <sheetView workbookViewId="0"/>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9" t="s">
        <v>84</v>
      </c>
    </row>
    <row r="3" spans="1:20" ht="15.95" customHeight="1" x14ac:dyDescent="0.25">
      <c r="A3" s="17" t="s">
        <v>339</v>
      </c>
      <c r="B3" s="16" t="str">
        <f>TRIM(_xlfn.TEXTBEFORE(A3, ":"))</f>
        <v>Item Class</v>
      </c>
      <c r="C3" s="17" t="s">
        <v>1961</v>
      </c>
      <c r="D3" s="16" t="str">
        <f>TRIM(_xlfn.TEXTBEFORE(C3, ":"))</f>
        <v>Gegenstandsklasse</v>
      </c>
      <c r="E3" s="17" t="s">
        <v>2682</v>
      </c>
      <c r="F3" s="16" t="str">
        <f>TRIM(_xlfn.TEXTBEFORE(E3, ":"))</f>
        <v>Clase de objeto</v>
      </c>
      <c r="G3" s="17" t="s">
        <v>1218</v>
      </c>
      <c r="H3" s="16" t="str">
        <f>TRIM(_xlfn.TEXTBEFORE(G3, ":"))</f>
        <v>Classe d'objet</v>
      </c>
      <c r="I3" s="17" t="s">
        <v>3409</v>
      </c>
      <c r="J3" s="16" t="str">
        <f>TRIM(_xlfn.TEXTBEFORE(I3, ":"))</f>
        <v>アイテムクラス</v>
      </c>
      <c r="K3" s="17" t="s">
        <v>4153</v>
      </c>
      <c r="L3" s="16" t="str">
        <f>TRIM(_xlfn.TEXTBEFORE(K3, ":"))</f>
        <v>아이템 종류</v>
      </c>
      <c r="M3" s="17" t="s">
        <v>4862</v>
      </c>
      <c r="N3" s="16" t="str">
        <f>TRIM(_xlfn.TEXTBEFORE(M3, ":"))</f>
        <v>Classe do Item</v>
      </c>
      <c r="O3" s="17" t="s">
        <v>5567</v>
      </c>
      <c r="P3" s="16" t="str">
        <f>TRIM(_xlfn.TEXTBEFORE(O3, ":"))</f>
        <v>Класс предмета</v>
      </c>
      <c r="Q3" s="17" t="s">
        <v>6252</v>
      </c>
      <c r="R3" s="16" t="str">
        <f>TRIM(_xlfn.TEXTBEFORE(Q3, ":"))</f>
        <v>ชนิดไอเทม</v>
      </c>
      <c r="S3" s="17"/>
      <c r="T3" s="16" t="e">
        <f>TRIM(_xlfn.TEXTBEFORE(S3, ":"))</f>
        <v>#N/A</v>
      </c>
    </row>
    <row r="4" spans="1:20" ht="15.95" customHeight="1" x14ac:dyDescent="0.25">
      <c r="A4" s="18" t="s">
        <v>80</v>
      </c>
      <c r="B4" s="16" t="str">
        <f>TRIM(_xlfn.TEXTAFTER(A3, ":"))</f>
        <v>Bows</v>
      </c>
      <c r="C4" s="18" t="s">
        <v>1643</v>
      </c>
      <c r="D4" s="16" t="str">
        <f>TRIM(_xlfn.TEXTAFTER(C3, ":"))</f>
        <v>Bögen</v>
      </c>
      <c r="E4" s="18" t="s">
        <v>2363</v>
      </c>
      <c r="F4" s="16" t="str">
        <f>TRIM(_xlfn.TEXTAFTER(E3, ":"))</f>
        <v>Arcos</v>
      </c>
      <c r="G4" s="18" t="s">
        <v>1</v>
      </c>
      <c r="H4" s="16" t="str">
        <f>TRIM(_xlfn.TEXTAFTER(G3, ":"))</f>
        <v>Arcs</v>
      </c>
      <c r="I4" s="18" t="s">
        <v>3078</v>
      </c>
      <c r="J4" s="16" t="str">
        <f>TRIM(_xlfn.TEXTAFTER(I3, ":"))</f>
        <v>弓</v>
      </c>
      <c r="K4" s="18" t="s">
        <v>3828</v>
      </c>
      <c r="L4" s="16" t="str">
        <f>TRIM(_xlfn.TEXTAFTER(K3, ":"))</f>
        <v>활</v>
      </c>
      <c r="M4" s="18" t="s">
        <v>4557</v>
      </c>
      <c r="N4" s="16" t="str">
        <f>TRIM(_xlfn.TEXTAFTER(M3, ":"))</f>
        <v>Arcos</v>
      </c>
      <c r="O4" s="18" t="s">
        <v>5240</v>
      </c>
      <c r="P4" s="16" t="str">
        <f>TRIM(_xlfn.TEXTAFTER(O3, ":"))</f>
        <v>Луки</v>
      </c>
      <c r="Q4" s="18" t="s">
        <v>5977</v>
      </c>
      <c r="R4" s="16" t="str">
        <f>TRIM(_xlfn.TEXTAFTER(Q3, ":"))</f>
        <v>ธนู</v>
      </c>
      <c r="S4" s="18"/>
      <c r="T4" s="16" t="e">
        <f>TRIM(_xlfn.TEXTAFTER(S3, ":"))</f>
        <v>#N/A</v>
      </c>
    </row>
    <row r="5" spans="1:20" ht="15.95" customHeight="1" x14ac:dyDescent="0.25">
      <c r="A5" s="18" t="s">
        <v>340</v>
      </c>
      <c r="B5" s="16" t="str">
        <f>TRIM(_xlfn.TEXTBEFORE(A4, ":"))</f>
        <v>Rarity</v>
      </c>
      <c r="C5" s="18" t="s">
        <v>1962</v>
      </c>
      <c r="D5" s="16" t="str">
        <f>TRIM(_xlfn.TEXTBEFORE(C4, ":"))</f>
        <v>Seltenheit</v>
      </c>
      <c r="E5" s="18" t="s">
        <v>2683</v>
      </c>
      <c r="F5" s="16" t="str">
        <f>TRIM(_xlfn.TEXTBEFORE(E4, ":"))</f>
        <v>Rareza</v>
      </c>
      <c r="G5" s="18" t="s">
        <v>1219</v>
      </c>
      <c r="H5" s="16" t="str">
        <f>TRIM(_xlfn.TEXTBEFORE(G4, ":"))</f>
        <v>Rareté</v>
      </c>
      <c r="I5" s="18" t="s">
        <v>3410</v>
      </c>
      <c r="J5" s="16" t="str">
        <f>TRIM(_xlfn.TEXTBEFORE(I4, ":"))</f>
        <v>レアリティ</v>
      </c>
      <c r="K5" s="18" t="s">
        <v>4154</v>
      </c>
      <c r="L5" s="16" t="str">
        <f>TRIM(_xlfn.TEXTBEFORE(K4, ":"))</f>
        <v>아이템 희귀도</v>
      </c>
      <c r="M5" s="18" t="s">
        <v>4863</v>
      </c>
      <c r="N5" s="16" t="str">
        <f>TRIM(_xlfn.TEXTBEFORE(M4, ":"))</f>
        <v>Raridade</v>
      </c>
      <c r="O5" s="18" t="s">
        <v>5568</v>
      </c>
      <c r="P5" s="16" t="str">
        <f>TRIM(_xlfn.TEXTBEFORE(O4, ":"))</f>
        <v>Редкость</v>
      </c>
      <c r="Q5" s="18" t="s">
        <v>340</v>
      </c>
      <c r="R5" s="16" t="str">
        <f>TRIM(_xlfn.TEXTBEFORE(Q4, ":"))</f>
        <v>ความหายาก</v>
      </c>
      <c r="S5" s="18"/>
      <c r="T5" s="16" t="e">
        <f>TRIM(_xlfn.TEXTBEFORE(S4, ":"))</f>
        <v>#N/A</v>
      </c>
    </row>
    <row r="6" spans="1:20" ht="15.95" customHeight="1" x14ac:dyDescent="0.25">
      <c r="A6" s="18" t="s">
        <v>341</v>
      </c>
      <c r="B6" s="16" t="str">
        <f>TRIM(_xlfn.TEXTAFTER(A4,":"))</f>
        <v>Unique</v>
      </c>
      <c r="C6" s="18" t="s">
        <v>1963</v>
      </c>
      <c r="D6" s="16" t="str">
        <f>TRIM(_xlfn.TEXTAFTER(C4,":"))</f>
        <v>Einzigartig</v>
      </c>
      <c r="E6" s="18" t="s">
        <v>2684</v>
      </c>
      <c r="F6" s="16" t="str">
        <f>TRIM(_xlfn.TEXTAFTER(E4,":"))</f>
        <v>Único</v>
      </c>
      <c r="G6" s="18" t="s">
        <v>1220</v>
      </c>
      <c r="H6" s="16" t="str">
        <f>TRIM(_xlfn.TEXTAFTER(G4,":"))</f>
        <v>Unique</v>
      </c>
      <c r="I6" s="18" t="s">
        <v>3411</v>
      </c>
      <c r="J6" s="16" t="str">
        <f>TRIM(_xlfn.TEXTAFTER(I4,":"))</f>
        <v>ユニーク</v>
      </c>
      <c r="K6" s="18" t="s">
        <v>4155</v>
      </c>
      <c r="L6" s="16" t="str">
        <f>TRIM(_xlfn.TEXTAFTER(K4,":"))</f>
        <v>고유</v>
      </c>
      <c r="M6" s="18" t="s">
        <v>4864</v>
      </c>
      <c r="N6" s="16" t="str">
        <f>TRIM(_xlfn.TEXTAFTER(M4,":"))</f>
        <v>Único</v>
      </c>
      <c r="O6" s="18" t="s">
        <v>5569</v>
      </c>
      <c r="P6" s="16" t="str">
        <f>TRIM(_xlfn.TEXTAFTER(O4,":"))</f>
        <v>Уникальный</v>
      </c>
      <c r="Q6" s="18" t="s">
        <v>341</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342</v>
      </c>
      <c r="B8" s="16"/>
      <c r="C8" s="18" t="s">
        <v>1964</v>
      </c>
      <c r="D8" s="16"/>
      <c r="E8" s="18" t="s">
        <v>2685</v>
      </c>
      <c r="F8" s="16"/>
      <c r="G8" s="18" t="s">
        <v>1221</v>
      </c>
      <c r="H8" s="16"/>
      <c r="I8" s="18" t="s">
        <v>3412</v>
      </c>
      <c r="J8" s="16"/>
      <c r="K8" s="18" t="s">
        <v>4156</v>
      </c>
      <c r="L8" s="16"/>
      <c r="M8" s="18" t="s">
        <v>2685</v>
      </c>
      <c r="N8" s="16"/>
      <c r="O8" s="18" t="s">
        <v>5570</v>
      </c>
      <c r="P8" s="16"/>
      <c r="Q8" s="18" t="s">
        <v>6253</v>
      </c>
      <c r="R8" s="16"/>
      <c r="S8" s="18"/>
      <c r="T8" s="16"/>
    </row>
    <row r="9" spans="1:20" ht="15.95" customHeight="1" x14ac:dyDescent="0.25">
      <c r="A9" s="18" t="s">
        <v>343</v>
      </c>
      <c r="B9" s="16"/>
      <c r="C9" s="18" t="s">
        <v>1965</v>
      </c>
      <c r="D9" s="16"/>
      <c r="E9" s="18" t="s">
        <v>2686</v>
      </c>
      <c r="F9" s="16"/>
      <c r="G9" s="18" t="s">
        <v>1222</v>
      </c>
      <c r="H9" s="16"/>
      <c r="I9" s="18" t="s">
        <v>3413</v>
      </c>
      <c r="J9" s="16"/>
      <c r="K9" s="18" t="s">
        <v>4157</v>
      </c>
      <c r="L9" s="16"/>
      <c r="M9" s="18" t="s">
        <v>4865</v>
      </c>
      <c r="N9" s="16"/>
      <c r="O9" s="18" t="s">
        <v>5571</v>
      </c>
      <c r="P9" s="16"/>
      <c r="Q9" s="18" t="s">
        <v>6254</v>
      </c>
      <c r="R9" s="16"/>
      <c r="S9" s="18"/>
      <c r="T9" s="16"/>
    </row>
    <row r="10" spans="1:20" ht="15.95" customHeight="1" x14ac:dyDescent="0.25">
      <c r="A10" s="18" t="s">
        <v>104</v>
      </c>
      <c r="B10" s="16"/>
      <c r="C10" s="18" t="s">
        <v>1966</v>
      </c>
      <c r="D10" s="16"/>
      <c r="E10" s="18" t="s">
        <v>2687</v>
      </c>
      <c r="F10" s="16"/>
      <c r="G10" s="18" t="s">
        <v>1223</v>
      </c>
      <c r="H10" s="16"/>
      <c r="I10" s="18" t="s">
        <v>3414</v>
      </c>
      <c r="J10" s="16"/>
      <c r="K10" s="18" t="s">
        <v>4158</v>
      </c>
      <c r="L10" s="16"/>
      <c r="M10" s="18" t="s">
        <v>4866</v>
      </c>
      <c r="N10" s="16"/>
      <c r="O10" s="18" t="s">
        <v>5572</v>
      </c>
      <c r="P10" s="16"/>
      <c r="Q10" s="18" t="s">
        <v>6255</v>
      </c>
      <c r="R10" s="16"/>
      <c r="S10" s="18"/>
      <c r="T10" s="16"/>
    </row>
    <row r="11" spans="1:20" ht="15.95" customHeight="1" x14ac:dyDescent="0.25">
      <c r="A11" s="18" t="s">
        <v>344</v>
      </c>
      <c r="B11" s="16"/>
      <c r="C11" s="18" t="s">
        <v>1967</v>
      </c>
      <c r="D11" s="16"/>
      <c r="E11" s="18" t="s">
        <v>2688</v>
      </c>
      <c r="F11" s="16"/>
      <c r="G11" s="18" t="s">
        <v>1224</v>
      </c>
      <c r="H11" s="16"/>
      <c r="I11" s="18" t="s">
        <v>3415</v>
      </c>
      <c r="J11" s="16"/>
      <c r="K11" s="18" t="s">
        <v>4159</v>
      </c>
      <c r="L11" s="16"/>
      <c r="M11" s="18" t="s">
        <v>4867</v>
      </c>
      <c r="N11" s="16"/>
      <c r="O11" s="18" t="s">
        <v>5573</v>
      </c>
      <c r="P11" s="16"/>
      <c r="Q11" s="18" t="s">
        <v>6256</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81</v>
      </c>
      <c r="B13" s="16"/>
      <c r="C13" s="18" t="s">
        <v>1589</v>
      </c>
      <c r="D13" s="16"/>
      <c r="E13" s="18" t="s">
        <v>2308</v>
      </c>
      <c r="F13" s="16"/>
      <c r="G13" s="18" t="s">
        <v>5</v>
      </c>
      <c r="H13" s="16"/>
      <c r="I13" s="18" t="s">
        <v>3018</v>
      </c>
      <c r="J13" s="16"/>
      <c r="K13" s="18" t="s">
        <v>3772</v>
      </c>
      <c r="L13" s="16"/>
      <c r="M13" s="18" t="s">
        <v>2308</v>
      </c>
      <c r="N13" s="16"/>
      <c r="O13" s="18" t="s">
        <v>5183</v>
      </c>
      <c r="P13" s="16"/>
      <c r="Q13" s="18" t="s">
        <v>5928</v>
      </c>
      <c r="R13" s="16"/>
      <c r="S13" s="18"/>
      <c r="T13" s="21"/>
    </row>
    <row r="14" spans="1:20" ht="15.95" customHeight="1" x14ac:dyDescent="0.25">
      <c r="A14" s="18" t="s">
        <v>345</v>
      </c>
      <c r="B14" s="16"/>
      <c r="C14" s="18" t="s">
        <v>1968</v>
      </c>
      <c r="D14" s="16"/>
      <c r="E14" s="18" t="s">
        <v>2689</v>
      </c>
      <c r="F14" s="16"/>
      <c r="G14" s="18" t="s">
        <v>1225</v>
      </c>
      <c r="H14" s="16"/>
      <c r="I14" s="18" t="s">
        <v>3416</v>
      </c>
      <c r="J14" s="16"/>
      <c r="K14" s="18" t="s">
        <v>4160</v>
      </c>
      <c r="L14" s="16"/>
      <c r="M14" s="18" t="s">
        <v>4868</v>
      </c>
      <c r="N14" s="16"/>
      <c r="O14" s="18" t="s">
        <v>5574</v>
      </c>
      <c r="P14" s="16"/>
      <c r="Q14" s="18" t="s">
        <v>6257</v>
      </c>
      <c r="R14" s="16"/>
      <c r="S14" s="18"/>
      <c r="T14" s="21"/>
    </row>
    <row r="15" spans="1:20" ht="15.95" customHeight="1" x14ac:dyDescent="0.25">
      <c r="A15" s="18" t="s">
        <v>346</v>
      </c>
      <c r="B15" s="16"/>
      <c r="C15" s="18" t="s">
        <v>1969</v>
      </c>
      <c r="D15" s="16"/>
      <c r="E15" s="18" t="s">
        <v>2690</v>
      </c>
      <c r="F15" s="16"/>
      <c r="G15" s="18" t="s">
        <v>346</v>
      </c>
      <c r="H15" s="16"/>
      <c r="I15" s="18" t="s">
        <v>3417</v>
      </c>
      <c r="J15" s="16"/>
      <c r="K15" s="18" t="s">
        <v>4161</v>
      </c>
      <c r="L15" s="16"/>
      <c r="M15" s="18" t="s">
        <v>2690</v>
      </c>
      <c r="N15" s="16"/>
      <c r="O15" s="18" t="s">
        <v>5575</v>
      </c>
      <c r="P15" s="16"/>
      <c r="Q15" s="18" t="s">
        <v>346</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168</v>
      </c>
      <c r="B17" s="16"/>
      <c r="C17" s="18" t="s">
        <v>1970</v>
      </c>
      <c r="D17" s="16"/>
      <c r="E17" s="18" t="s">
        <v>2691</v>
      </c>
      <c r="F17" s="16"/>
      <c r="G17" s="18" t="s">
        <v>1226</v>
      </c>
      <c r="H17" s="16"/>
      <c r="I17" s="18" t="s">
        <v>3418</v>
      </c>
      <c r="J17" s="16"/>
      <c r="K17" s="18" t="s">
        <v>4162</v>
      </c>
      <c r="L17" s="16"/>
      <c r="M17" s="18" t="s">
        <v>4869</v>
      </c>
      <c r="N17" s="16"/>
      <c r="O17" s="18" t="s">
        <v>5576</v>
      </c>
      <c r="P17" s="16"/>
      <c r="Q17" s="18" t="s">
        <v>6258</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211</v>
      </c>
      <c r="B19" s="16"/>
      <c r="C19" s="18" t="s">
        <v>1971</v>
      </c>
      <c r="D19" s="16"/>
      <c r="E19" s="18" t="s">
        <v>2692</v>
      </c>
      <c r="F19" s="16"/>
      <c r="G19" s="18" t="s">
        <v>1227</v>
      </c>
      <c r="H19" s="16"/>
      <c r="I19" s="18" t="s">
        <v>3419</v>
      </c>
      <c r="J19" s="16"/>
      <c r="K19" s="18" t="s">
        <v>4163</v>
      </c>
      <c r="L19" s="16"/>
      <c r="M19" s="18" t="s">
        <v>4870</v>
      </c>
      <c r="N19" s="16"/>
      <c r="O19" s="18" t="s">
        <v>5577</v>
      </c>
      <c r="P19" s="16"/>
      <c r="Q19" s="18" t="s">
        <v>6259</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347</v>
      </c>
      <c r="B21" s="16"/>
      <c r="C21" s="18" t="s">
        <v>1972</v>
      </c>
      <c r="D21" s="16"/>
      <c r="E21" s="18" t="s">
        <v>2693</v>
      </c>
      <c r="F21" s="16"/>
      <c r="G21" s="18" t="s">
        <v>1228</v>
      </c>
      <c r="H21" s="16"/>
      <c r="I21" s="18" t="s">
        <v>3420</v>
      </c>
      <c r="J21" s="16"/>
      <c r="K21" s="18" t="s">
        <v>4164</v>
      </c>
      <c r="L21" s="16"/>
      <c r="M21" s="18" t="s">
        <v>4871</v>
      </c>
      <c r="N21" s="16"/>
      <c r="O21" s="18" t="s">
        <v>5578</v>
      </c>
      <c r="P21" s="16"/>
      <c r="Q21" s="18" t="s">
        <v>6260</v>
      </c>
      <c r="R21" s="16"/>
      <c r="S21" s="18"/>
      <c r="T21" s="21"/>
    </row>
    <row r="22" spans="1:20" ht="15.95" customHeight="1" x14ac:dyDescent="0.25">
      <c r="A22" s="18" t="s">
        <v>348</v>
      </c>
      <c r="B22" s="16"/>
      <c r="C22" s="18" t="s">
        <v>1973</v>
      </c>
      <c r="D22" s="16"/>
      <c r="E22" s="18" t="s">
        <v>2694</v>
      </c>
      <c r="F22" s="16"/>
      <c r="G22" s="18" t="s">
        <v>1229</v>
      </c>
      <c r="H22" s="16"/>
      <c r="I22" s="18" t="s">
        <v>3421</v>
      </c>
      <c r="J22" s="16"/>
      <c r="K22" s="18" t="s">
        <v>4165</v>
      </c>
      <c r="L22" s="16"/>
      <c r="M22" s="18" t="s">
        <v>4872</v>
      </c>
      <c r="N22" s="16"/>
      <c r="O22" s="18" t="s">
        <v>5579</v>
      </c>
      <c r="P22" s="16"/>
      <c r="Q22" s="18" t="s">
        <v>6261</v>
      </c>
      <c r="R22" s="16"/>
      <c r="S22" s="18"/>
      <c r="T22" s="21"/>
    </row>
    <row r="23" spans="1:20" ht="15.95" customHeight="1" x14ac:dyDescent="0.25">
      <c r="A23" s="18" t="s">
        <v>349</v>
      </c>
      <c r="B23" s="16"/>
      <c r="C23" s="18" t="s">
        <v>1974</v>
      </c>
      <c r="D23" s="16"/>
      <c r="E23" s="18" t="s">
        <v>2695</v>
      </c>
      <c r="F23" s="16"/>
      <c r="G23" s="18" t="s">
        <v>1230</v>
      </c>
      <c r="H23" s="16"/>
      <c r="I23" s="18" t="s">
        <v>3422</v>
      </c>
      <c r="J23" s="16"/>
      <c r="K23" s="18" t="s">
        <v>4166</v>
      </c>
      <c r="L23" s="16"/>
      <c r="M23" s="18" t="s">
        <v>4873</v>
      </c>
      <c r="N23" s="16"/>
      <c r="O23" s="18" t="s">
        <v>5580</v>
      </c>
      <c r="P23" s="16"/>
      <c r="Q23" s="18" t="s">
        <v>6262</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350</v>
      </c>
      <c r="B25" s="16"/>
      <c r="C25" s="18" t="s">
        <v>1975</v>
      </c>
      <c r="D25" s="16"/>
      <c r="E25" s="18" t="s">
        <v>2696</v>
      </c>
      <c r="F25" s="16"/>
      <c r="G25" s="18" t="s">
        <v>1231</v>
      </c>
      <c r="H25" s="16"/>
      <c r="I25" s="18" t="s">
        <v>3423</v>
      </c>
      <c r="J25" s="16"/>
      <c r="K25" s="18" t="s">
        <v>4167</v>
      </c>
      <c r="L25" s="16"/>
      <c r="M25" s="18" t="s">
        <v>4874</v>
      </c>
      <c r="N25" s="16"/>
      <c r="O25" s="18" t="s">
        <v>5581</v>
      </c>
      <c r="P25" s="16"/>
      <c r="Q25" s="18" t="s">
        <v>6263</v>
      </c>
      <c r="R25" s="16"/>
      <c r="S25" s="18"/>
      <c r="T25" s="21"/>
    </row>
    <row r="26" spans="1:20" ht="15.95" customHeight="1" x14ac:dyDescent="0.25">
      <c r="A26" s="18" t="s">
        <v>351</v>
      </c>
      <c r="B26" s="16"/>
      <c r="C26" s="18" t="s">
        <v>1976</v>
      </c>
      <c r="D26" s="16"/>
      <c r="E26" s="18" t="s">
        <v>2697</v>
      </c>
      <c r="F26" s="16"/>
      <c r="G26" s="18" t="s">
        <v>1232</v>
      </c>
      <c r="H26" s="16"/>
      <c r="I26" s="18" t="s">
        <v>3424</v>
      </c>
      <c r="J26" s="16"/>
      <c r="K26" s="18" t="s">
        <v>4168</v>
      </c>
      <c r="L26" s="16"/>
      <c r="M26" s="18" t="s">
        <v>4875</v>
      </c>
      <c r="N26" s="16"/>
      <c r="O26" s="18" t="s">
        <v>5582</v>
      </c>
      <c r="P26" s="16"/>
      <c r="Q26" s="18" t="s">
        <v>6264</v>
      </c>
      <c r="R26" s="16"/>
      <c r="S26" s="18"/>
      <c r="T26" s="21"/>
    </row>
    <row r="27" spans="1:20" ht="15.95" customHeight="1" x14ac:dyDescent="0.25">
      <c r="A27" s="18" t="s">
        <v>352</v>
      </c>
      <c r="B27" s="16"/>
      <c r="C27" s="18" t="s">
        <v>1977</v>
      </c>
      <c r="D27" s="16"/>
      <c r="E27" s="18" t="s">
        <v>2698</v>
      </c>
      <c r="F27" s="16"/>
      <c r="G27" s="18" t="s">
        <v>1233</v>
      </c>
      <c r="H27" s="16"/>
      <c r="I27" s="18" t="s">
        <v>3425</v>
      </c>
      <c r="J27" s="16"/>
      <c r="K27" s="18" t="s">
        <v>4169</v>
      </c>
      <c r="L27" s="16"/>
      <c r="M27" s="18" t="s">
        <v>4876</v>
      </c>
      <c r="N27" s="16"/>
      <c r="O27" s="18" t="s">
        <v>5583</v>
      </c>
      <c r="P27" s="16"/>
      <c r="Q27" s="18" t="s">
        <v>6265</v>
      </c>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73" priority="2" stopIfTrue="1">
      <formula>NOT(ISERROR(A3))</formula>
    </cfRule>
  </conditionalFormatting>
  <conditionalFormatting sqref="A3:T51">
    <cfRule type="containsErrors" dxfId="272" priority="1" stopIfTrue="1">
      <formula>ISERROR(A3)</formula>
    </cfRule>
    <cfRule type="notContainsBlanks" dxfId="271" priority="3">
      <formula>LEN(TRIM(A3))&gt;0</formula>
    </cfRule>
  </conditionalFormatting>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EF9558-5FC9-4F68-9B80-FCD4E036ADFE}">
  <sheetPr codeName="Sheet42"/>
  <dimension ref="A1:T51"/>
  <sheetViews>
    <sheetView workbookViewId="0">
      <selection activeCell="Q3" sqref="Q3:Q33"/>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9" t="s">
        <v>84</v>
      </c>
    </row>
    <row r="3" spans="1:20" ht="15.95" customHeight="1" x14ac:dyDescent="0.25">
      <c r="A3" s="17" t="s">
        <v>99</v>
      </c>
      <c r="B3" s="16" t="str">
        <f>TRIM(_xlfn.TEXTBEFORE(A3, ":"))</f>
        <v>Item Class</v>
      </c>
      <c r="C3" s="17" t="s">
        <v>1978</v>
      </c>
      <c r="D3" s="16" t="str">
        <f>TRIM(_xlfn.TEXTBEFORE(C3, ":"))</f>
        <v>Gegenstandsklasse</v>
      </c>
      <c r="E3" s="17" t="s">
        <v>2699</v>
      </c>
      <c r="F3" s="16" t="str">
        <f>TRIM(_xlfn.TEXTBEFORE(E3, ":"))</f>
        <v>Clase de objeto</v>
      </c>
      <c r="G3" s="17" t="s">
        <v>1234</v>
      </c>
      <c r="H3" s="16" t="str">
        <f>TRIM(_xlfn.TEXTBEFORE(G3, ":"))</f>
        <v>Classe d'objet</v>
      </c>
      <c r="I3" s="17" t="s">
        <v>3426</v>
      </c>
      <c r="J3" s="16" t="str">
        <f>TRIM(_xlfn.TEXTBEFORE(I3, ":"))</f>
        <v>アイテムクラス</v>
      </c>
      <c r="K3" s="17" t="s">
        <v>4170</v>
      </c>
      <c r="L3" s="16" t="str">
        <f>TRIM(_xlfn.TEXTBEFORE(K3, ":"))</f>
        <v>아이템 종류</v>
      </c>
      <c r="M3" s="17" t="s">
        <v>5160</v>
      </c>
      <c r="N3" s="16" t="str">
        <f>TRIM(_xlfn.TEXTBEFORE(M3, ":"))</f>
        <v>Classe do Item</v>
      </c>
      <c r="O3" s="17" t="s">
        <v>5584</v>
      </c>
      <c r="P3" s="16" t="str">
        <f>TRIM(_xlfn.TEXTBEFORE(O3, ":"))</f>
        <v>Класс предмета</v>
      </c>
      <c r="Q3" s="17" t="s">
        <v>6266</v>
      </c>
      <c r="R3" s="16" t="str">
        <f>TRIM(_xlfn.TEXTBEFORE(Q3, ":"))</f>
        <v>ชนิดไอเทม</v>
      </c>
      <c r="S3" s="17"/>
      <c r="T3" s="16" t="e">
        <f>TRIM(_xlfn.TEXTBEFORE(S3, ":"))</f>
        <v>#N/A</v>
      </c>
    </row>
    <row r="4" spans="1:20" ht="15.95" customHeight="1" x14ac:dyDescent="0.25">
      <c r="A4" s="18" t="s">
        <v>80</v>
      </c>
      <c r="B4" s="16" t="str">
        <f>TRIM(_xlfn.TEXTAFTER(A3, ":"))</f>
        <v>Claws</v>
      </c>
      <c r="C4" s="18" t="s">
        <v>1643</v>
      </c>
      <c r="D4" s="16" t="str">
        <f>TRIM(_xlfn.TEXTAFTER(C3, ":"))</f>
        <v>Klauen</v>
      </c>
      <c r="E4" s="18" t="s">
        <v>2363</v>
      </c>
      <c r="F4" s="16" t="str">
        <f>TRIM(_xlfn.TEXTAFTER(E3, ":"))</f>
        <v>Garras</v>
      </c>
      <c r="G4" s="18" t="s">
        <v>1</v>
      </c>
      <c r="H4" s="16" t="str">
        <f>TRIM(_xlfn.TEXTAFTER(G3, ":"))</f>
        <v>Griffes</v>
      </c>
      <c r="I4" s="18" t="s">
        <v>3078</v>
      </c>
      <c r="J4" s="16" t="str">
        <f>TRIM(_xlfn.TEXTAFTER(I3, ":"))</f>
        <v>鉤爪</v>
      </c>
      <c r="K4" s="18" t="s">
        <v>3828</v>
      </c>
      <c r="L4" s="16" t="str">
        <f>TRIM(_xlfn.TEXTAFTER(K3, ":"))</f>
        <v>클로</v>
      </c>
      <c r="M4" s="18" t="s">
        <v>4557</v>
      </c>
      <c r="N4" s="16" t="str">
        <f>TRIM(_xlfn.TEXTAFTER(M3, ":"))</f>
        <v>Garras</v>
      </c>
      <c r="O4" s="18" t="s">
        <v>5240</v>
      </c>
      <c r="P4" s="16" t="str">
        <f>TRIM(_xlfn.TEXTAFTER(O3, ":"))</f>
        <v>Когти</v>
      </c>
      <c r="Q4" s="18" t="s">
        <v>5977</v>
      </c>
      <c r="R4" s="16" t="str">
        <f>TRIM(_xlfn.TEXTAFTER(Q3, ":"))</f>
        <v>กรงเล็บ</v>
      </c>
      <c r="S4" s="18"/>
      <c r="T4" s="16" t="e">
        <f>TRIM(_xlfn.TEXTAFTER(S3, ":"))</f>
        <v>#N/A</v>
      </c>
    </row>
    <row r="5" spans="1:20" ht="15.95" customHeight="1" x14ac:dyDescent="0.25">
      <c r="A5" s="18" t="s">
        <v>100</v>
      </c>
      <c r="B5" s="16" t="str">
        <f>TRIM(_xlfn.TEXTBEFORE(A4, ":"))</f>
        <v>Rarity</v>
      </c>
      <c r="C5" s="18" t="s">
        <v>1979</v>
      </c>
      <c r="D5" s="16" t="str">
        <f>TRIM(_xlfn.TEXTBEFORE(C4, ":"))</f>
        <v>Seltenheit</v>
      </c>
      <c r="E5" s="18" t="s">
        <v>2700</v>
      </c>
      <c r="F5" s="16" t="str">
        <f>TRIM(_xlfn.TEXTBEFORE(E4, ":"))</f>
        <v>Rareza</v>
      </c>
      <c r="G5" s="18" t="s">
        <v>1235</v>
      </c>
      <c r="H5" s="16" t="str">
        <f>TRIM(_xlfn.TEXTBEFORE(G4, ":"))</f>
        <v>Rareté</v>
      </c>
      <c r="I5" s="18" t="s">
        <v>3427</v>
      </c>
      <c r="J5" s="16" t="str">
        <f>TRIM(_xlfn.TEXTBEFORE(I4, ":"))</f>
        <v>レアリティ</v>
      </c>
      <c r="K5" s="18" t="s">
        <v>4171</v>
      </c>
      <c r="L5" s="16" t="str">
        <f>TRIM(_xlfn.TEXTBEFORE(K4, ":"))</f>
        <v>아이템 희귀도</v>
      </c>
      <c r="M5" s="18" t="s">
        <v>5161</v>
      </c>
      <c r="N5" s="16" t="str">
        <f>TRIM(_xlfn.TEXTBEFORE(M4, ":"))</f>
        <v>Raridade</v>
      </c>
      <c r="O5" s="18" t="s">
        <v>5585</v>
      </c>
      <c r="P5" s="16" t="str">
        <f>TRIM(_xlfn.TEXTBEFORE(O4, ":"))</f>
        <v>Редкость</v>
      </c>
      <c r="Q5" s="18" t="s">
        <v>100</v>
      </c>
      <c r="R5" s="16" t="str">
        <f>TRIM(_xlfn.TEXTBEFORE(Q4, ":"))</f>
        <v>ความหายาก</v>
      </c>
      <c r="S5" s="18"/>
      <c r="T5" s="16" t="e">
        <f>TRIM(_xlfn.TEXTBEFORE(S4, ":"))</f>
        <v>#N/A</v>
      </c>
    </row>
    <row r="6" spans="1:20" ht="15.95" customHeight="1" x14ac:dyDescent="0.25">
      <c r="A6" s="18" t="s">
        <v>101</v>
      </c>
      <c r="B6" s="16" t="str">
        <f>TRIM(_xlfn.TEXTAFTER(A4,":"))</f>
        <v>Unique</v>
      </c>
      <c r="C6" s="18" t="s">
        <v>1980</v>
      </c>
      <c r="D6" s="16" t="str">
        <f>TRIM(_xlfn.TEXTAFTER(C4,":"))</f>
        <v>Einzigartig</v>
      </c>
      <c r="E6" s="18" t="s">
        <v>2701</v>
      </c>
      <c r="F6" s="16" t="str">
        <f>TRIM(_xlfn.TEXTAFTER(E4,":"))</f>
        <v>Único</v>
      </c>
      <c r="G6" s="18" t="s">
        <v>1236</v>
      </c>
      <c r="H6" s="16" t="str">
        <f>TRIM(_xlfn.TEXTAFTER(G4,":"))</f>
        <v>Unique</v>
      </c>
      <c r="I6" s="18" t="s">
        <v>3428</v>
      </c>
      <c r="J6" s="16" t="str">
        <f>TRIM(_xlfn.TEXTAFTER(I4,":"))</f>
        <v>ユニーク</v>
      </c>
      <c r="K6" s="18" t="s">
        <v>4172</v>
      </c>
      <c r="L6" s="16" t="str">
        <f>TRIM(_xlfn.TEXTAFTER(K4,":"))</f>
        <v>고유</v>
      </c>
      <c r="M6" s="18" t="s">
        <v>5162</v>
      </c>
      <c r="N6" s="16" t="str">
        <f>TRIM(_xlfn.TEXTAFTER(M4,":"))</f>
        <v>Único</v>
      </c>
      <c r="O6" s="18" t="s">
        <v>5586</v>
      </c>
      <c r="P6" s="16" t="str">
        <f>TRIM(_xlfn.TEXTAFTER(O4,":"))</f>
        <v>Уникальный</v>
      </c>
      <c r="Q6" s="18" t="s">
        <v>101</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102</v>
      </c>
      <c r="B8" s="16"/>
      <c r="C8" s="18" t="s">
        <v>1981</v>
      </c>
      <c r="D8" s="16"/>
      <c r="E8" s="18" t="s">
        <v>2702</v>
      </c>
      <c r="F8" s="16"/>
      <c r="G8" s="18" t="s">
        <v>1237</v>
      </c>
      <c r="H8" s="16"/>
      <c r="I8" s="18" t="s">
        <v>3429</v>
      </c>
      <c r="J8" s="16"/>
      <c r="K8" s="18" t="s">
        <v>4173</v>
      </c>
      <c r="L8" s="16"/>
      <c r="M8" s="18" t="s">
        <v>2702</v>
      </c>
      <c r="N8" s="16"/>
      <c r="O8" s="18" t="s">
        <v>5587</v>
      </c>
      <c r="P8" s="16"/>
      <c r="Q8" s="18" t="s">
        <v>6267</v>
      </c>
      <c r="R8" s="16"/>
      <c r="S8" s="18"/>
      <c r="T8" s="16"/>
    </row>
    <row r="9" spans="1:20" ht="15.95" customHeight="1" x14ac:dyDescent="0.25">
      <c r="A9" s="18" t="s">
        <v>103</v>
      </c>
      <c r="B9" s="16"/>
      <c r="C9" s="18" t="s">
        <v>1982</v>
      </c>
      <c r="D9" s="16"/>
      <c r="E9" s="18" t="s">
        <v>2703</v>
      </c>
      <c r="F9" s="16"/>
      <c r="G9" s="18" t="s">
        <v>1238</v>
      </c>
      <c r="H9" s="16"/>
      <c r="I9" s="18" t="s">
        <v>3430</v>
      </c>
      <c r="J9" s="16"/>
      <c r="K9" s="18" t="s">
        <v>4174</v>
      </c>
      <c r="L9" s="16"/>
      <c r="M9" s="18" t="s">
        <v>5163</v>
      </c>
      <c r="N9" s="16"/>
      <c r="O9" s="18" t="s">
        <v>5588</v>
      </c>
      <c r="P9" s="16"/>
      <c r="Q9" s="18" t="s">
        <v>6268</v>
      </c>
      <c r="R9" s="16"/>
      <c r="S9" s="18"/>
      <c r="T9" s="16"/>
    </row>
    <row r="10" spans="1:20" ht="15.95" customHeight="1" x14ac:dyDescent="0.25">
      <c r="A10" s="18" t="s">
        <v>104</v>
      </c>
      <c r="B10" s="16"/>
      <c r="C10" s="18" t="s">
        <v>1966</v>
      </c>
      <c r="D10" s="16"/>
      <c r="E10" s="18" t="s">
        <v>2687</v>
      </c>
      <c r="F10" s="16"/>
      <c r="G10" s="18" t="s">
        <v>1223</v>
      </c>
      <c r="H10" s="16"/>
      <c r="I10" s="18" t="s">
        <v>3414</v>
      </c>
      <c r="J10" s="16"/>
      <c r="K10" s="18" t="s">
        <v>4158</v>
      </c>
      <c r="L10" s="16"/>
      <c r="M10" s="18" t="s">
        <v>4866</v>
      </c>
      <c r="N10" s="16"/>
      <c r="O10" s="18" t="s">
        <v>5572</v>
      </c>
      <c r="P10" s="16"/>
      <c r="Q10" s="18" t="s">
        <v>6255</v>
      </c>
      <c r="R10" s="16"/>
      <c r="S10" s="18"/>
      <c r="T10" s="16"/>
    </row>
    <row r="11" spans="1:20" ht="15.95" customHeight="1" x14ac:dyDescent="0.25">
      <c r="A11" s="18" t="s">
        <v>105</v>
      </c>
      <c r="B11" s="16"/>
      <c r="C11" s="18" t="s">
        <v>1836</v>
      </c>
      <c r="D11" s="16"/>
      <c r="E11" s="18" t="s">
        <v>2554</v>
      </c>
      <c r="F11" s="16"/>
      <c r="G11" s="18" t="s">
        <v>1101</v>
      </c>
      <c r="H11" s="16"/>
      <c r="I11" s="18" t="s">
        <v>3277</v>
      </c>
      <c r="J11" s="16"/>
      <c r="K11" s="18" t="s">
        <v>4022</v>
      </c>
      <c r="L11" s="16"/>
      <c r="M11" s="18" t="s">
        <v>4745</v>
      </c>
      <c r="N11" s="16"/>
      <c r="O11" s="18" t="s">
        <v>5436</v>
      </c>
      <c r="P11" s="16"/>
      <c r="Q11" s="18" t="s">
        <v>6149</v>
      </c>
      <c r="R11" s="16"/>
      <c r="S11" s="18"/>
      <c r="T11" s="16"/>
    </row>
    <row r="12" spans="1:20" ht="15.95" customHeight="1" x14ac:dyDescent="0.25">
      <c r="A12" s="18" t="s">
        <v>106</v>
      </c>
      <c r="B12" s="16"/>
      <c r="C12" s="18" t="s">
        <v>1983</v>
      </c>
      <c r="D12" s="16"/>
      <c r="E12" s="18" t="s">
        <v>2704</v>
      </c>
      <c r="F12" s="16"/>
      <c r="G12" s="18" t="s">
        <v>1239</v>
      </c>
      <c r="H12" s="16"/>
      <c r="I12" s="18" t="s">
        <v>3431</v>
      </c>
      <c r="J12" s="16"/>
      <c r="K12" s="18" t="s">
        <v>4175</v>
      </c>
      <c r="L12" s="16"/>
      <c r="M12" s="18" t="s">
        <v>4922</v>
      </c>
      <c r="N12" s="16"/>
      <c r="O12" s="18" t="s">
        <v>5589</v>
      </c>
      <c r="P12" s="16"/>
      <c r="Q12" s="18" t="s">
        <v>6269</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81</v>
      </c>
      <c r="B14" s="16"/>
      <c r="C14" s="18" t="s">
        <v>1589</v>
      </c>
      <c r="D14" s="16"/>
      <c r="E14" s="18" t="s">
        <v>2308</v>
      </c>
      <c r="F14" s="16"/>
      <c r="G14" s="18" t="s">
        <v>5</v>
      </c>
      <c r="H14" s="16"/>
      <c r="I14" s="18" t="s">
        <v>3018</v>
      </c>
      <c r="J14" s="16"/>
      <c r="K14" s="18" t="s">
        <v>3772</v>
      </c>
      <c r="L14" s="16"/>
      <c r="M14" s="18" t="s">
        <v>2308</v>
      </c>
      <c r="N14" s="16"/>
      <c r="O14" s="18" t="s">
        <v>5183</v>
      </c>
      <c r="P14" s="16"/>
      <c r="Q14" s="18" t="s">
        <v>5928</v>
      </c>
      <c r="R14" s="16"/>
      <c r="S14" s="18"/>
      <c r="T14" s="21"/>
    </row>
    <row r="15" spans="1:20" ht="15.95" customHeight="1" x14ac:dyDescent="0.25">
      <c r="A15" s="18" t="s">
        <v>107</v>
      </c>
      <c r="B15" s="16"/>
      <c r="C15" s="18" t="s">
        <v>1590</v>
      </c>
      <c r="D15" s="16"/>
      <c r="E15" s="18" t="s">
        <v>2337</v>
      </c>
      <c r="F15" s="16"/>
      <c r="G15" s="18" t="s">
        <v>864</v>
      </c>
      <c r="H15" s="16"/>
      <c r="I15" s="18" t="s">
        <v>3051</v>
      </c>
      <c r="J15" s="16"/>
      <c r="K15" s="18" t="s">
        <v>3802</v>
      </c>
      <c r="L15" s="16"/>
      <c r="M15" s="18" t="s">
        <v>4530</v>
      </c>
      <c r="N15" s="16"/>
      <c r="O15" s="18" t="s">
        <v>5213</v>
      </c>
      <c r="P15" s="16"/>
      <c r="Q15" s="18" t="s">
        <v>5955</v>
      </c>
      <c r="R15" s="16"/>
      <c r="S15" s="18"/>
      <c r="T15" s="21"/>
    </row>
    <row r="16" spans="1:20" ht="15.95" customHeight="1" x14ac:dyDescent="0.25">
      <c r="A16" s="18" t="s">
        <v>108</v>
      </c>
      <c r="B16" s="16"/>
      <c r="C16" s="18" t="s">
        <v>1984</v>
      </c>
      <c r="D16" s="16"/>
      <c r="E16" s="18" t="s">
        <v>2705</v>
      </c>
      <c r="F16" s="16"/>
      <c r="G16" s="18" t="s">
        <v>108</v>
      </c>
      <c r="H16" s="16"/>
      <c r="I16" s="18" t="s">
        <v>3432</v>
      </c>
      <c r="J16" s="16"/>
      <c r="K16" s="18" t="s">
        <v>4176</v>
      </c>
      <c r="L16" s="16"/>
      <c r="M16" s="18" t="s">
        <v>2705</v>
      </c>
      <c r="N16" s="16"/>
      <c r="O16" s="18" t="s">
        <v>5590</v>
      </c>
      <c r="P16" s="16"/>
      <c r="Q16" s="18" t="s">
        <v>108</v>
      </c>
      <c r="R16" s="16"/>
      <c r="S16" s="18"/>
      <c r="T16" s="21"/>
    </row>
    <row r="17" spans="1:20" ht="15.95" customHeight="1" x14ac:dyDescent="0.25">
      <c r="A17" s="18" t="s">
        <v>109</v>
      </c>
      <c r="B17" s="16"/>
      <c r="C17" s="18" t="s">
        <v>109</v>
      </c>
      <c r="D17" s="16"/>
      <c r="E17" s="18" t="s">
        <v>109</v>
      </c>
      <c r="F17" s="16"/>
      <c r="G17" s="18" t="s">
        <v>109</v>
      </c>
      <c r="H17" s="16"/>
      <c r="I17" s="18" t="s">
        <v>3433</v>
      </c>
      <c r="J17" s="16"/>
      <c r="K17" s="18" t="s">
        <v>4177</v>
      </c>
      <c r="L17" s="16"/>
      <c r="M17" s="18" t="s">
        <v>109</v>
      </c>
      <c r="N17" s="16"/>
      <c r="O17" s="18" t="s">
        <v>5591</v>
      </c>
      <c r="P17" s="16"/>
      <c r="Q17" s="18" t="s">
        <v>109</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110</v>
      </c>
      <c r="B19" s="16"/>
      <c r="C19" s="18" t="s">
        <v>1985</v>
      </c>
      <c r="D19" s="16"/>
      <c r="E19" s="18" t="s">
        <v>2706</v>
      </c>
      <c r="F19" s="16"/>
      <c r="G19" s="18" t="s">
        <v>1240</v>
      </c>
      <c r="H19" s="16"/>
      <c r="I19" s="18" t="s">
        <v>3434</v>
      </c>
      <c r="J19" s="16"/>
      <c r="K19" s="18" t="s">
        <v>4178</v>
      </c>
      <c r="L19" s="16"/>
      <c r="M19" s="18" t="s">
        <v>5164</v>
      </c>
      <c r="N19" s="16"/>
      <c r="O19" s="18" t="s">
        <v>5592</v>
      </c>
      <c r="P19" s="16"/>
      <c r="Q19" s="18" t="s">
        <v>6270</v>
      </c>
      <c r="R19" s="16"/>
      <c r="S19" s="18"/>
      <c r="T19" s="16"/>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82</v>
      </c>
      <c r="B21" s="16"/>
      <c r="C21" s="18" t="s">
        <v>1662</v>
      </c>
      <c r="D21" s="16"/>
      <c r="E21" s="18" t="s">
        <v>2296</v>
      </c>
      <c r="F21" s="16"/>
      <c r="G21" s="18" t="s">
        <v>929</v>
      </c>
      <c r="H21" s="16"/>
      <c r="I21" s="18" t="s">
        <v>3098</v>
      </c>
      <c r="J21" s="16"/>
      <c r="K21" s="18" t="s">
        <v>3758</v>
      </c>
      <c r="L21" s="16"/>
      <c r="M21" s="18" t="s">
        <v>4576</v>
      </c>
      <c r="N21" s="16"/>
      <c r="O21" s="18" t="s">
        <v>5259</v>
      </c>
      <c r="P21" s="16"/>
      <c r="Q21" s="18" t="s">
        <v>5914</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111</v>
      </c>
      <c r="B23" s="16"/>
      <c r="C23" s="18" t="s">
        <v>1986</v>
      </c>
      <c r="D23" s="16"/>
      <c r="E23" s="18" t="s">
        <v>2707</v>
      </c>
      <c r="F23" s="16"/>
      <c r="G23" s="18" t="s">
        <v>1241</v>
      </c>
      <c r="H23" s="16"/>
      <c r="I23" s="18" t="s">
        <v>3435</v>
      </c>
      <c r="J23" s="16"/>
      <c r="K23" s="18" t="s">
        <v>4179</v>
      </c>
      <c r="L23" s="16"/>
      <c r="M23" s="18" t="s">
        <v>5165</v>
      </c>
      <c r="N23" s="16"/>
      <c r="O23" s="18" t="s">
        <v>5593</v>
      </c>
      <c r="P23" s="16"/>
      <c r="Q23" s="18" t="s">
        <v>6271</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112</v>
      </c>
      <c r="B25" s="16"/>
      <c r="C25" s="18" t="s">
        <v>1987</v>
      </c>
      <c r="D25" s="16"/>
      <c r="E25" s="18" t="s">
        <v>2708</v>
      </c>
      <c r="F25" s="16"/>
      <c r="G25" s="18" t="s">
        <v>1242</v>
      </c>
      <c r="H25" s="16"/>
      <c r="I25" s="18" t="s">
        <v>3436</v>
      </c>
      <c r="J25" s="16"/>
      <c r="K25" s="18" t="s">
        <v>4180</v>
      </c>
      <c r="L25" s="16"/>
      <c r="M25" s="18" t="s">
        <v>5166</v>
      </c>
      <c r="N25" s="16"/>
      <c r="O25" s="18" t="s">
        <v>5594</v>
      </c>
      <c r="P25" s="16"/>
      <c r="Q25" s="18" t="s">
        <v>6272</v>
      </c>
      <c r="R25" s="16"/>
      <c r="S25" s="18"/>
      <c r="T25" s="21"/>
    </row>
    <row r="26" spans="1:20" ht="15.95" customHeight="1" x14ac:dyDescent="0.25">
      <c r="A26" s="18" t="s">
        <v>113</v>
      </c>
      <c r="B26" s="16"/>
      <c r="C26" s="18" t="s">
        <v>1988</v>
      </c>
      <c r="D26" s="16"/>
      <c r="E26" s="18" t="s">
        <v>2709</v>
      </c>
      <c r="F26" s="16"/>
      <c r="G26" s="18" t="s">
        <v>1243</v>
      </c>
      <c r="H26" s="16"/>
      <c r="I26" s="18" t="s">
        <v>3437</v>
      </c>
      <c r="J26" s="16"/>
      <c r="K26" s="18" t="s">
        <v>4181</v>
      </c>
      <c r="L26" s="16"/>
      <c r="M26" s="18" t="s">
        <v>5167</v>
      </c>
      <c r="N26" s="16"/>
      <c r="O26" s="18" t="s">
        <v>5595</v>
      </c>
      <c r="P26" s="16"/>
      <c r="Q26" s="18" t="s">
        <v>6273</v>
      </c>
      <c r="R26" s="16"/>
      <c r="S26" s="18"/>
      <c r="T26" s="21"/>
    </row>
    <row r="27" spans="1:20" ht="15.95" customHeight="1" x14ac:dyDescent="0.25">
      <c r="A27" s="18" t="s">
        <v>114</v>
      </c>
      <c r="B27" s="16"/>
      <c r="C27" s="18" t="s">
        <v>1989</v>
      </c>
      <c r="D27" s="16"/>
      <c r="E27" s="18" t="s">
        <v>2710</v>
      </c>
      <c r="F27" s="16"/>
      <c r="G27" s="18" t="s">
        <v>1244</v>
      </c>
      <c r="H27" s="16"/>
      <c r="I27" s="18" t="s">
        <v>3438</v>
      </c>
      <c r="J27" s="16"/>
      <c r="K27" s="18" t="s">
        <v>4182</v>
      </c>
      <c r="L27" s="16"/>
      <c r="M27" s="18" t="s">
        <v>5168</v>
      </c>
      <c r="N27" s="16"/>
      <c r="O27" s="18" t="s">
        <v>5596</v>
      </c>
      <c r="P27" s="16"/>
      <c r="Q27" s="18" t="s">
        <v>6274</v>
      </c>
      <c r="R27" s="16"/>
      <c r="S27" s="18"/>
      <c r="T27" s="21"/>
    </row>
    <row r="28" spans="1:20" ht="15.95" customHeight="1" x14ac:dyDescent="0.25">
      <c r="A28" s="18" t="s">
        <v>115</v>
      </c>
      <c r="B28" s="16"/>
      <c r="C28" s="18" t="s">
        <v>1990</v>
      </c>
      <c r="D28" s="16"/>
      <c r="E28" s="18" t="s">
        <v>2711</v>
      </c>
      <c r="F28" s="16"/>
      <c r="G28" s="18" t="s">
        <v>1245</v>
      </c>
      <c r="H28" s="16"/>
      <c r="I28" s="18" t="s">
        <v>3439</v>
      </c>
      <c r="J28" s="16"/>
      <c r="K28" s="18" t="s">
        <v>4183</v>
      </c>
      <c r="L28" s="16"/>
      <c r="M28" s="18" t="s">
        <v>5169</v>
      </c>
      <c r="N28" s="16"/>
      <c r="O28" s="18" t="s">
        <v>5597</v>
      </c>
      <c r="P28" s="16"/>
      <c r="Q28" s="18" t="s">
        <v>6275</v>
      </c>
      <c r="R28" s="16"/>
      <c r="S28" s="18"/>
      <c r="T28" s="21"/>
    </row>
    <row r="29" spans="1:20" ht="15.95" customHeight="1" x14ac:dyDescent="0.25">
      <c r="A29" s="18" t="s">
        <v>116</v>
      </c>
      <c r="B29" s="16"/>
      <c r="C29" s="18" t="s">
        <v>1991</v>
      </c>
      <c r="D29" s="16"/>
      <c r="E29" s="18" t="s">
        <v>2712</v>
      </c>
      <c r="F29" s="16"/>
      <c r="G29" s="18" t="s">
        <v>1246</v>
      </c>
      <c r="H29" s="16"/>
      <c r="I29" s="18" t="s">
        <v>3440</v>
      </c>
      <c r="J29" s="16"/>
      <c r="K29" s="18" t="s">
        <v>4184</v>
      </c>
      <c r="L29" s="16"/>
      <c r="M29" s="18" t="s">
        <v>5170</v>
      </c>
      <c r="N29" s="16"/>
      <c r="O29" s="18" t="s">
        <v>5598</v>
      </c>
      <c r="P29" s="16"/>
      <c r="Q29" s="18" t="s">
        <v>6276</v>
      </c>
      <c r="R29" s="16"/>
      <c r="S29" s="18"/>
      <c r="T29" s="21"/>
    </row>
    <row r="30" spans="1:20" ht="15.95" customHeight="1" x14ac:dyDescent="0.25">
      <c r="A30" s="18" t="s">
        <v>117</v>
      </c>
      <c r="B30" s="16"/>
      <c r="C30" s="18" t="s">
        <v>1992</v>
      </c>
      <c r="D30" s="16"/>
      <c r="E30" s="18" t="s">
        <v>2713</v>
      </c>
      <c r="F30" s="16"/>
      <c r="G30" s="18" t="s">
        <v>1247</v>
      </c>
      <c r="H30" s="16"/>
      <c r="I30" s="18" t="s">
        <v>3441</v>
      </c>
      <c r="J30" s="16"/>
      <c r="K30" s="18" t="s">
        <v>4185</v>
      </c>
      <c r="L30" s="16"/>
      <c r="M30" s="18" t="s">
        <v>5171</v>
      </c>
      <c r="N30" s="16"/>
      <c r="O30" s="18" t="s">
        <v>5599</v>
      </c>
      <c r="P30" s="16"/>
      <c r="Q30" s="18" t="s">
        <v>6277</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118</v>
      </c>
      <c r="B32" s="16"/>
      <c r="C32" s="18" t="s">
        <v>1993</v>
      </c>
      <c r="D32" s="16"/>
      <c r="E32" s="18" t="s">
        <v>2714</v>
      </c>
      <c r="F32" s="16"/>
      <c r="G32" s="18" t="s">
        <v>1248</v>
      </c>
      <c r="H32" s="16"/>
      <c r="I32" s="18" t="s">
        <v>3442</v>
      </c>
      <c r="J32" s="16"/>
      <c r="K32" s="18" t="s">
        <v>4186</v>
      </c>
      <c r="L32" s="16"/>
      <c r="M32" s="18" t="s">
        <v>5172</v>
      </c>
      <c r="N32" s="16"/>
      <c r="O32" s="18" t="s">
        <v>5600</v>
      </c>
      <c r="P32" s="16"/>
      <c r="Q32" s="18" t="s">
        <v>6278</v>
      </c>
      <c r="R32" s="16"/>
      <c r="S32" s="18"/>
      <c r="T32" s="21"/>
    </row>
    <row r="33" spans="1:20" ht="15.95" customHeight="1" x14ac:dyDescent="0.25">
      <c r="A33" s="22" t="s">
        <v>119</v>
      </c>
      <c r="B33" s="16"/>
      <c r="C33" s="18" t="s">
        <v>1994</v>
      </c>
      <c r="D33" s="16"/>
      <c r="E33" s="18" t="e">
        <f>- Atalui, Sacerdotisa Vaal</f>
        <v>#NAME?</v>
      </c>
      <c r="F33" s="16"/>
      <c r="G33" s="18" t="s">
        <v>1249</v>
      </c>
      <c r="H33" s="16"/>
      <c r="I33" s="18" t="s">
        <v>3443</v>
      </c>
      <c r="J33" s="16"/>
      <c r="K33" s="18" t="s">
        <v>4187</v>
      </c>
      <c r="L33" s="16"/>
      <c r="M33" s="18" t="e">
        <f>- Atalui, Sacerdotisa Vaal</f>
        <v>#NAME?</v>
      </c>
      <c r="N33" s="16"/>
      <c r="O33" s="18" t="e">
        <f>- Аталуи, жрица ваал</f>
        <v>#NAME?</v>
      </c>
      <c r="P33" s="16"/>
      <c r="Q33" s="18" t="e" cm="1">
        <f t="array" ref="Q33">- อะตาลุย นักบวชหญิง​วาล์</f>
        <v>#NAME?</v>
      </c>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70" priority="2" stopIfTrue="1">
      <formula>NOT(ISERROR(A3))</formula>
    </cfRule>
  </conditionalFormatting>
  <conditionalFormatting sqref="A3:T51">
    <cfRule type="containsErrors" dxfId="269" priority="1" stopIfTrue="1">
      <formula>ISERROR(A3)</formula>
    </cfRule>
    <cfRule type="notContainsBlanks" dxfId="268" priority="3">
      <formula>LEN(TRIM(A3))&gt;0</formula>
    </cfRule>
  </conditionalFormatting>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CE3ADA-A964-437A-B9AA-1AAE4EDAE2DF}">
  <sheetPr codeName="Sheet43"/>
  <dimension ref="A1:T51"/>
  <sheetViews>
    <sheetView workbookViewId="0">
      <selection activeCell="Q3" sqref="Q3:Q34"/>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9" t="s">
        <v>84</v>
      </c>
    </row>
    <row r="3" spans="1:20" ht="15.95" customHeight="1" x14ac:dyDescent="0.25">
      <c r="A3" s="17" t="s">
        <v>141</v>
      </c>
      <c r="B3" s="16" t="str">
        <f>TRIM(_xlfn.TEXTBEFORE(A3, ":"))</f>
        <v>Item Class</v>
      </c>
      <c r="C3" s="17" t="s">
        <v>1995</v>
      </c>
      <c r="D3" s="16" t="str">
        <f>TRIM(_xlfn.TEXTBEFORE(C3, ":"))</f>
        <v>Gegenstandsklasse</v>
      </c>
      <c r="E3" s="17" t="s">
        <v>2715</v>
      </c>
      <c r="F3" s="16" t="str">
        <f>TRIM(_xlfn.TEXTBEFORE(E3, ":"))</f>
        <v>Clase de objeto</v>
      </c>
      <c r="G3" s="17" t="s">
        <v>1250</v>
      </c>
      <c r="H3" s="16" t="str">
        <f>TRIM(_xlfn.TEXTBEFORE(G3, ":"))</f>
        <v>Classe d'objet</v>
      </c>
      <c r="I3" s="17" t="s">
        <v>3444</v>
      </c>
      <c r="J3" s="16" t="str">
        <f>TRIM(_xlfn.TEXTBEFORE(I3, ":"))</f>
        <v>アイテムクラス</v>
      </c>
      <c r="K3" s="17" t="s">
        <v>4188</v>
      </c>
      <c r="L3" s="16" t="str">
        <f>TRIM(_xlfn.TEXTBEFORE(K3, ":"))</f>
        <v>아이템 종류</v>
      </c>
      <c r="M3" s="17" t="s">
        <v>4877</v>
      </c>
      <c r="N3" s="16" t="str">
        <f>TRIM(_xlfn.TEXTBEFORE(M3, ":"))</f>
        <v>Classe do Item</v>
      </c>
      <c r="O3" s="17" t="s">
        <v>5601</v>
      </c>
      <c r="P3" s="16" t="str">
        <f>TRIM(_xlfn.TEXTBEFORE(O3, ":"))</f>
        <v>Класс предмета</v>
      </c>
      <c r="Q3" s="17" t="s">
        <v>6279</v>
      </c>
      <c r="R3" s="16" t="str">
        <f>TRIM(_xlfn.TEXTBEFORE(Q3, ":"))</f>
        <v>ชนิดไอเทม</v>
      </c>
      <c r="S3" s="17"/>
      <c r="T3" s="16" t="e">
        <f>TRIM(_xlfn.TEXTBEFORE(S3, ":"))</f>
        <v>#N/A</v>
      </c>
    </row>
    <row r="4" spans="1:20" ht="15.95" customHeight="1" x14ac:dyDescent="0.25">
      <c r="A4" s="18" t="s">
        <v>80</v>
      </c>
      <c r="B4" s="16" t="str">
        <f>TRIM(_xlfn.TEXTAFTER(A3, ":"))</f>
        <v>Daggers</v>
      </c>
      <c r="C4" s="18" t="s">
        <v>1643</v>
      </c>
      <c r="D4" s="16" t="str">
        <f>TRIM(_xlfn.TEXTAFTER(C3, ":"))</f>
        <v>Dolche</v>
      </c>
      <c r="E4" s="18" t="s">
        <v>2363</v>
      </c>
      <c r="F4" s="16" t="str">
        <f>TRIM(_xlfn.TEXTAFTER(E3, ":"))</f>
        <v>Dagas</v>
      </c>
      <c r="G4" s="18" t="s">
        <v>1</v>
      </c>
      <c r="H4" s="16" t="str">
        <f>TRIM(_xlfn.TEXTAFTER(G3, ":"))</f>
        <v>Dagues</v>
      </c>
      <c r="I4" s="18" t="s">
        <v>3078</v>
      </c>
      <c r="J4" s="16" t="str">
        <f>TRIM(_xlfn.TEXTAFTER(I3, ":"))</f>
        <v>短剣</v>
      </c>
      <c r="K4" s="18" t="s">
        <v>3828</v>
      </c>
      <c r="L4" s="16" t="str">
        <f>TRIM(_xlfn.TEXTAFTER(K3, ":"))</f>
        <v>단검</v>
      </c>
      <c r="M4" s="18" t="s">
        <v>4557</v>
      </c>
      <c r="N4" s="16" t="str">
        <f>TRIM(_xlfn.TEXTAFTER(M3, ":"))</f>
        <v>Adagas</v>
      </c>
      <c r="O4" s="18" t="s">
        <v>5240</v>
      </c>
      <c r="P4" s="16" t="str">
        <f>TRIM(_xlfn.TEXTAFTER(O3, ":"))</f>
        <v>Кинжалы</v>
      </c>
      <c r="Q4" s="18" t="s">
        <v>5977</v>
      </c>
      <c r="R4" s="16" t="str">
        <f>TRIM(_xlfn.TEXTAFTER(Q3, ":"))</f>
        <v>มีด</v>
      </c>
      <c r="S4" s="18"/>
      <c r="T4" s="16" t="e">
        <f>TRIM(_xlfn.TEXTAFTER(S3, ":"))</f>
        <v>#N/A</v>
      </c>
    </row>
    <row r="5" spans="1:20" ht="15.95" customHeight="1" x14ac:dyDescent="0.25">
      <c r="A5" s="18" t="s">
        <v>142</v>
      </c>
      <c r="B5" s="16" t="str">
        <f>TRIM(_xlfn.TEXTBEFORE(A4, ":"))</f>
        <v>Rarity</v>
      </c>
      <c r="C5" s="18" t="s">
        <v>1996</v>
      </c>
      <c r="D5" s="16" t="str">
        <f>TRIM(_xlfn.TEXTBEFORE(C4, ":"))</f>
        <v>Seltenheit</v>
      </c>
      <c r="E5" s="18" t="s">
        <v>2716</v>
      </c>
      <c r="F5" s="16" t="str">
        <f>TRIM(_xlfn.TEXTBEFORE(E4, ":"))</f>
        <v>Rareza</v>
      </c>
      <c r="G5" s="18" t="s">
        <v>1251</v>
      </c>
      <c r="H5" s="16" t="str">
        <f>TRIM(_xlfn.TEXTBEFORE(G4, ":"))</f>
        <v>Rareté</v>
      </c>
      <c r="I5" s="18" t="s">
        <v>3445</v>
      </c>
      <c r="J5" s="16" t="str">
        <f>TRIM(_xlfn.TEXTBEFORE(I4, ":"))</f>
        <v>レアリティ</v>
      </c>
      <c r="K5" s="18" t="s">
        <v>4189</v>
      </c>
      <c r="L5" s="16" t="str">
        <f>TRIM(_xlfn.TEXTBEFORE(K4, ":"))</f>
        <v>아이템 희귀도</v>
      </c>
      <c r="M5" s="18" t="s">
        <v>4878</v>
      </c>
      <c r="N5" s="16" t="str">
        <f>TRIM(_xlfn.TEXTBEFORE(M4, ":"))</f>
        <v>Raridade</v>
      </c>
      <c r="O5" s="18" t="s">
        <v>5602</v>
      </c>
      <c r="P5" s="16" t="str">
        <f>TRIM(_xlfn.TEXTBEFORE(O4, ":"))</f>
        <v>Редкость</v>
      </c>
      <c r="Q5" s="18" t="s">
        <v>142</v>
      </c>
      <c r="R5" s="16" t="str">
        <f>TRIM(_xlfn.TEXTBEFORE(Q4, ":"))</f>
        <v>ความหายาก</v>
      </c>
      <c r="S5" s="18"/>
      <c r="T5" s="16" t="e">
        <f>TRIM(_xlfn.TEXTBEFORE(S4, ":"))</f>
        <v>#N/A</v>
      </c>
    </row>
    <row r="6" spans="1:20" ht="15.95" customHeight="1" x14ac:dyDescent="0.25">
      <c r="A6" s="18" t="s">
        <v>143</v>
      </c>
      <c r="B6" s="16" t="str">
        <f>TRIM(_xlfn.TEXTAFTER(A4,":"))</f>
        <v>Unique</v>
      </c>
      <c r="C6" s="18" t="s">
        <v>1997</v>
      </c>
      <c r="D6" s="16" t="str">
        <f>TRIM(_xlfn.TEXTAFTER(C4,":"))</f>
        <v>Einzigartig</v>
      </c>
      <c r="E6" s="18" t="s">
        <v>2717</v>
      </c>
      <c r="F6" s="16" t="str">
        <f>TRIM(_xlfn.TEXTAFTER(E4,":"))</f>
        <v>Único</v>
      </c>
      <c r="G6" s="18" t="s">
        <v>1252</v>
      </c>
      <c r="H6" s="16" t="str">
        <f>TRIM(_xlfn.TEXTAFTER(G4,":"))</f>
        <v>Unique</v>
      </c>
      <c r="I6" s="18" t="s">
        <v>3446</v>
      </c>
      <c r="J6" s="16" t="str">
        <f>TRIM(_xlfn.TEXTAFTER(I4,":"))</f>
        <v>ユニーク</v>
      </c>
      <c r="K6" s="18" t="s">
        <v>4190</v>
      </c>
      <c r="L6" s="16" t="str">
        <f>TRIM(_xlfn.TEXTAFTER(K4,":"))</f>
        <v>고유</v>
      </c>
      <c r="M6" s="18" t="s">
        <v>4879</v>
      </c>
      <c r="N6" s="16" t="str">
        <f>TRIM(_xlfn.TEXTAFTER(M4,":"))</f>
        <v>Único</v>
      </c>
      <c r="O6" s="18" t="s">
        <v>5603</v>
      </c>
      <c r="P6" s="16" t="str">
        <f>TRIM(_xlfn.TEXTAFTER(O4,":"))</f>
        <v>Уникальный</v>
      </c>
      <c r="Q6" s="18" t="s">
        <v>143</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144</v>
      </c>
      <c r="B8" s="16"/>
      <c r="C8" s="18" t="s">
        <v>1998</v>
      </c>
      <c r="D8" s="16"/>
      <c r="E8" s="18" t="s">
        <v>2718</v>
      </c>
      <c r="F8" s="16"/>
      <c r="G8" s="18" t="s">
        <v>1253</v>
      </c>
      <c r="H8" s="16"/>
      <c r="I8" s="18" t="s">
        <v>3447</v>
      </c>
      <c r="J8" s="16"/>
      <c r="K8" s="18" t="s">
        <v>4191</v>
      </c>
      <c r="L8" s="16"/>
      <c r="M8" s="18" t="s">
        <v>4880</v>
      </c>
      <c r="N8" s="16"/>
      <c r="O8" s="18" t="s">
        <v>5604</v>
      </c>
      <c r="P8" s="16"/>
      <c r="Q8" s="18" t="s">
        <v>6280</v>
      </c>
      <c r="R8" s="16"/>
      <c r="S8" s="18"/>
      <c r="T8" s="16"/>
    </row>
    <row r="9" spans="1:20" ht="15.95" customHeight="1" x14ac:dyDescent="0.25">
      <c r="A9" s="18" t="s">
        <v>145</v>
      </c>
      <c r="B9" s="16"/>
      <c r="C9" s="18" t="s">
        <v>1999</v>
      </c>
      <c r="D9" s="16"/>
      <c r="E9" s="18" t="s">
        <v>2719</v>
      </c>
      <c r="F9" s="16"/>
      <c r="G9" s="18" t="s">
        <v>1254</v>
      </c>
      <c r="H9" s="16"/>
      <c r="I9" s="18" t="s">
        <v>3448</v>
      </c>
      <c r="J9" s="16"/>
      <c r="K9" s="18" t="s">
        <v>4192</v>
      </c>
      <c r="L9" s="16"/>
      <c r="M9" s="18" t="s">
        <v>4881</v>
      </c>
      <c r="N9" s="16"/>
      <c r="O9" s="18" t="s">
        <v>5605</v>
      </c>
      <c r="P9" s="16"/>
      <c r="Q9" s="18" t="s">
        <v>6281</v>
      </c>
      <c r="R9" s="16"/>
      <c r="S9" s="18"/>
      <c r="T9" s="16"/>
    </row>
    <row r="10" spans="1:20" ht="15.95" customHeight="1" x14ac:dyDescent="0.25">
      <c r="A10" s="18" t="s">
        <v>146</v>
      </c>
      <c r="B10" s="16"/>
      <c r="C10" s="18" t="s">
        <v>2000</v>
      </c>
      <c r="D10" s="16"/>
      <c r="E10" s="18" t="s">
        <v>2720</v>
      </c>
      <c r="F10" s="16"/>
      <c r="G10" s="18" t="s">
        <v>1255</v>
      </c>
      <c r="H10" s="16"/>
      <c r="I10" s="18" t="s">
        <v>3449</v>
      </c>
      <c r="J10" s="16"/>
      <c r="K10" s="18" t="s">
        <v>4193</v>
      </c>
      <c r="L10" s="16"/>
      <c r="M10" s="18" t="s">
        <v>4882</v>
      </c>
      <c r="N10" s="16"/>
      <c r="O10" s="18" t="s">
        <v>5606</v>
      </c>
      <c r="P10" s="16"/>
      <c r="Q10" s="18" t="s">
        <v>6282</v>
      </c>
      <c r="R10" s="16"/>
      <c r="S10" s="18"/>
      <c r="T10" s="16"/>
    </row>
    <row r="11" spans="1:20" ht="15.95" customHeight="1" x14ac:dyDescent="0.25">
      <c r="A11" s="18" t="s">
        <v>147</v>
      </c>
      <c r="B11" s="16"/>
      <c r="C11" s="18" t="s">
        <v>2001</v>
      </c>
      <c r="D11" s="16"/>
      <c r="E11" s="18" t="s">
        <v>2721</v>
      </c>
      <c r="F11" s="16"/>
      <c r="G11" s="18" t="s">
        <v>1256</v>
      </c>
      <c r="H11" s="16"/>
      <c r="I11" s="18" t="s">
        <v>3450</v>
      </c>
      <c r="J11" s="16"/>
      <c r="K11" s="18" t="s">
        <v>4194</v>
      </c>
      <c r="L11" s="16"/>
      <c r="M11" s="18" t="s">
        <v>4883</v>
      </c>
      <c r="N11" s="16"/>
      <c r="O11" s="18" t="s">
        <v>5607</v>
      </c>
      <c r="P11" s="16"/>
      <c r="Q11" s="18" t="s">
        <v>6283</v>
      </c>
      <c r="R11" s="16"/>
      <c r="S11" s="18"/>
      <c r="T11" s="16"/>
    </row>
    <row r="12" spans="1:20" ht="15.95" customHeight="1" x14ac:dyDescent="0.25">
      <c r="A12" s="18" t="s">
        <v>127</v>
      </c>
      <c r="B12" s="16"/>
      <c r="C12" s="18" t="s">
        <v>1837</v>
      </c>
      <c r="D12" s="16"/>
      <c r="E12" s="18" t="s">
        <v>2555</v>
      </c>
      <c r="F12" s="16"/>
      <c r="G12" s="18" t="s">
        <v>1102</v>
      </c>
      <c r="H12" s="16"/>
      <c r="I12" s="18" t="s">
        <v>3278</v>
      </c>
      <c r="J12" s="16"/>
      <c r="K12" s="18" t="s">
        <v>4023</v>
      </c>
      <c r="L12" s="16"/>
      <c r="M12" s="18" t="s">
        <v>4746</v>
      </c>
      <c r="N12" s="16"/>
      <c r="O12" s="18" t="s">
        <v>5437</v>
      </c>
      <c r="P12" s="16"/>
      <c r="Q12" s="18" t="s">
        <v>6150</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81</v>
      </c>
      <c r="B14" s="16"/>
      <c r="C14" s="18" t="s">
        <v>1589</v>
      </c>
      <c r="D14" s="16"/>
      <c r="E14" s="18" t="s">
        <v>2308</v>
      </c>
      <c r="F14" s="16"/>
      <c r="G14" s="18" t="s">
        <v>5</v>
      </c>
      <c r="H14" s="16"/>
      <c r="I14" s="18" t="s">
        <v>3018</v>
      </c>
      <c r="J14" s="16"/>
      <c r="K14" s="18" t="s">
        <v>3772</v>
      </c>
      <c r="L14" s="16"/>
      <c r="M14" s="18" t="s">
        <v>2308</v>
      </c>
      <c r="N14" s="16"/>
      <c r="O14" s="18" t="s">
        <v>5183</v>
      </c>
      <c r="P14" s="16"/>
      <c r="Q14" s="18" t="s">
        <v>5928</v>
      </c>
      <c r="R14" s="16"/>
      <c r="S14" s="18"/>
      <c r="T14" s="21"/>
    </row>
    <row r="15" spans="1:20" ht="15.95" customHeight="1" x14ac:dyDescent="0.25">
      <c r="A15" s="18" t="s">
        <v>148</v>
      </c>
      <c r="B15" s="16"/>
      <c r="C15" s="18" t="s">
        <v>2002</v>
      </c>
      <c r="D15" s="16"/>
      <c r="E15" s="18" t="s">
        <v>2722</v>
      </c>
      <c r="F15" s="16"/>
      <c r="G15" s="18" t="s">
        <v>1257</v>
      </c>
      <c r="H15" s="16"/>
      <c r="I15" s="18" t="s">
        <v>3451</v>
      </c>
      <c r="J15" s="16"/>
      <c r="K15" s="18" t="s">
        <v>4195</v>
      </c>
      <c r="L15" s="16"/>
      <c r="M15" s="18" t="s">
        <v>4884</v>
      </c>
      <c r="N15" s="16"/>
      <c r="O15" s="18" t="s">
        <v>5608</v>
      </c>
      <c r="P15" s="16"/>
      <c r="Q15" s="18" t="s">
        <v>6284</v>
      </c>
      <c r="R15" s="16"/>
      <c r="S15" s="18"/>
      <c r="T15" s="21"/>
    </row>
    <row r="16" spans="1:20" ht="15.95" customHeight="1" x14ac:dyDescent="0.25">
      <c r="A16" s="18" t="s">
        <v>149</v>
      </c>
      <c r="B16" s="16"/>
      <c r="C16" s="18" t="s">
        <v>2003</v>
      </c>
      <c r="D16" s="16"/>
      <c r="E16" s="18" t="s">
        <v>2723</v>
      </c>
      <c r="F16" s="16"/>
      <c r="G16" s="18" t="s">
        <v>149</v>
      </c>
      <c r="H16" s="16"/>
      <c r="I16" s="18" t="s">
        <v>3452</v>
      </c>
      <c r="J16" s="16"/>
      <c r="K16" s="18" t="s">
        <v>4196</v>
      </c>
      <c r="L16" s="16"/>
      <c r="M16" s="18" t="s">
        <v>2723</v>
      </c>
      <c r="N16" s="16"/>
      <c r="O16" s="18" t="s">
        <v>5609</v>
      </c>
      <c r="P16" s="16"/>
      <c r="Q16" s="18" t="s">
        <v>149</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150</v>
      </c>
      <c r="B18" s="16"/>
      <c r="C18" s="18" t="s">
        <v>2004</v>
      </c>
      <c r="D18" s="16"/>
      <c r="E18" s="18" t="s">
        <v>2724</v>
      </c>
      <c r="F18" s="16"/>
      <c r="G18" s="18" t="s">
        <v>1258</v>
      </c>
      <c r="H18" s="16"/>
      <c r="I18" s="18" t="s">
        <v>3453</v>
      </c>
      <c r="J18" s="16"/>
      <c r="K18" s="18" t="s">
        <v>4197</v>
      </c>
      <c r="L18" s="16"/>
      <c r="M18" s="18" t="s">
        <v>4885</v>
      </c>
      <c r="N18" s="16"/>
      <c r="O18" s="18" t="s">
        <v>5610</v>
      </c>
      <c r="P18" s="16"/>
      <c r="Q18" s="18" t="s">
        <v>6285</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88</v>
      </c>
      <c r="B20" s="16"/>
      <c r="C20" s="18" t="s">
        <v>1713</v>
      </c>
      <c r="D20" s="16"/>
      <c r="E20" s="18" t="s">
        <v>2432</v>
      </c>
      <c r="F20" s="16"/>
      <c r="G20" s="18" t="s">
        <v>981</v>
      </c>
      <c r="H20" s="16"/>
      <c r="I20" s="18" t="s">
        <v>3150</v>
      </c>
      <c r="J20" s="16"/>
      <c r="K20" s="18" t="s">
        <v>3897</v>
      </c>
      <c r="L20" s="16"/>
      <c r="M20" s="18" t="s">
        <v>4626</v>
      </c>
      <c r="N20" s="16"/>
      <c r="O20" s="18" t="s">
        <v>5311</v>
      </c>
      <c r="P20" s="16"/>
      <c r="Q20" s="18" t="s">
        <v>6043</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132</v>
      </c>
      <c r="B22" s="16"/>
      <c r="C22" s="18" t="s">
        <v>1841</v>
      </c>
      <c r="D22" s="16"/>
      <c r="E22" s="18" t="s">
        <v>2559</v>
      </c>
      <c r="F22" s="16"/>
      <c r="G22" s="18" t="s">
        <v>1104</v>
      </c>
      <c r="H22" s="16"/>
      <c r="I22" s="18" t="s">
        <v>3283</v>
      </c>
      <c r="J22" s="16"/>
      <c r="K22" s="18" t="s">
        <v>4028</v>
      </c>
      <c r="L22" s="16"/>
      <c r="M22" s="18" t="s">
        <v>4749</v>
      </c>
      <c r="N22" s="16"/>
      <c r="O22" s="18" t="s">
        <v>5442</v>
      </c>
      <c r="P22" s="16"/>
      <c r="Q22" s="18" t="s">
        <v>6153</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151</v>
      </c>
      <c r="B24" s="16"/>
      <c r="C24" s="18" t="s">
        <v>2005</v>
      </c>
      <c r="D24" s="16"/>
      <c r="E24" s="18" t="s">
        <v>2725</v>
      </c>
      <c r="F24" s="16"/>
      <c r="G24" s="18" t="s">
        <v>1259</v>
      </c>
      <c r="H24" s="16"/>
      <c r="I24" s="18" t="s">
        <v>3454</v>
      </c>
      <c r="J24" s="16"/>
      <c r="K24" s="18" t="s">
        <v>4198</v>
      </c>
      <c r="L24" s="16"/>
      <c r="M24" s="18" t="s">
        <v>4886</v>
      </c>
      <c r="N24" s="16"/>
      <c r="O24" s="18" t="s">
        <v>5611</v>
      </c>
      <c r="P24" s="16"/>
      <c r="Q24" s="18" t="s">
        <v>6286</v>
      </c>
      <c r="R24" s="16"/>
      <c r="S24" s="18"/>
      <c r="T24" s="21"/>
    </row>
    <row r="25" spans="1:20" ht="15.95" customHeight="1" x14ac:dyDescent="0.25">
      <c r="A25" s="18" t="s">
        <v>152</v>
      </c>
      <c r="B25" s="16"/>
      <c r="C25" s="18" t="s">
        <v>2006</v>
      </c>
      <c r="D25" s="16"/>
      <c r="E25" s="18" t="s">
        <v>2726</v>
      </c>
      <c r="F25" s="16"/>
      <c r="G25" s="18" t="s">
        <v>1260</v>
      </c>
      <c r="H25" s="16"/>
      <c r="I25" s="18" t="s">
        <v>3455</v>
      </c>
      <c r="J25" s="16"/>
      <c r="K25" s="18" t="s">
        <v>4199</v>
      </c>
      <c r="L25" s="16"/>
      <c r="M25" s="18" t="s">
        <v>4887</v>
      </c>
      <c r="N25" s="16"/>
      <c r="O25" s="18" t="s">
        <v>5612</v>
      </c>
      <c r="P25" s="16"/>
      <c r="Q25" s="18" t="s">
        <v>6287</v>
      </c>
      <c r="R25" s="16"/>
      <c r="S25" s="18"/>
      <c r="T25" s="21"/>
    </row>
    <row r="26" spans="1:20" ht="15.95" customHeight="1" x14ac:dyDescent="0.25">
      <c r="A26" s="18" t="s">
        <v>153</v>
      </c>
      <c r="B26" s="16"/>
      <c r="C26" s="18" t="s">
        <v>2007</v>
      </c>
      <c r="D26" s="16"/>
      <c r="E26" s="18" t="s">
        <v>2727</v>
      </c>
      <c r="F26" s="16"/>
      <c r="G26" s="18" t="s">
        <v>1261</v>
      </c>
      <c r="H26" s="16"/>
      <c r="I26" s="18" t="s">
        <v>3456</v>
      </c>
      <c r="J26" s="16"/>
      <c r="K26" s="18" t="s">
        <v>4200</v>
      </c>
      <c r="L26" s="16"/>
      <c r="M26" s="18" t="s">
        <v>4888</v>
      </c>
      <c r="N26" s="16"/>
      <c r="O26" s="18" t="s">
        <v>5613</v>
      </c>
      <c r="P26" s="16"/>
      <c r="Q26" s="18" t="s">
        <v>6288</v>
      </c>
      <c r="R26" s="16"/>
      <c r="S26" s="18"/>
      <c r="T26" s="21"/>
    </row>
    <row r="27" spans="1:20" ht="15.95" customHeight="1" x14ac:dyDescent="0.25">
      <c r="A27" s="18" t="s">
        <v>154</v>
      </c>
      <c r="B27" s="16"/>
      <c r="C27" s="18" t="s">
        <v>2008</v>
      </c>
      <c r="D27" s="16"/>
      <c r="E27" s="18" t="s">
        <v>2728</v>
      </c>
      <c r="F27" s="16"/>
      <c r="G27" s="18" t="s">
        <v>1262</v>
      </c>
      <c r="H27" s="16"/>
      <c r="I27" s="18" t="s">
        <v>3457</v>
      </c>
      <c r="J27" s="16"/>
      <c r="K27" s="18" t="s">
        <v>4201</v>
      </c>
      <c r="L27" s="16"/>
      <c r="M27" s="18" t="s">
        <v>4889</v>
      </c>
      <c r="N27" s="16"/>
      <c r="O27" s="18" t="s">
        <v>5614</v>
      </c>
      <c r="P27" s="16"/>
      <c r="Q27" s="18" t="s">
        <v>6289</v>
      </c>
      <c r="R27" s="16"/>
      <c r="S27" s="18"/>
      <c r="T27" s="21"/>
    </row>
    <row r="28" spans="1:20" ht="15.95" customHeight="1" x14ac:dyDescent="0.25">
      <c r="A28" s="18" t="s">
        <v>155</v>
      </c>
      <c r="B28" s="16"/>
      <c r="C28" s="18" t="s">
        <v>2009</v>
      </c>
      <c r="D28" s="16"/>
      <c r="E28" s="18" t="s">
        <v>2729</v>
      </c>
      <c r="F28" s="16"/>
      <c r="G28" s="18" t="s">
        <v>1263</v>
      </c>
      <c r="H28" s="16"/>
      <c r="I28" s="18" t="s">
        <v>3458</v>
      </c>
      <c r="J28" s="16"/>
      <c r="K28" s="18" t="s">
        <v>4202</v>
      </c>
      <c r="L28" s="16"/>
      <c r="M28" s="18" t="s">
        <v>4890</v>
      </c>
      <c r="N28" s="16"/>
      <c r="O28" s="18" t="s">
        <v>5615</v>
      </c>
      <c r="P28" s="16"/>
      <c r="Q28" s="18" t="s">
        <v>6290</v>
      </c>
      <c r="R28" s="16"/>
      <c r="S28" s="18"/>
      <c r="T28" s="21"/>
    </row>
    <row r="29" spans="1:20" ht="15.95" customHeight="1" x14ac:dyDescent="0.25">
      <c r="A29" s="18" t="s">
        <v>156</v>
      </c>
      <c r="B29" s="16"/>
      <c r="C29" s="18" t="s">
        <v>2010</v>
      </c>
      <c r="D29" s="16"/>
      <c r="E29" s="18" t="s">
        <v>2730</v>
      </c>
      <c r="F29" s="16"/>
      <c r="G29" s="18" t="s">
        <v>1264</v>
      </c>
      <c r="H29" s="16"/>
      <c r="I29" s="18" t="s">
        <v>3459</v>
      </c>
      <c r="J29" s="16"/>
      <c r="K29" s="18" t="s">
        <v>4203</v>
      </c>
      <c r="L29" s="16"/>
      <c r="M29" s="18" t="s">
        <v>4891</v>
      </c>
      <c r="N29" s="16"/>
      <c r="O29" s="18" t="s">
        <v>5616</v>
      </c>
      <c r="P29" s="16"/>
      <c r="Q29" s="18" t="s">
        <v>6291</v>
      </c>
      <c r="R29" s="16"/>
      <c r="S29" s="18"/>
      <c r="T29" s="21"/>
    </row>
    <row r="30" spans="1:20" ht="15.95" customHeight="1" x14ac:dyDescent="0.25">
      <c r="A30" s="18" t="s">
        <v>4</v>
      </c>
      <c r="B30" s="16"/>
      <c r="C30" s="18" t="s">
        <v>4</v>
      </c>
      <c r="D30" s="16"/>
      <c r="E30" s="18" t="s">
        <v>4</v>
      </c>
      <c r="F30" s="16"/>
      <c r="G30" s="18" t="s">
        <v>4</v>
      </c>
      <c r="H30" s="16"/>
      <c r="I30" s="18" t="s">
        <v>4</v>
      </c>
      <c r="J30" s="16"/>
      <c r="K30" s="18" t="s">
        <v>4</v>
      </c>
      <c r="L30" s="16"/>
      <c r="M30" s="18" t="s">
        <v>4</v>
      </c>
      <c r="N30" s="16"/>
      <c r="O30" s="18" t="s">
        <v>4</v>
      </c>
      <c r="P30" s="16"/>
      <c r="Q30" s="18" t="s">
        <v>4</v>
      </c>
      <c r="R30" s="16"/>
      <c r="S30" s="18"/>
      <c r="T30" s="21"/>
    </row>
    <row r="31" spans="1:20" ht="15.95" customHeight="1" x14ac:dyDescent="0.25">
      <c r="A31" s="18" t="s">
        <v>157</v>
      </c>
      <c r="B31" s="16"/>
      <c r="C31" s="18" t="s">
        <v>2011</v>
      </c>
      <c r="D31" s="16"/>
      <c r="E31" s="18" t="s">
        <v>2731</v>
      </c>
      <c r="F31" s="16"/>
      <c r="G31" s="18" t="s">
        <v>1265</v>
      </c>
      <c r="H31" s="16"/>
      <c r="I31" s="18" t="s">
        <v>3460</v>
      </c>
      <c r="J31" s="16"/>
      <c r="K31" s="18" t="s">
        <v>4204</v>
      </c>
      <c r="L31" s="16"/>
      <c r="M31" s="18" t="s">
        <v>4892</v>
      </c>
      <c r="N31" s="16"/>
      <c r="O31" s="18" t="s">
        <v>5617</v>
      </c>
      <c r="P31" s="16"/>
      <c r="Q31" s="18" t="s">
        <v>6292</v>
      </c>
      <c r="R31" s="16"/>
      <c r="S31" s="18"/>
      <c r="T31" s="21"/>
    </row>
    <row r="32" spans="1:20" ht="15.95" customHeight="1" x14ac:dyDescent="0.25">
      <c r="A32" s="18" t="s">
        <v>158</v>
      </c>
      <c r="B32" s="16"/>
      <c r="C32" s="18" t="s">
        <v>2012</v>
      </c>
      <c r="D32" s="16"/>
      <c r="E32" s="18" t="s">
        <v>2732</v>
      </c>
      <c r="F32" s="16"/>
      <c r="G32" s="18" t="s">
        <v>1266</v>
      </c>
      <c r="H32" s="16"/>
      <c r="I32" s="18" t="s">
        <v>3461</v>
      </c>
      <c r="J32" s="16"/>
      <c r="K32" s="18" t="s">
        <v>4205</v>
      </c>
      <c r="L32" s="16"/>
      <c r="M32" s="18" t="s">
        <v>4893</v>
      </c>
      <c r="N32" s="16"/>
      <c r="O32" s="18" t="s">
        <v>5618</v>
      </c>
      <c r="P32" s="16"/>
      <c r="Q32" s="18" t="s">
        <v>6293</v>
      </c>
      <c r="R32" s="16"/>
      <c r="S32" s="18"/>
      <c r="T32" s="21"/>
    </row>
    <row r="33" spans="1:20" ht="15.95" customHeight="1" x14ac:dyDescent="0.25">
      <c r="A33" s="22" t="s">
        <v>159</v>
      </c>
      <c r="B33" s="16"/>
      <c r="C33" s="18" t="s">
        <v>2013</v>
      </c>
      <c r="D33" s="16"/>
      <c r="E33" s="18" t="s">
        <v>2733</v>
      </c>
      <c r="F33" s="16"/>
      <c r="G33" s="18" t="s">
        <v>1267</v>
      </c>
      <c r="H33" s="16"/>
      <c r="I33" s="18" t="s">
        <v>3462</v>
      </c>
      <c r="J33" s="16"/>
      <c r="K33" s="18" t="s">
        <v>4206</v>
      </c>
      <c r="L33" s="16"/>
      <c r="M33" s="18" t="s">
        <v>4894</v>
      </c>
      <c r="N33" s="16"/>
      <c r="O33" s="18" t="s">
        <v>5619</v>
      </c>
      <c r="P33" s="16"/>
      <c r="Q33" s="18" t="s">
        <v>6294</v>
      </c>
      <c r="R33" s="16"/>
      <c r="S33" s="18"/>
      <c r="T33" s="21"/>
    </row>
    <row r="34" spans="1:20" ht="15.95" customHeight="1" x14ac:dyDescent="0.25">
      <c r="A34" s="18" t="s">
        <v>160</v>
      </c>
      <c r="B34" s="16"/>
      <c r="C34" s="18" t="s">
        <v>2014</v>
      </c>
      <c r="D34" s="16"/>
      <c r="E34" s="18" t="s">
        <v>2734</v>
      </c>
      <c r="F34" s="16"/>
      <c r="G34" s="18" t="s">
        <v>1268</v>
      </c>
      <c r="H34" s="16"/>
      <c r="I34" s="18" t="s">
        <v>3463</v>
      </c>
      <c r="J34" s="16"/>
      <c r="K34" s="18" t="s">
        <v>4207</v>
      </c>
      <c r="L34" s="16"/>
      <c r="M34" s="18" t="s">
        <v>4895</v>
      </c>
      <c r="N34" s="16"/>
      <c r="O34" s="18" t="s">
        <v>5620</v>
      </c>
      <c r="P34" s="16"/>
      <c r="Q34" s="18" t="s">
        <v>6295</v>
      </c>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67" priority="2" stopIfTrue="1">
      <formula>NOT(ISERROR(A3))</formula>
    </cfRule>
  </conditionalFormatting>
  <conditionalFormatting sqref="A3:T51">
    <cfRule type="containsErrors" dxfId="266" priority="1" stopIfTrue="1">
      <formula>ISERROR(A3)</formula>
    </cfRule>
    <cfRule type="notContainsBlanks" dxfId="265" priority="3">
      <formula>LEN(TRIM(A3))&gt;0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8B98B-E2A5-4F14-B4C7-67EBEFA30EDC}">
  <sheetPr codeName="Sheet44"/>
  <dimension ref="A1:T51"/>
  <sheetViews>
    <sheetView workbookViewId="0">
      <selection activeCell="Q3" sqref="Q3:Q1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8" t="s">
        <v>84</v>
      </c>
    </row>
    <row r="3" spans="1:20" ht="15.95" customHeight="1" x14ac:dyDescent="0.25">
      <c r="A3" s="17" t="s">
        <v>651</v>
      </c>
      <c r="B3" s="16" t="str">
        <f>TRIM(_xlfn.TEXTBEFORE(A3, ":"))</f>
        <v>Item Class</v>
      </c>
      <c r="C3" s="17" t="s">
        <v>2015</v>
      </c>
      <c r="D3" s="16" t="str">
        <f>TRIM(_xlfn.TEXTBEFORE(C3, ":"))</f>
        <v>Gegenstandsklasse</v>
      </c>
      <c r="E3" s="17" t="s">
        <v>2735</v>
      </c>
      <c r="F3" s="16" t="str">
        <f>TRIM(_xlfn.TEXTBEFORE(E3, ":"))</f>
        <v>Clase de objeto</v>
      </c>
      <c r="G3" s="17" t="s">
        <v>1269</v>
      </c>
      <c r="H3" s="16" t="str">
        <f>TRIM(_xlfn.TEXTBEFORE(G3, ":"))</f>
        <v>Classe d'objet</v>
      </c>
      <c r="I3" s="17" t="s">
        <v>3464</v>
      </c>
      <c r="J3" s="16" t="str">
        <f>TRIM(_xlfn.TEXTBEFORE(I3, ":"))</f>
        <v>アイテムクラス</v>
      </c>
      <c r="K3" s="17" t="s">
        <v>4208</v>
      </c>
      <c r="L3" s="16" t="str">
        <f>TRIM(_xlfn.TEXTBEFORE(K3, ":"))</f>
        <v>아이템 종류</v>
      </c>
      <c r="M3" s="17" t="s">
        <v>4896</v>
      </c>
      <c r="N3" s="16" t="str">
        <f>TRIM(_xlfn.TEXTBEFORE(M3, ":"))</f>
        <v>Classe do Item</v>
      </c>
      <c r="O3" s="17" t="s">
        <v>5621</v>
      </c>
      <c r="P3" s="16" t="str">
        <f>TRIM(_xlfn.TEXTBEFORE(O3, ":"))</f>
        <v>Класс предмета</v>
      </c>
      <c r="Q3" s="17" t="s">
        <v>6296</v>
      </c>
      <c r="R3" s="16" t="str">
        <f>TRIM(_xlfn.TEXTBEFORE(Q3, ":"))</f>
        <v>ชนิดไอเทม</v>
      </c>
      <c r="S3" s="17"/>
      <c r="T3" s="20" t="e">
        <f>TRIM(_xlfn.TEXTBEFORE(S3, ":"))</f>
        <v>#N/A</v>
      </c>
    </row>
    <row r="4" spans="1:20" ht="15.95" customHeight="1" x14ac:dyDescent="0.25">
      <c r="A4" s="18" t="s">
        <v>80</v>
      </c>
      <c r="B4" s="16" t="str">
        <f>TRIM(_xlfn.TEXTAFTER(A3, ":"))</f>
        <v>Jewels</v>
      </c>
      <c r="C4" s="18" t="s">
        <v>1643</v>
      </c>
      <c r="D4" s="16" t="str">
        <f>TRIM(_xlfn.TEXTAFTER(C3, ":"))</f>
        <v>Juwelen</v>
      </c>
      <c r="E4" s="18" t="s">
        <v>2363</v>
      </c>
      <c r="F4" s="16" t="str">
        <f>TRIM(_xlfn.TEXTAFTER(E3, ":"))</f>
        <v>Joyas</v>
      </c>
      <c r="G4" s="18" t="s">
        <v>1</v>
      </c>
      <c r="H4" s="16" t="str">
        <f>TRIM(_xlfn.TEXTAFTER(G3, ":"))</f>
        <v>Joyaux</v>
      </c>
      <c r="I4" s="18" t="s">
        <v>3078</v>
      </c>
      <c r="J4" s="16" t="str">
        <f>TRIM(_xlfn.TEXTAFTER(I3, ":"))</f>
        <v>ジュエル</v>
      </c>
      <c r="K4" s="18" t="s">
        <v>3828</v>
      </c>
      <c r="L4" s="16" t="str">
        <f>TRIM(_xlfn.TEXTAFTER(K3, ":"))</f>
        <v>주얼</v>
      </c>
      <c r="M4" s="18" t="s">
        <v>4557</v>
      </c>
      <c r="N4" s="16" t="str">
        <f>TRIM(_xlfn.TEXTAFTER(M3, ":"))</f>
        <v>Joias</v>
      </c>
      <c r="O4" s="18" t="s">
        <v>5240</v>
      </c>
      <c r="P4" s="16" t="str">
        <f>TRIM(_xlfn.TEXTAFTER(O3, ":"))</f>
        <v>Самоцветы</v>
      </c>
      <c r="Q4" s="18" t="s">
        <v>5977</v>
      </c>
      <c r="R4" s="16" t="str">
        <f>TRIM(_xlfn.TEXTAFTER(Q3, ":"))</f>
        <v>จิวเวล</v>
      </c>
      <c r="S4" s="18"/>
      <c r="T4" s="20" t="e">
        <f>TRIM(_xlfn.TEXTAFTER(S3, ":"))</f>
        <v>#N/A</v>
      </c>
    </row>
    <row r="5" spans="1:20" ht="15.95" customHeight="1" x14ac:dyDescent="0.25">
      <c r="A5" s="18" t="s">
        <v>652</v>
      </c>
      <c r="B5" s="16" t="str">
        <f>TRIM(_xlfn.TEXTBEFORE(A4, ":"))</f>
        <v>Rarity</v>
      </c>
      <c r="C5" s="18" t="s">
        <v>2016</v>
      </c>
      <c r="D5" s="16" t="str">
        <f>TRIM(_xlfn.TEXTBEFORE(C4, ":"))</f>
        <v>Seltenheit</v>
      </c>
      <c r="E5" s="18" t="s">
        <v>2736</v>
      </c>
      <c r="F5" s="16" t="str">
        <f>TRIM(_xlfn.TEXTBEFORE(E4, ":"))</f>
        <v>Rareza</v>
      </c>
      <c r="G5" s="18" t="s">
        <v>1270</v>
      </c>
      <c r="H5" s="16" t="str">
        <f>TRIM(_xlfn.TEXTBEFORE(G4, ":"))</f>
        <v>Rareté</v>
      </c>
      <c r="I5" s="18" t="s">
        <v>3465</v>
      </c>
      <c r="J5" s="16" t="str">
        <f>TRIM(_xlfn.TEXTBEFORE(I4, ":"))</f>
        <v>レアリティ</v>
      </c>
      <c r="K5" s="18" t="s">
        <v>4209</v>
      </c>
      <c r="L5" s="16" t="str">
        <f>TRIM(_xlfn.TEXTBEFORE(K4, ":"))</f>
        <v>아이템 희귀도</v>
      </c>
      <c r="M5" s="18" t="s">
        <v>2736</v>
      </c>
      <c r="N5" s="16" t="str">
        <f>TRIM(_xlfn.TEXTBEFORE(M4, ":"))</f>
        <v>Raridade</v>
      </c>
      <c r="O5" s="18" t="s">
        <v>5622</v>
      </c>
      <c r="P5" s="16" t="str">
        <f>TRIM(_xlfn.TEXTBEFORE(O4, ":"))</f>
        <v>Редкость</v>
      </c>
      <c r="Q5" s="18" t="s">
        <v>652</v>
      </c>
      <c r="R5" s="16" t="str">
        <f>TRIM(_xlfn.TEXTBEFORE(Q4, ":"))</f>
        <v>ความหายาก</v>
      </c>
      <c r="S5" s="18"/>
      <c r="T5" s="20" t="e">
        <f>TRIM(_xlfn.TEXTBEFORE(S4, ":"))</f>
        <v>#N/A</v>
      </c>
    </row>
    <row r="6" spans="1:20" ht="15.95" customHeight="1" x14ac:dyDescent="0.25">
      <c r="A6" s="18" t="s">
        <v>653</v>
      </c>
      <c r="B6" s="16" t="str">
        <f>TRIM(_xlfn.TEXTAFTER(A4,":"))</f>
        <v>Unique</v>
      </c>
      <c r="C6" s="18" t="s">
        <v>2017</v>
      </c>
      <c r="D6" s="16" t="str">
        <f>TRIM(_xlfn.TEXTAFTER(C4,":"))</f>
        <v>Einzigartig</v>
      </c>
      <c r="E6" s="18" t="s">
        <v>2737</v>
      </c>
      <c r="F6" s="16" t="str">
        <f>TRIM(_xlfn.TEXTAFTER(E4,":"))</f>
        <v>Único</v>
      </c>
      <c r="G6" s="18" t="s">
        <v>1271</v>
      </c>
      <c r="H6" s="16" t="str">
        <f>TRIM(_xlfn.TEXTAFTER(G4,":"))</f>
        <v>Unique</v>
      </c>
      <c r="I6" s="18" t="s">
        <v>3466</v>
      </c>
      <c r="J6" s="16" t="str">
        <f>TRIM(_xlfn.TEXTAFTER(I4,":"))</f>
        <v>ユニーク</v>
      </c>
      <c r="K6" s="18" t="s">
        <v>4210</v>
      </c>
      <c r="L6" s="16" t="str">
        <f>TRIM(_xlfn.TEXTAFTER(K4,":"))</f>
        <v>고유</v>
      </c>
      <c r="M6" s="18" t="s">
        <v>4897</v>
      </c>
      <c r="N6" s="16" t="str">
        <f>TRIM(_xlfn.TEXTAFTER(M4,":"))</f>
        <v>Único</v>
      </c>
      <c r="O6" s="18" t="s">
        <v>5623</v>
      </c>
      <c r="P6" s="16" t="str">
        <f>TRIM(_xlfn.TEXTAFTER(O4,":"))</f>
        <v>Уникальный</v>
      </c>
      <c r="Q6" s="18" t="s">
        <v>653</v>
      </c>
      <c r="R6" s="16" t="str">
        <f>TRIM(_xlfn.TEXTAFTER(Q4,":"))</f>
        <v>ยูนิค</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88</v>
      </c>
      <c r="B8" s="16"/>
      <c r="C8" s="18" t="s">
        <v>1713</v>
      </c>
      <c r="D8" s="16"/>
      <c r="E8" s="18" t="s">
        <v>2432</v>
      </c>
      <c r="F8" s="16"/>
      <c r="G8" s="18" t="s">
        <v>981</v>
      </c>
      <c r="H8" s="16"/>
      <c r="I8" s="18" t="s">
        <v>3150</v>
      </c>
      <c r="J8" s="16"/>
      <c r="K8" s="18" t="s">
        <v>3897</v>
      </c>
      <c r="L8" s="16"/>
      <c r="M8" s="18" t="s">
        <v>4626</v>
      </c>
      <c r="N8" s="16"/>
      <c r="O8" s="18" t="s">
        <v>5311</v>
      </c>
      <c r="P8" s="16"/>
      <c r="Q8" s="18" t="s">
        <v>6043</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654</v>
      </c>
      <c r="B10" s="16"/>
      <c r="C10" s="18" t="s">
        <v>2018</v>
      </c>
      <c r="D10" s="16"/>
      <c r="E10" s="18" t="s">
        <v>2738</v>
      </c>
      <c r="F10" s="16"/>
      <c r="G10" s="18" t="s">
        <v>1272</v>
      </c>
      <c r="H10" s="16"/>
      <c r="I10" s="18" t="s">
        <v>3467</v>
      </c>
      <c r="J10" s="16"/>
      <c r="K10" s="18" t="s">
        <v>4211</v>
      </c>
      <c r="L10" s="16"/>
      <c r="M10" s="18" t="s">
        <v>4898</v>
      </c>
      <c r="N10" s="16"/>
      <c r="O10" s="18" t="s">
        <v>5624</v>
      </c>
      <c r="P10" s="16"/>
      <c r="Q10" s="18" t="s">
        <v>6297</v>
      </c>
      <c r="R10" s="16"/>
      <c r="S10" s="18"/>
      <c r="T10" s="20"/>
    </row>
    <row r="11" spans="1:20" ht="15.95" customHeight="1" x14ac:dyDescent="0.25">
      <c r="A11" s="18" t="s">
        <v>655</v>
      </c>
      <c r="B11" s="16"/>
      <c r="C11" s="18" t="s">
        <v>2019</v>
      </c>
      <c r="D11" s="16"/>
      <c r="E11" s="18" t="s">
        <v>2739</v>
      </c>
      <c r="F11" s="16"/>
      <c r="G11" s="18" t="s">
        <v>1273</v>
      </c>
      <c r="H11" s="16"/>
      <c r="I11" s="18" t="s">
        <v>3468</v>
      </c>
      <c r="J11" s="16"/>
      <c r="K11" s="18" t="s">
        <v>4212</v>
      </c>
      <c r="L11" s="16"/>
      <c r="M11" s="18" t="s">
        <v>4899</v>
      </c>
      <c r="N11" s="16"/>
      <c r="O11" s="18" t="s">
        <v>5625</v>
      </c>
      <c r="P11" s="16"/>
      <c r="Q11" s="18" t="s">
        <v>6298</v>
      </c>
      <c r="R11" s="16"/>
      <c r="S11" s="18"/>
      <c r="T11" s="20"/>
    </row>
    <row r="12" spans="1:20" ht="15.95" customHeight="1" x14ac:dyDescent="0.25">
      <c r="A12" s="18" t="s">
        <v>656</v>
      </c>
      <c r="B12" s="16"/>
      <c r="C12" s="18" t="s">
        <v>2020</v>
      </c>
      <c r="D12" s="16"/>
      <c r="E12" s="18" t="s">
        <v>2740</v>
      </c>
      <c r="F12" s="16"/>
      <c r="G12" s="18" t="s">
        <v>1274</v>
      </c>
      <c r="H12" s="16"/>
      <c r="I12" s="18" t="s">
        <v>3469</v>
      </c>
      <c r="J12" s="16"/>
      <c r="K12" s="18" t="s">
        <v>4213</v>
      </c>
      <c r="L12" s="16"/>
      <c r="M12" s="18" t="s">
        <v>4900</v>
      </c>
      <c r="N12" s="16"/>
      <c r="O12" s="18" t="s">
        <v>5626</v>
      </c>
      <c r="P12" s="16"/>
      <c r="Q12" s="18" t="s">
        <v>6299</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657</v>
      </c>
      <c r="B14" s="16"/>
      <c r="C14" s="18" t="s">
        <v>2021</v>
      </c>
      <c r="D14" s="16"/>
      <c r="E14" s="18" t="s">
        <v>2741</v>
      </c>
      <c r="F14" s="16"/>
      <c r="G14" s="18" t="s">
        <v>1275</v>
      </c>
      <c r="H14" s="16"/>
      <c r="I14" s="18" t="s">
        <v>3470</v>
      </c>
      <c r="J14" s="16"/>
      <c r="K14" s="18" t="s">
        <v>4214</v>
      </c>
      <c r="L14" s="16"/>
      <c r="M14" s="18" t="s">
        <v>4901</v>
      </c>
      <c r="N14" s="16"/>
      <c r="O14" s="18" t="s">
        <v>5627</v>
      </c>
      <c r="P14" s="16"/>
      <c r="Q14" s="18" t="s">
        <v>6300</v>
      </c>
      <c r="R14" s="16"/>
      <c r="S14" s="18"/>
      <c r="T14" s="20"/>
    </row>
    <row r="15" spans="1:20" ht="15.95" customHeight="1" x14ac:dyDescent="0.25">
      <c r="A15" s="18" t="e">
        <f>- Barkhul, the Butcher</f>
        <v>#NAME?</v>
      </c>
      <c r="B15" s="16"/>
      <c r="C15" s="18" t="s">
        <v>2022</v>
      </c>
      <c r="D15" s="16"/>
      <c r="E15" s="18" t="e">
        <f>- Barkhul, el Carnicero</f>
        <v>#NAME?</v>
      </c>
      <c r="F15" s="16"/>
      <c r="G15" s="18" t="s">
        <v>1276</v>
      </c>
      <c r="H15" s="16"/>
      <c r="I15" s="18" t="s">
        <v>3471</v>
      </c>
      <c r="J15" s="16"/>
      <c r="K15" s="18" t="e" cm="1">
        <f t="array" ref="K15">-도살자 바르쿨</f>
        <v>#NAME?</v>
      </c>
      <c r="L15" s="16"/>
      <c r="M15" s="18" t="e">
        <f>- Barkhul, o Açougueiro</f>
        <v>#NAME?</v>
      </c>
      <c r="N15" s="16"/>
      <c r="O15" s="18" t="s">
        <v>5628</v>
      </c>
      <c r="P15" s="16"/>
      <c r="Q15" s="18" t="e" cm="1">
        <f t="array" ref="Q15">- บาร์คูล นัก​ชำแหละ</f>
        <v>#NAME?</v>
      </c>
      <c r="R15" s="16"/>
      <c r="S15" s="18"/>
      <c r="T15" s="20"/>
    </row>
    <row r="16" spans="1:20" ht="15.95" customHeight="1" x14ac:dyDescent="0.25">
      <c r="A16" s="18" t="s">
        <v>4</v>
      </c>
      <c r="B16" s="16"/>
      <c r="C16" s="18" t="s">
        <v>4</v>
      </c>
      <c r="D16" s="16"/>
      <c r="E16" s="18" t="s">
        <v>4</v>
      </c>
      <c r="F16" s="16"/>
      <c r="G16" s="18" t="s">
        <v>1277</v>
      </c>
      <c r="H16" s="16"/>
      <c r="I16" s="18" t="s">
        <v>3472</v>
      </c>
      <c r="J16" s="16"/>
      <c r="K16" s="18" t="s">
        <v>4</v>
      </c>
      <c r="L16" s="16"/>
      <c r="M16" s="18" t="s">
        <v>4</v>
      </c>
      <c r="N16" s="16"/>
      <c r="O16" s="18" t="s">
        <v>5629</v>
      </c>
      <c r="P16" s="16"/>
      <c r="Q16" s="18" t="s">
        <v>4</v>
      </c>
      <c r="R16" s="16"/>
      <c r="S16" s="18"/>
      <c r="T16" s="20"/>
    </row>
    <row r="17" spans="1:20" ht="15.95" customHeight="1" x14ac:dyDescent="0.25">
      <c r="A17" s="18" t="s">
        <v>658</v>
      </c>
      <c r="B17" s="16"/>
      <c r="C17" s="18" t="s">
        <v>2023</v>
      </c>
      <c r="D17" s="16"/>
      <c r="E17" s="18" t="s">
        <v>2742</v>
      </c>
      <c r="F17" s="16"/>
      <c r="G17" s="18" t="e" cm="1">
        <f t="array" ref="G17">- Barkhul le boucher</f>
        <v>#NAME?</v>
      </c>
      <c r="H17" s="16"/>
      <c r="I17" s="18" t="s">
        <v>3473</v>
      </c>
      <c r="J17" s="16"/>
      <c r="K17" s="18" t="s">
        <v>4215</v>
      </c>
      <c r="L17" s="16"/>
      <c r="M17" s="18" t="s">
        <v>4902</v>
      </c>
      <c r="N17" s="16"/>
      <c r="O17" s="18" t="e" cm="1">
        <f t="array" ref="O17">- Гавул Мясник</f>
        <v>#NAME?</v>
      </c>
      <c r="P17" s="16"/>
      <c r="Q17" s="18" t="s">
        <v>6301</v>
      </c>
      <c r="R17" s="16"/>
      <c r="S17" s="18"/>
      <c r="T17" s="20"/>
    </row>
    <row r="18" spans="1:20" ht="15.95" customHeight="1" x14ac:dyDescent="0.25">
      <c r="A18" s="18"/>
      <c r="B18" s="16"/>
      <c r="C18" s="18"/>
      <c r="D18" s="16"/>
      <c r="E18" s="18"/>
      <c r="F18" s="16"/>
      <c r="G18" s="18" t="s">
        <v>4</v>
      </c>
      <c r="H18" s="16"/>
      <c r="I18" s="18" t="s">
        <v>4</v>
      </c>
      <c r="J18" s="16"/>
      <c r="K18" s="18"/>
      <c r="L18" s="16"/>
      <c r="M18" s="18"/>
      <c r="N18" s="16"/>
      <c r="O18" s="18" t="s">
        <v>4</v>
      </c>
      <c r="P18" s="16"/>
      <c r="Q18" s="18"/>
      <c r="R18" s="16"/>
      <c r="S18" s="18"/>
      <c r="T18" s="20"/>
    </row>
    <row r="19" spans="1:20" ht="15.95" customHeight="1" x14ac:dyDescent="0.25">
      <c r="A19" s="18"/>
      <c r="B19" s="16"/>
      <c r="C19" s="18"/>
      <c r="D19" s="16"/>
      <c r="E19" s="18"/>
      <c r="F19" s="16"/>
      <c r="G19" s="18" t="s">
        <v>1278</v>
      </c>
      <c r="H19" s="16"/>
      <c r="I19" s="18" t="s">
        <v>3474</v>
      </c>
      <c r="J19" s="16"/>
      <c r="K19" s="18"/>
      <c r="L19" s="16"/>
      <c r="M19" s="18"/>
      <c r="N19" s="16"/>
      <c r="O19" s="18" t="s">
        <v>5630</v>
      </c>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64" priority="2" stopIfTrue="1">
      <formula>NOT(ISERROR(A3))</formula>
    </cfRule>
  </conditionalFormatting>
  <conditionalFormatting sqref="A3:T51">
    <cfRule type="containsErrors" dxfId="263" priority="1" stopIfTrue="1">
      <formula>ISERROR(A3)</formula>
    </cfRule>
    <cfRule type="notContainsBlanks" dxfId="262" priority="3">
      <formula>LEN(TRIM(A3))&gt;0</formula>
    </cfRule>
  </conditionalFormatting>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7F809-AAF7-42C9-955D-949380B48221}">
  <sheetPr codeName="Sheet45"/>
  <dimension ref="A1:T51"/>
  <sheetViews>
    <sheetView workbookViewId="0">
      <selection activeCell="Q3" sqref="Q3:Q23"/>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9" t="s">
        <v>84</v>
      </c>
    </row>
    <row r="3" spans="1:20" ht="15.95" customHeight="1" x14ac:dyDescent="0.25">
      <c r="A3" s="17" t="s">
        <v>384</v>
      </c>
      <c r="B3" s="16" t="str">
        <f>TRIM(_xlfn.TEXTBEFORE(A3, ":"))</f>
        <v>Item Class</v>
      </c>
      <c r="C3" s="17" t="s">
        <v>2024</v>
      </c>
      <c r="D3" s="16" t="str">
        <f>TRIM(_xlfn.TEXTBEFORE(C3, ":"))</f>
        <v>Gegenstandsklasse</v>
      </c>
      <c r="E3" s="17" t="s">
        <v>2743</v>
      </c>
      <c r="F3" s="16" t="str">
        <f>TRIM(_xlfn.TEXTBEFORE(E3, ":"))</f>
        <v>Clase de objeto</v>
      </c>
      <c r="G3" s="17" t="s">
        <v>1279</v>
      </c>
      <c r="H3" s="16" t="str">
        <f>TRIM(_xlfn.TEXTBEFORE(G3, ":"))</f>
        <v>Classe d'objet</v>
      </c>
      <c r="I3" s="17" t="s">
        <v>3475</v>
      </c>
      <c r="J3" s="16" t="str">
        <f>TRIM(_xlfn.TEXTBEFORE(I3, ":"))</f>
        <v>アイテムクラス</v>
      </c>
      <c r="K3" s="17" t="s">
        <v>4216</v>
      </c>
      <c r="L3" s="16" t="str">
        <f>TRIM(_xlfn.TEXTBEFORE(K3, ":"))</f>
        <v>아이템 종류</v>
      </c>
      <c r="M3" s="17" t="s">
        <v>4903</v>
      </c>
      <c r="N3" s="16" t="str">
        <f>TRIM(_xlfn.TEXTBEFORE(M3, ":"))</f>
        <v>Classe do Item</v>
      </c>
      <c r="O3" s="17" t="s">
        <v>5631</v>
      </c>
      <c r="P3" s="16" t="str">
        <f>TRIM(_xlfn.TEXTBEFORE(O3, ":"))</f>
        <v>Класс предмета</v>
      </c>
      <c r="Q3" s="17" t="s">
        <v>6302</v>
      </c>
      <c r="R3" s="16" t="str">
        <f>TRIM(_xlfn.TEXTBEFORE(Q3, ":"))</f>
        <v>ชนิดไอเทม</v>
      </c>
      <c r="S3" s="17"/>
      <c r="T3" s="16" t="e">
        <f>TRIM(_xlfn.TEXTBEFORE(S3, ":"))</f>
        <v>#N/A</v>
      </c>
    </row>
    <row r="4" spans="1:20" ht="15.95" customHeight="1" x14ac:dyDescent="0.25">
      <c r="A4" s="18" t="s">
        <v>80</v>
      </c>
      <c r="B4" s="16" t="str">
        <f>TRIM(_xlfn.TEXTAFTER(A3, ":"))</f>
        <v>Quivers</v>
      </c>
      <c r="C4" s="18" t="s">
        <v>1643</v>
      </c>
      <c r="D4" s="16" t="str">
        <f>TRIM(_xlfn.TEXTAFTER(C3, ":"))</f>
        <v>Köcher</v>
      </c>
      <c r="E4" s="18" t="s">
        <v>2363</v>
      </c>
      <c r="F4" s="16" t="str">
        <f>TRIM(_xlfn.TEXTAFTER(E3, ":"))</f>
        <v>Carcajes</v>
      </c>
      <c r="G4" s="18" t="s">
        <v>1</v>
      </c>
      <c r="H4" s="16" t="str">
        <f>TRIM(_xlfn.TEXTAFTER(G3, ":"))</f>
        <v>Carquois</v>
      </c>
      <c r="I4" s="18" t="s">
        <v>3078</v>
      </c>
      <c r="J4" s="16" t="str">
        <f>TRIM(_xlfn.TEXTAFTER(I3, ":"))</f>
        <v>矢筒</v>
      </c>
      <c r="K4" s="18" t="s">
        <v>3828</v>
      </c>
      <c r="L4" s="16" t="str">
        <f>TRIM(_xlfn.TEXTAFTER(K3, ":"))</f>
        <v>화살통</v>
      </c>
      <c r="M4" s="18" t="s">
        <v>4557</v>
      </c>
      <c r="N4" s="16" t="str">
        <f>TRIM(_xlfn.TEXTAFTER(M3, ":"))</f>
        <v>Aljavas</v>
      </c>
      <c r="O4" s="18" t="s">
        <v>5240</v>
      </c>
      <c r="P4" s="16" t="str">
        <f>TRIM(_xlfn.TEXTAFTER(O3, ":"))</f>
        <v>Колчаны</v>
      </c>
      <c r="Q4" s="18" t="s">
        <v>5977</v>
      </c>
      <c r="R4" s="16" t="str">
        <f>TRIM(_xlfn.TEXTAFTER(Q3, ":"))</f>
        <v>ซองธนู</v>
      </c>
      <c r="S4" s="18"/>
      <c r="T4" s="16" t="e">
        <f>TRIM(_xlfn.TEXTAFTER(S3, ":"))</f>
        <v>#N/A</v>
      </c>
    </row>
    <row r="5" spans="1:20" ht="15.95" customHeight="1" x14ac:dyDescent="0.25">
      <c r="A5" s="18" t="s">
        <v>385</v>
      </c>
      <c r="B5" s="16" t="str">
        <f>TRIM(_xlfn.TEXTBEFORE(A4, ":"))</f>
        <v>Rarity</v>
      </c>
      <c r="C5" s="18" t="s">
        <v>2025</v>
      </c>
      <c r="D5" s="16" t="str">
        <f>TRIM(_xlfn.TEXTBEFORE(C4, ":"))</f>
        <v>Seltenheit</v>
      </c>
      <c r="E5" s="18" t="s">
        <v>2744</v>
      </c>
      <c r="F5" s="16" t="str">
        <f>TRIM(_xlfn.TEXTBEFORE(E4, ":"))</f>
        <v>Rareza</v>
      </c>
      <c r="G5" s="18" t="s">
        <v>1280</v>
      </c>
      <c r="H5" s="16" t="str">
        <f>TRIM(_xlfn.TEXTBEFORE(G4, ":"))</f>
        <v>Rareté</v>
      </c>
      <c r="I5" s="18" t="s">
        <v>3476</v>
      </c>
      <c r="J5" s="16" t="str">
        <f>TRIM(_xlfn.TEXTBEFORE(I4, ":"))</f>
        <v>レアリティ</v>
      </c>
      <c r="K5" s="18" t="s">
        <v>4217</v>
      </c>
      <c r="L5" s="16" t="str">
        <f>TRIM(_xlfn.TEXTBEFORE(K4, ":"))</f>
        <v>아이템 희귀도</v>
      </c>
      <c r="M5" s="18" t="s">
        <v>4904</v>
      </c>
      <c r="N5" s="16" t="str">
        <f>TRIM(_xlfn.TEXTBEFORE(M4, ":"))</f>
        <v>Raridade</v>
      </c>
      <c r="O5" s="18" t="s">
        <v>5632</v>
      </c>
      <c r="P5" s="16" t="str">
        <f>TRIM(_xlfn.TEXTBEFORE(O4, ":"))</f>
        <v>Редкость</v>
      </c>
      <c r="Q5" s="18" t="s">
        <v>385</v>
      </c>
      <c r="R5" s="16" t="str">
        <f>TRIM(_xlfn.TEXTBEFORE(Q4, ":"))</f>
        <v>ความหายาก</v>
      </c>
      <c r="S5" s="18"/>
      <c r="T5" s="16" t="e">
        <f>TRIM(_xlfn.TEXTBEFORE(S4, ":"))</f>
        <v>#N/A</v>
      </c>
    </row>
    <row r="6" spans="1:20" ht="15.95" customHeight="1" x14ac:dyDescent="0.25">
      <c r="A6" s="18" t="s">
        <v>386</v>
      </c>
      <c r="B6" s="16" t="str">
        <f>TRIM(_xlfn.TEXTAFTER(A4,":"))</f>
        <v>Unique</v>
      </c>
      <c r="C6" s="18" t="s">
        <v>2026</v>
      </c>
      <c r="D6" s="16" t="str">
        <f>TRIM(_xlfn.TEXTAFTER(C4,":"))</f>
        <v>Einzigartig</v>
      </c>
      <c r="E6" s="18" t="s">
        <v>2745</v>
      </c>
      <c r="F6" s="16" t="str">
        <f>TRIM(_xlfn.TEXTAFTER(E4,":"))</f>
        <v>Único</v>
      </c>
      <c r="G6" s="18" t="s">
        <v>1281</v>
      </c>
      <c r="H6" s="16" t="str">
        <f>TRIM(_xlfn.TEXTAFTER(G4,":"))</f>
        <v>Unique</v>
      </c>
      <c r="I6" s="18" t="s">
        <v>3477</v>
      </c>
      <c r="J6" s="16" t="str">
        <f>TRIM(_xlfn.TEXTAFTER(I4,":"))</f>
        <v>ユニーク</v>
      </c>
      <c r="K6" s="18" t="s">
        <v>4218</v>
      </c>
      <c r="L6" s="16" t="str">
        <f>TRIM(_xlfn.TEXTAFTER(K4,":"))</f>
        <v>고유</v>
      </c>
      <c r="M6" s="18" t="s">
        <v>4905</v>
      </c>
      <c r="N6" s="16" t="str">
        <f>TRIM(_xlfn.TEXTAFTER(M4,":"))</f>
        <v>Único</v>
      </c>
      <c r="O6" s="18" t="s">
        <v>5633</v>
      </c>
      <c r="P6" s="16" t="str">
        <f>TRIM(_xlfn.TEXTAFTER(O4,":"))</f>
        <v>Уникальный</v>
      </c>
      <c r="Q6" s="18" t="s">
        <v>386</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81</v>
      </c>
      <c r="B8" s="16"/>
      <c r="C8" s="18" t="s">
        <v>1589</v>
      </c>
      <c r="D8" s="16"/>
      <c r="E8" s="18" t="s">
        <v>2308</v>
      </c>
      <c r="F8" s="16"/>
      <c r="G8" s="18" t="s">
        <v>5</v>
      </c>
      <c r="H8" s="16"/>
      <c r="I8" s="18" t="s">
        <v>3018</v>
      </c>
      <c r="J8" s="16"/>
      <c r="K8" s="18" t="s">
        <v>3772</v>
      </c>
      <c r="L8" s="16"/>
      <c r="M8" s="18" t="s">
        <v>2308</v>
      </c>
      <c r="N8" s="16"/>
      <c r="O8" s="18" t="s">
        <v>5183</v>
      </c>
      <c r="P8" s="16"/>
      <c r="Q8" s="18" t="s">
        <v>5928</v>
      </c>
      <c r="R8" s="16"/>
      <c r="S8" s="18"/>
      <c r="T8" s="16"/>
    </row>
    <row r="9" spans="1:20" ht="15.95" customHeight="1" x14ac:dyDescent="0.25">
      <c r="A9" s="18" t="s">
        <v>387</v>
      </c>
      <c r="B9" s="16"/>
      <c r="C9" s="18" t="s">
        <v>2027</v>
      </c>
      <c r="D9" s="16"/>
      <c r="E9" s="18" t="s">
        <v>2746</v>
      </c>
      <c r="F9" s="16"/>
      <c r="G9" s="18" t="s">
        <v>1282</v>
      </c>
      <c r="H9" s="16"/>
      <c r="I9" s="18" t="s">
        <v>3478</v>
      </c>
      <c r="J9" s="16"/>
      <c r="K9" s="18" t="s">
        <v>4219</v>
      </c>
      <c r="L9" s="16"/>
      <c r="M9" s="18" t="s">
        <v>4906</v>
      </c>
      <c r="N9" s="16"/>
      <c r="O9" s="18" t="s">
        <v>5634</v>
      </c>
      <c r="P9" s="16"/>
      <c r="Q9" s="18" t="s">
        <v>6303</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388</v>
      </c>
      <c r="B11" s="16"/>
      <c r="C11" s="18" t="s">
        <v>2028</v>
      </c>
      <c r="D11" s="16"/>
      <c r="E11" s="18" t="s">
        <v>2747</v>
      </c>
      <c r="F11" s="16"/>
      <c r="G11" s="18" t="s">
        <v>1283</v>
      </c>
      <c r="H11" s="16"/>
      <c r="I11" s="18" t="s">
        <v>3479</v>
      </c>
      <c r="J11" s="16"/>
      <c r="K11" s="18" t="s">
        <v>4220</v>
      </c>
      <c r="L11" s="16"/>
      <c r="M11" s="18" t="s">
        <v>4907</v>
      </c>
      <c r="N11" s="16"/>
      <c r="O11" s="18" t="s">
        <v>5635</v>
      </c>
      <c r="P11" s="16"/>
      <c r="Q11" s="18" t="s">
        <v>6304</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389</v>
      </c>
      <c r="B13" s="16"/>
      <c r="C13" s="18" t="s">
        <v>2029</v>
      </c>
      <c r="D13" s="16"/>
      <c r="E13" s="18" t="s">
        <v>2748</v>
      </c>
      <c r="F13" s="16"/>
      <c r="G13" s="18" t="s">
        <v>1284</v>
      </c>
      <c r="H13" s="16"/>
      <c r="I13" s="18" t="s">
        <v>3480</v>
      </c>
      <c r="J13" s="16"/>
      <c r="K13" s="18" t="s">
        <v>4221</v>
      </c>
      <c r="L13" s="16"/>
      <c r="M13" s="18" t="s">
        <v>4908</v>
      </c>
      <c r="N13" s="16"/>
      <c r="O13" s="18" t="s">
        <v>5636</v>
      </c>
      <c r="P13" s="16"/>
      <c r="Q13" s="18" t="s">
        <v>6305</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390</v>
      </c>
      <c r="B15" s="16"/>
      <c r="C15" s="18" t="s">
        <v>2030</v>
      </c>
      <c r="D15" s="16"/>
      <c r="E15" s="18" t="s">
        <v>2749</v>
      </c>
      <c r="F15" s="16"/>
      <c r="G15" s="18" t="s">
        <v>1285</v>
      </c>
      <c r="H15" s="16"/>
      <c r="I15" s="18" t="s">
        <v>3481</v>
      </c>
      <c r="J15" s="16"/>
      <c r="K15" s="18" t="s">
        <v>4222</v>
      </c>
      <c r="L15" s="16"/>
      <c r="M15" s="18" t="s">
        <v>4909</v>
      </c>
      <c r="N15" s="16"/>
      <c r="O15" s="18" t="s">
        <v>5637</v>
      </c>
      <c r="P15" s="16"/>
      <c r="Q15" s="18" t="s">
        <v>6306</v>
      </c>
      <c r="R15" s="16"/>
      <c r="S15" s="18"/>
      <c r="T15" s="21"/>
    </row>
    <row r="16" spans="1:20" ht="15.95" customHeight="1" x14ac:dyDescent="0.25">
      <c r="A16" s="18" t="s">
        <v>391</v>
      </c>
      <c r="B16" s="16"/>
      <c r="C16" s="18" t="s">
        <v>2031</v>
      </c>
      <c r="D16" s="16"/>
      <c r="E16" s="18" t="s">
        <v>2750</v>
      </c>
      <c r="F16" s="16"/>
      <c r="G16" s="18" t="s">
        <v>1286</v>
      </c>
      <c r="H16" s="16"/>
      <c r="I16" s="18" t="s">
        <v>3482</v>
      </c>
      <c r="J16" s="16"/>
      <c r="K16" s="18" t="s">
        <v>4223</v>
      </c>
      <c r="L16" s="16"/>
      <c r="M16" s="18" t="s">
        <v>4910</v>
      </c>
      <c r="N16" s="16"/>
      <c r="O16" s="18" t="s">
        <v>5638</v>
      </c>
      <c r="P16" s="16"/>
      <c r="Q16" s="18" t="s">
        <v>6307</v>
      </c>
      <c r="R16" s="16"/>
      <c r="S16" s="18"/>
      <c r="T16" s="21"/>
    </row>
    <row r="17" spans="1:20" ht="15.95" customHeight="1" x14ac:dyDescent="0.25">
      <c r="A17" s="18" t="s">
        <v>392</v>
      </c>
      <c r="B17" s="16"/>
      <c r="C17" s="18" t="s">
        <v>2032</v>
      </c>
      <c r="D17" s="16"/>
      <c r="E17" s="18" t="s">
        <v>2751</v>
      </c>
      <c r="F17" s="16"/>
      <c r="G17" s="18" t="s">
        <v>1287</v>
      </c>
      <c r="H17" s="16"/>
      <c r="I17" s="18" t="s">
        <v>3483</v>
      </c>
      <c r="J17" s="16"/>
      <c r="K17" s="18" t="s">
        <v>4224</v>
      </c>
      <c r="L17" s="16"/>
      <c r="M17" s="18" t="s">
        <v>4911</v>
      </c>
      <c r="N17" s="16"/>
      <c r="O17" s="18" t="s">
        <v>5639</v>
      </c>
      <c r="P17" s="16"/>
      <c r="Q17" s="18" t="s">
        <v>6308</v>
      </c>
      <c r="R17" s="16"/>
      <c r="S17" s="18"/>
      <c r="T17" s="21"/>
    </row>
    <row r="18" spans="1:20" ht="15.95" customHeight="1" x14ac:dyDescent="0.25">
      <c r="A18" s="18" t="s">
        <v>393</v>
      </c>
      <c r="B18" s="16"/>
      <c r="C18" s="18" t="s">
        <v>2033</v>
      </c>
      <c r="D18" s="16"/>
      <c r="E18" s="18" t="s">
        <v>2752</v>
      </c>
      <c r="F18" s="16"/>
      <c r="G18" s="18" t="s">
        <v>1288</v>
      </c>
      <c r="H18" s="16"/>
      <c r="I18" s="18" t="s">
        <v>3484</v>
      </c>
      <c r="J18" s="16"/>
      <c r="K18" s="18" t="s">
        <v>4225</v>
      </c>
      <c r="L18" s="16"/>
      <c r="M18" s="18" t="s">
        <v>4912</v>
      </c>
      <c r="N18" s="16"/>
      <c r="O18" s="18" t="s">
        <v>5640</v>
      </c>
      <c r="P18" s="16"/>
      <c r="Q18" s="18" t="s">
        <v>6309</v>
      </c>
      <c r="R18" s="16"/>
      <c r="S18" s="18"/>
      <c r="T18" s="21"/>
    </row>
    <row r="19" spans="1:20" ht="15.95" customHeight="1" x14ac:dyDescent="0.25">
      <c r="A19" s="18" t="s">
        <v>394</v>
      </c>
      <c r="B19" s="16"/>
      <c r="C19" s="18" t="s">
        <v>2034</v>
      </c>
      <c r="D19" s="16"/>
      <c r="E19" s="18" t="s">
        <v>2753</v>
      </c>
      <c r="F19" s="16"/>
      <c r="G19" s="18" t="s">
        <v>1289</v>
      </c>
      <c r="H19" s="16"/>
      <c r="I19" s="18" t="s">
        <v>3485</v>
      </c>
      <c r="J19" s="16"/>
      <c r="K19" s="18" t="s">
        <v>4226</v>
      </c>
      <c r="L19" s="16"/>
      <c r="M19" s="18" t="s">
        <v>4913</v>
      </c>
      <c r="N19" s="16"/>
      <c r="O19" s="18" t="s">
        <v>5641</v>
      </c>
      <c r="P19" s="16"/>
      <c r="Q19" s="18" t="s">
        <v>6310</v>
      </c>
      <c r="R19" s="16"/>
      <c r="S19" s="18"/>
      <c r="T19" s="21"/>
    </row>
    <row r="20" spans="1:20" ht="15.95" customHeight="1" x14ac:dyDescent="0.25">
      <c r="A20" s="18" t="s">
        <v>395</v>
      </c>
      <c r="B20" s="16"/>
      <c r="C20" s="18" t="s">
        <v>2035</v>
      </c>
      <c r="D20" s="16"/>
      <c r="E20" s="18" t="s">
        <v>2754</v>
      </c>
      <c r="F20" s="16"/>
      <c r="G20" s="18" t="s">
        <v>1290</v>
      </c>
      <c r="H20" s="16"/>
      <c r="I20" s="18" t="s">
        <v>3486</v>
      </c>
      <c r="J20" s="16"/>
      <c r="K20" s="18" t="s">
        <v>4227</v>
      </c>
      <c r="L20" s="16"/>
      <c r="M20" s="18" t="s">
        <v>4914</v>
      </c>
      <c r="N20" s="16"/>
      <c r="O20" s="18" t="s">
        <v>5642</v>
      </c>
      <c r="P20" s="16"/>
      <c r="Q20" s="18" t="s">
        <v>6311</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396</v>
      </c>
      <c r="B22" s="16"/>
      <c r="C22" s="18" t="s">
        <v>2036</v>
      </c>
      <c r="D22" s="16"/>
      <c r="E22" s="18" t="s">
        <v>2755</v>
      </c>
      <c r="F22" s="16"/>
      <c r="G22" s="18" t="s">
        <v>1291</v>
      </c>
      <c r="H22" s="16"/>
      <c r="I22" s="18" t="s">
        <v>3487</v>
      </c>
      <c r="J22" s="16"/>
      <c r="K22" s="18" t="s">
        <v>4228</v>
      </c>
      <c r="L22" s="16"/>
      <c r="M22" s="18" t="s">
        <v>4915</v>
      </c>
      <c r="N22" s="16"/>
      <c r="O22" s="18" t="s">
        <v>5643</v>
      </c>
      <c r="P22" s="16"/>
      <c r="Q22" s="18" t="s">
        <v>6312</v>
      </c>
      <c r="R22" s="16"/>
      <c r="S22" s="18"/>
      <c r="T22" s="21"/>
    </row>
    <row r="23" spans="1:20" ht="15.95" customHeight="1" x14ac:dyDescent="0.25">
      <c r="A23" s="22" t="s">
        <v>397</v>
      </c>
      <c r="B23" s="16"/>
      <c r="C23" s="18" t="s">
        <v>2037</v>
      </c>
      <c r="D23" s="16"/>
      <c r="E23" s="18" t="e">
        <f>- Kiravi, Arquero Vaal</f>
        <v>#NAME?</v>
      </c>
      <c r="F23" s="16"/>
      <c r="G23" s="18" t="e">
        <f>- Kiravi, Archer Vaal</f>
        <v>#NAME?</v>
      </c>
      <c r="H23" s="16"/>
      <c r="I23" s="18" t="s">
        <v>3488</v>
      </c>
      <c r="J23" s="16"/>
      <c r="K23" s="18" t="e" cm="1">
        <f t="array" ref="K23">- 바알 궁수 키라비</f>
        <v>#NAME?</v>
      </c>
      <c r="L23" s="16"/>
      <c r="M23" s="18" t="e">
        <f>- Kiravi, Arqueiro Vaal</f>
        <v>#NAME?</v>
      </c>
      <c r="N23" s="16"/>
      <c r="O23" s="18" t="e">
        <f>- Кирави, лучник ваал</f>
        <v>#NAME?</v>
      </c>
      <c r="P23" s="16"/>
      <c r="Q23" s="18" t="e" cm="1">
        <f t="array" ref="Q23">- คีราวี พลธนู​วาล์</f>
        <v>#NAME?</v>
      </c>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61" priority="2" stopIfTrue="1">
      <formula>NOT(ISERROR(A3))</formula>
    </cfRule>
  </conditionalFormatting>
  <conditionalFormatting sqref="A3:T51">
    <cfRule type="containsErrors" dxfId="260" priority="1" stopIfTrue="1">
      <formula>ISERROR(A3)</formula>
    </cfRule>
    <cfRule type="notContainsBlanks" dxfId="259" priority="3">
      <formula>LEN(TRIM(A3))&gt;0</formula>
    </cfRule>
  </conditionalFormatting>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B3A704-DA29-443A-8E29-3E0B204B077C}">
  <sheetPr codeName="Sheet46"/>
  <dimension ref="A1:T51"/>
  <sheetViews>
    <sheetView workbookViewId="0"/>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9" t="s">
        <v>84</v>
      </c>
    </row>
    <row r="3" spans="1:20" ht="15.95" customHeight="1" x14ac:dyDescent="0.25">
      <c r="A3" s="17" t="s">
        <v>318</v>
      </c>
      <c r="B3" s="16" t="str">
        <f>TRIM(_xlfn.TEXTBEFORE(A3, ":"))</f>
        <v>Item Class</v>
      </c>
      <c r="C3" s="17" t="s">
        <v>2038</v>
      </c>
      <c r="D3" s="16" t="str">
        <f>TRIM(_xlfn.TEXTBEFORE(C3, ":"))</f>
        <v>Gegenstandsklasse</v>
      </c>
      <c r="E3" s="17" t="s">
        <v>2756</v>
      </c>
      <c r="F3" s="16" t="str">
        <f>TRIM(_xlfn.TEXTBEFORE(E3, ":"))</f>
        <v>Clase de objeto</v>
      </c>
      <c r="G3" s="17" t="s">
        <v>1292</v>
      </c>
      <c r="H3" s="16" t="str">
        <f>TRIM(_xlfn.TEXTBEFORE(G3, ":"))</f>
        <v>Classe d'objet</v>
      </c>
      <c r="I3" s="17" t="s">
        <v>3489</v>
      </c>
      <c r="J3" s="16" t="str">
        <f>TRIM(_xlfn.TEXTBEFORE(I3, ":"))</f>
        <v>アイテムクラス</v>
      </c>
      <c r="K3" s="17" t="s">
        <v>4229</v>
      </c>
      <c r="L3" s="16" t="str">
        <f>TRIM(_xlfn.TEXTBEFORE(K3, ":"))</f>
        <v>아이템 종류</v>
      </c>
      <c r="M3" s="17" t="s">
        <v>4916</v>
      </c>
      <c r="N3" s="16" t="str">
        <f>TRIM(_xlfn.TEXTBEFORE(M3, ":"))</f>
        <v>Classe do Item</v>
      </c>
      <c r="O3" s="17" t="s">
        <v>5644</v>
      </c>
      <c r="P3" s="16" t="str">
        <f>TRIM(_xlfn.TEXTBEFORE(O3, ":"))</f>
        <v>Класс предмета</v>
      </c>
      <c r="Q3" s="17" t="s">
        <v>6313</v>
      </c>
      <c r="R3" s="16" t="str">
        <f>TRIM(_xlfn.TEXTBEFORE(Q3, ":"))</f>
        <v>ชนิดไอเทม</v>
      </c>
      <c r="S3" s="17"/>
      <c r="T3" s="16" t="e">
        <f>TRIM(_xlfn.TEXTBEFORE(S3, ":"))</f>
        <v>#N/A</v>
      </c>
    </row>
    <row r="4" spans="1:20" ht="15.95" customHeight="1" x14ac:dyDescent="0.25">
      <c r="A4" s="18" t="s">
        <v>80</v>
      </c>
      <c r="B4" s="16" t="str">
        <f>TRIM(_xlfn.TEXTAFTER(A3, ":"))</f>
        <v>Sceptres</v>
      </c>
      <c r="C4" s="18" t="s">
        <v>1643</v>
      </c>
      <c r="D4" s="16" t="str">
        <f>TRIM(_xlfn.TEXTAFTER(C3, ":"))</f>
        <v>Zepter</v>
      </c>
      <c r="E4" s="18" t="s">
        <v>2363</v>
      </c>
      <c r="F4" s="16" t="str">
        <f>TRIM(_xlfn.TEXTAFTER(E3, ":"))</f>
        <v>Cetros</v>
      </c>
      <c r="G4" s="18" t="s">
        <v>1</v>
      </c>
      <c r="H4" s="16" t="str">
        <f>TRIM(_xlfn.TEXTAFTER(G3, ":"))</f>
        <v>Sceptres</v>
      </c>
      <c r="I4" s="18" t="s">
        <v>3078</v>
      </c>
      <c r="J4" s="16" t="str">
        <f>TRIM(_xlfn.TEXTAFTER(I3, ":"))</f>
        <v>セプター</v>
      </c>
      <c r="K4" s="18" t="s">
        <v>3828</v>
      </c>
      <c r="L4" s="16" t="str">
        <f>TRIM(_xlfn.TEXTAFTER(K3, ":"))</f>
        <v>셉터</v>
      </c>
      <c r="M4" s="18" t="s">
        <v>4557</v>
      </c>
      <c r="N4" s="16" t="str">
        <f>TRIM(_xlfn.TEXTAFTER(M3, ":"))</f>
        <v>Cetros</v>
      </c>
      <c r="O4" s="18" t="s">
        <v>5240</v>
      </c>
      <c r="P4" s="16" t="str">
        <f>TRIM(_xlfn.TEXTAFTER(O3, ":"))</f>
        <v>Скипетры</v>
      </c>
      <c r="Q4" s="18" t="s">
        <v>5977</v>
      </c>
      <c r="R4" s="16" t="str">
        <f>TRIM(_xlfn.TEXTAFTER(Q3, ":"))</f>
        <v>คทา</v>
      </c>
      <c r="S4" s="18"/>
      <c r="T4" s="16" t="e">
        <f>TRIM(_xlfn.TEXTAFTER(S3, ":"))</f>
        <v>#N/A</v>
      </c>
    </row>
    <row r="5" spans="1:20" ht="15.95" customHeight="1" x14ac:dyDescent="0.25">
      <c r="A5" s="18" t="s">
        <v>319</v>
      </c>
      <c r="B5" s="16" t="str">
        <f>TRIM(_xlfn.TEXTBEFORE(A4, ":"))</f>
        <v>Rarity</v>
      </c>
      <c r="C5" s="18" t="s">
        <v>2039</v>
      </c>
      <c r="D5" s="16" t="str">
        <f>TRIM(_xlfn.TEXTBEFORE(C4, ":"))</f>
        <v>Seltenheit</v>
      </c>
      <c r="E5" s="18" t="s">
        <v>2757</v>
      </c>
      <c r="F5" s="16" t="str">
        <f>TRIM(_xlfn.TEXTBEFORE(E4, ":"))</f>
        <v>Rareza</v>
      </c>
      <c r="G5" s="18" t="s">
        <v>1293</v>
      </c>
      <c r="H5" s="16" t="str">
        <f>TRIM(_xlfn.TEXTBEFORE(G4, ":"))</f>
        <v>Rareté</v>
      </c>
      <c r="I5" s="18" t="s">
        <v>3490</v>
      </c>
      <c r="J5" s="16" t="str">
        <f>TRIM(_xlfn.TEXTBEFORE(I4, ":"))</f>
        <v>レアリティ</v>
      </c>
      <c r="K5" s="18" t="s">
        <v>4230</v>
      </c>
      <c r="L5" s="16" t="str">
        <f>TRIM(_xlfn.TEXTBEFORE(K4, ":"))</f>
        <v>아이템 희귀도</v>
      </c>
      <c r="M5" s="18" t="s">
        <v>4917</v>
      </c>
      <c r="N5" s="16" t="str">
        <f>TRIM(_xlfn.TEXTBEFORE(M4, ":"))</f>
        <v>Raridade</v>
      </c>
      <c r="O5" s="18" t="s">
        <v>5645</v>
      </c>
      <c r="P5" s="16" t="str">
        <f>TRIM(_xlfn.TEXTBEFORE(O4, ":"))</f>
        <v>Редкость</v>
      </c>
      <c r="Q5" s="18" t="s">
        <v>319</v>
      </c>
      <c r="R5" s="16" t="str">
        <f>TRIM(_xlfn.TEXTBEFORE(Q4, ":"))</f>
        <v>ความหายาก</v>
      </c>
      <c r="S5" s="18"/>
      <c r="T5" s="16" t="e">
        <f>TRIM(_xlfn.TEXTBEFORE(S4, ":"))</f>
        <v>#N/A</v>
      </c>
    </row>
    <row r="6" spans="1:20" ht="15.95" customHeight="1" x14ac:dyDescent="0.25">
      <c r="A6" s="18" t="s">
        <v>320</v>
      </c>
      <c r="B6" s="16" t="str">
        <f>TRIM(_xlfn.TEXTAFTER(A4,":"))</f>
        <v>Unique</v>
      </c>
      <c r="C6" s="18" t="s">
        <v>2040</v>
      </c>
      <c r="D6" s="16" t="str">
        <f>TRIM(_xlfn.TEXTAFTER(C4,":"))</f>
        <v>Einzigartig</v>
      </c>
      <c r="E6" s="18" t="s">
        <v>2758</v>
      </c>
      <c r="F6" s="16" t="str">
        <f>TRIM(_xlfn.TEXTAFTER(E4,":"))</f>
        <v>Único</v>
      </c>
      <c r="G6" s="18" t="s">
        <v>1294</v>
      </c>
      <c r="H6" s="16" t="str">
        <f>TRIM(_xlfn.TEXTAFTER(G4,":"))</f>
        <v>Unique</v>
      </c>
      <c r="I6" s="18" t="s">
        <v>3491</v>
      </c>
      <c r="J6" s="16" t="str">
        <f>TRIM(_xlfn.TEXTAFTER(I4,":"))</f>
        <v>ユニーク</v>
      </c>
      <c r="K6" s="18" t="s">
        <v>4231</v>
      </c>
      <c r="L6" s="16" t="str">
        <f>TRIM(_xlfn.TEXTAFTER(K4,":"))</f>
        <v>고유</v>
      </c>
      <c r="M6" s="18" t="s">
        <v>4918</v>
      </c>
      <c r="N6" s="16" t="str">
        <f>TRIM(_xlfn.TEXTAFTER(M4,":"))</f>
        <v>Único</v>
      </c>
      <c r="O6" s="18" t="s">
        <v>5646</v>
      </c>
      <c r="P6" s="16" t="str">
        <f>TRIM(_xlfn.TEXTAFTER(O4,":"))</f>
        <v>Уникальный</v>
      </c>
      <c r="Q6" s="18" t="s">
        <v>320</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321</v>
      </c>
      <c r="B8" s="16"/>
      <c r="C8" s="18" t="s">
        <v>2041</v>
      </c>
      <c r="D8" s="16"/>
      <c r="E8" s="18" t="s">
        <v>2759</v>
      </c>
      <c r="F8" s="16"/>
      <c r="G8" s="18" t="s">
        <v>321</v>
      </c>
      <c r="H8" s="16"/>
      <c r="I8" s="18" t="s">
        <v>3492</v>
      </c>
      <c r="J8" s="16"/>
      <c r="K8" s="18" t="s">
        <v>4232</v>
      </c>
      <c r="L8" s="16"/>
      <c r="M8" s="18" t="s">
        <v>2759</v>
      </c>
      <c r="N8" s="16"/>
      <c r="O8" s="18" t="s">
        <v>5647</v>
      </c>
      <c r="P8" s="16"/>
      <c r="Q8" s="18" t="s">
        <v>6314</v>
      </c>
      <c r="R8" s="16"/>
      <c r="S8" s="18"/>
      <c r="T8" s="16"/>
    </row>
    <row r="9" spans="1:20" ht="15.95" customHeight="1" x14ac:dyDescent="0.25">
      <c r="A9" s="18" t="s">
        <v>322</v>
      </c>
      <c r="B9" s="16"/>
      <c r="C9" s="18" t="s">
        <v>2042</v>
      </c>
      <c r="D9" s="16"/>
      <c r="E9" s="18" t="s">
        <v>2760</v>
      </c>
      <c r="F9" s="16"/>
      <c r="G9" s="18" t="s">
        <v>1295</v>
      </c>
      <c r="H9" s="16"/>
      <c r="I9" s="18" t="s">
        <v>3493</v>
      </c>
      <c r="J9" s="16"/>
      <c r="K9" s="18" t="s">
        <v>4233</v>
      </c>
      <c r="L9" s="16"/>
      <c r="M9" s="18" t="s">
        <v>4919</v>
      </c>
      <c r="N9" s="16"/>
      <c r="O9" s="18" t="s">
        <v>5648</v>
      </c>
      <c r="P9" s="16"/>
      <c r="Q9" s="18" t="s">
        <v>6315</v>
      </c>
      <c r="R9" s="16"/>
      <c r="S9" s="18"/>
      <c r="T9" s="16"/>
    </row>
    <row r="10" spans="1:20" ht="15.95" customHeight="1" x14ac:dyDescent="0.25">
      <c r="A10" s="18" t="s">
        <v>323</v>
      </c>
      <c r="B10" s="16"/>
      <c r="C10" s="18" t="s">
        <v>2043</v>
      </c>
      <c r="D10" s="16"/>
      <c r="E10" s="18" t="s">
        <v>2761</v>
      </c>
      <c r="F10" s="16"/>
      <c r="G10" s="18" t="s">
        <v>1296</v>
      </c>
      <c r="H10" s="16"/>
      <c r="I10" s="18" t="s">
        <v>3494</v>
      </c>
      <c r="J10" s="16"/>
      <c r="K10" s="18" t="s">
        <v>4234</v>
      </c>
      <c r="L10" s="16"/>
      <c r="M10" s="18" t="s">
        <v>4920</v>
      </c>
      <c r="N10" s="16"/>
      <c r="O10" s="18" t="s">
        <v>5649</v>
      </c>
      <c r="P10" s="16"/>
      <c r="Q10" s="18" t="s">
        <v>6316</v>
      </c>
      <c r="R10" s="16"/>
      <c r="S10" s="18"/>
      <c r="T10" s="16"/>
    </row>
    <row r="11" spans="1:20" ht="15.95" customHeight="1" x14ac:dyDescent="0.25">
      <c r="A11" s="18" t="s">
        <v>324</v>
      </c>
      <c r="B11" s="16"/>
      <c r="C11" s="18" t="s">
        <v>2044</v>
      </c>
      <c r="D11" s="16"/>
      <c r="E11" s="18" t="s">
        <v>2762</v>
      </c>
      <c r="F11" s="16"/>
      <c r="G11" s="18" t="s">
        <v>1297</v>
      </c>
      <c r="H11" s="16"/>
      <c r="I11" s="18" t="s">
        <v>3495</v>
      </c>
      <c r="J11" s="16"/>
      <c r="K11" s="18" t="s">
        <v>4235</v>
      </c>
      <c r="L11" s="16"/>
      <c r="M11" s="18" t="s">
        <v>4921</v>
      </c>
      <c r="N11" s="16"/>
      <c r="O11" s="18" t="s">
        <v>5650</v>
      </c>
      <c r="P11" s="16"/>
      <c r="Q11" s="18" t="s">
        <v>6317</v>
      </c>
      <c r="R11" s="16"/>
      <c r="S11" s="18"/>
      <c r="T11" s="16"/>
    </row>
    <row r="12" spans="1:20" ht="15.95" customHeight="1" x14ac:dyDescent="0.25">
      <c r="A12" s="18" t="s">
        <v>106</v>
      </c>
      <c r="B12" s="16"/>
      <c r="C12" s="18" t="s">
        <v>1983</v>
      </c>
      <c r="D12" s="16"/>
      <c r="E12" s="18" t="s">
        <v>2704</v>
      </c>
      <c r="F12" s="16"/>
      <c r="G12" s="18" t="s">
        <v>1239</v>
      </c>
      <c r="H12" s="16"/>
      <c r="I12" s="18" t="s">
        <v>3431</v>
      </c>
      <c r="J12" s="16"/>
      <c r="K12" s="18" t="s">
        <v>4175</v>
      </c>
      <c r="L12" s="16"/>
      <c r="M12" s="18" t="s">
        <v>4922</v>
      </c>
      <c r="N12" s="16"/>
      <c r="O12" s="18" t="s">
        <v>5589</v>
      </c>
      <c r="P12" s="16"/>
      <c r="Q12" s="18" t="s">
        <v>6269</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81</v>
      </c>
      <c r="B14" s="16"/>
      <c r="C14" s="18" t="s">
        <v>1589</v>
      </c>
      <c r="D14" s="16"/>
      <c r="E14" s="18" t="s">
        <v>2308</v>
      </c>
      <c r="F14" s="16"/>
      <c r="G14" s="18" t="s">
        <v>5</v>
      </c>
      <c r="H14" s="16"/>
      <c r="I14" s="18" t="s">
        <v>3018</v>
      </c>
      <c r="J14" s="16"/>
      <c r="K14" s="18" t="s">
        <v>3772</v>
      </c>
      <c r="L14" s="16"/>
      <c r="M14" s="18" t="s">
        <v>2308</v>
      </c>
      <c r="N14" s="16"/>
      <c r="O14" s="18" t="s">
        <v>5183</v>
      </c>
      <c r="P14" s="16"/>
      <c r="Q14" s="18" t="s">
        <v>5928</v>
      </c>
      <c r="R14" s="16"/>
      <c r="S14" s="18"/>
      <c r="T14" s="21"/>
    </row>
    <row r="15" spans="1:20" ht="15.95" customHeight="1" x14ac:dyDescent="0.25">
      <c r="A15" s="18" t="s">
        <v>325</v>
      </c>
      <c r="B15" s="16"/>
      <c r="C15" s="18" t="s">
        <v>2045</v>
      </c>
      <c r="D15" s="16"/>
      <c r="E15" s="18" t="s">
        <v>2763</v>
      </c>
      <c r="F15" s="16"/>
      <c r="G15" s="18" t="s">
        <v>1298</v>
      </c>
      <c r="H15" s="16"/>
      <c r="I15" s="18" t="s">
        <v>3496</v>
      </c>
      <c r="J15" s="16"/>
      <c r="K15" s="18" t="s">
        <v>4236</v>
      </c>
      <c r="L15" s="16"/>
      <c r="M15" s="18" t="s">
        <v>4923</v>
      </c>
      <c r="N15" s="16"/>
      <c r="O15" s="18" t="s">
        <v>5651</v>
      </c>
      <c r="P15" s="16"/>
      <c r="Q15" s="18" t="s">
        <v>6318</v>
      </c>
      <c r="R15" s="16"/>
      <c r="S15" s="18"/>
      <c r="T15" s="21"/>
    </row>
    <row r="16" spans="1:20" ht="15.95" customHeight="1" x14ac:dyDescent="0.25">
      <c r="A16" s="18" t="s">
        <v>326</v>
      </c>
      <c r="B16" s="16"/>
      <c r="C16" s="18" t="s">
        <v>326</v>
      </c>
      <c r="D16" s="16"/>
      <c r="E16" s="18" t="s">
        <v>2764</v>
      </c>
      <c r="F16" s="16"/>
      <c r="G16" s="18" t="s">
        <v>1299</v>
      </c>
      <c r="H16" s="16"/>
      <c r="I16" s="18" t="s">
        <v>3497</v>
      </c>
      <c r="J16" s="16"/>
      <c r="K16" s="18" t="s">
        <v>4237</v>
      </c>
      <c r="L16" s="16"/>
      <c r="M16" s="18" t="s">
        <v>1299</v>
      </c>
      <c r="N16" s="16"/>
      <c r="O16" s="18" t="s">
        <v>5652</v>
      </c>
      <c r="P16" s="16"/>
      <c r="Q16" s="18" t="s">
        <v>326</v>
      </c>
      <c r="R16" s="16"/>
      <c r="S16" s="18"/>
      <c r="T16" s="21"/>
    </row>
    <row r="17" spans="1:20" ht="15.95" customHeight="1" x14ac:dyDescent="0.25">
      <c r="A17" s="18" t="s">
        <v>327</v>
      </c>
      <c r="B17" s="16"/>
      <c r="C17" s="18" t="s">
        <v>327</v>
      </c>
      <c r="D17" s="16"/>
      <c r="E17" s="18" t="s">
        <v>327</v>
      </c>
      <c r="F17" s="16"/>
      <c r="G17" s="18" t="s">
        <v>327</v>
      </c>
      <c r="H17" s="16"/>
      <c r="I17" s="18" t="s">
        <v>3498</v>
      </c>
      <c r="J17" s="16"/>
      <c r="K17" s="18" t="s">
        <v>4238</v>
      </c>
      <c r="L17" s="16"/>
      <c r="M17" s="18" t="s">
        <v>327</v>
      </c>
      <c r="N17" s="16"/>
      <c r="O17" s="18" t="s">
        <v>5653</v>
      </c>
      <c r="P17" s="16"/>
      <c r="Q17" s="18" t="s">
        <v>327</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328</v>
      </c>
      <c r="B19" s="16"/>
      <c r="C19" s="18" t="s">
        <v>2046</v>
      </c>
      <c r="D19" s="16"/>
      <c r="E19" s="18" t="s">
        <v>2765</v>
      </c>
      <c r="F19" s="16"/>
      <c r="G19" s="18" t="s">
        <v>1300</v>
      </c>
      <c r="H19" s="16"/>
      <c r="I19" s="18" t="s">
        <v>3499</v>
      </c>
      <c r="J19" s="16"/>
      <c r="K19" s="18" t="s">
        <v>4239</v>
      </c>
      <c r="L19" s="16"/>
      <c r="M19" s="18" t="s">
        <v>4924</v>
      </c>
      <c r="N19" s="16"/>
      <c r="O19" s="18" t="s">
        <v>5654</v>
      </c>
      <c r="P19" s="16"/>
      <c r="Q19" s="18" t="s">
        <v>6319</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311</v>
      </c>
      <c r="B21" s="16"/>
      <c r="C21" s="18" t="s">
        <v>1880</v>
      </c>
      <c r="D21" s="16"/>
      <c r="E21" s="18" t="s">
        <v>2598</v>
      </c>
      <c r="F21" s="16"/>
      <c r="G21" s="18" t="s">
        <v>1141</v>
      </c>
      <c r="H21" s="16"/>
      <c r="I21" s="18" t="s">
        <v>3323</v>
      </c>
      <c r="J21" s="16"/>
      <c r="K21" s="18" t="s">
        <v>4068</v>
      </c>
      <c r="L21" s="16"/>
      <c r="M21" s="18" t="s">
        <v>4786</v>
      </c>
      <c r="N21" s="16"/>
      <c r="O21" s="18" t="s">
        <v>5482</v>
      </c>
      <c r="P21" s="16"/>
      <c r="Q21" s="18" t="s">
        <v>6184</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329</v>
      </c>
      <c r="B23" s="16"/>
      <c r="C23" s="18" t="s">
        <v>2047</v>
      </c>
      <c r="D23" s="16"/>
      <c r="E23" s="18" t="s">
        <v>2766</v>
      </c>
      <c r="F23" s="16"/>
      <c r="G23" s="18" t="s">
        <v>1301</v>
      </c>
      <c r="H23" s="16"/>
      <c r="I23" s="18" t="s">
        <v>3500</v>
      </c>
      <c r="J23" s="16"/>
      <c r="K23" s="18" t="s">
        <v>4240</v>
      </c>
      <c r="L23" s="16"/>
      <c r="M23" s="18" t="s">
        <v>4925</v>
      </c>
      <c r="N23" s="16"/>
      <c r="O23" s="18" t="s">
        <v>5655</v>
      </c>
      <c r="P23" s="16"/>
      <c r="Q23" s="18" t="s">
        <v>6320</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330</v>
      </c>
      <c r="B25" s="16"/>
      <c r="C25" s="18" t="s">
        <v>2048</v>
      </c>
      <c r="D25" s="16"/>
      <c r="E25" s="18" t="s">
        <v>2767</v>
      </c>
      <c r="F25" s="16"/>
      <c r="G25" s="18" t="s">
        <v>1302</v>
      </c>
      <c r="H25" s="16"/>
      <c r="I25" s="18" t="s">
        <v>3501</v>
      </c>
      <c r="J25" s="16"/>
      <c r="K25" s="18" t="s">
        <v>4241</v>
      </c>
      <c r="L25" s="16"/>
      <c r="M25" s="18" t="s">
        <v>4926</v>
      </c>
      <c r="N25" s="16"/>
      <c r="O25" s="18" t="s">
        <v>5656</v>
      </c>
      <c r="P25" s="16"/>
      <c r="Q25" s="18" t="s">
        <v>6321</v>
      </c>
      <c r="R25" s="16"/>
      <c r="S25" s="18"/>
      <c r="T25" s="21"/>
    </row>
    <row r="26" spans="1:20" ht="15.95" customHeight="1" x14ac:dyDescent="0.25">
      <c r="A26" s="18" t="s">
        <v>331</v>
      </c>
      <c r="B26" s="16"/>
      <c r="C26" s="18" t="s">
        <v>2049</v>
      </c>
      <c r="D26" s="16"/>
      <c r="E26" s="18" t="s">
        <v>2768</v>
      </c>
      <c r="F26" s="16"/>
      <c r="G26" s="18" t="s">
        <v>1303</v>
      </c>
      <c r="H26" s="16"/>
      <c r="I26" s="18" t="s">
        <v>3502</v>
      </c>
      <c r="J26" s="16"/>
      <c r="K26" s="18" t="s">
        <v>4242</v>
      </c>
      <c r="L26" s="16"/>
      <c r="M26" s="18" t="s">
        <v>4927</v>
      </c>
      <c r="N26" s="16"/>
      <c r="O26" s="18" t="s">
        <v>5657</v>
      </c>
      <c r="P26" s="16"/>
      <c r="Q26" s="18" t="s">
        <v>6322</v>
      </c>
      <c r="R26" s="16"/>
      <c r="S26" s="18"/>
      <c r="T26" s="21"/>
    </row>
    <row r="27" spans="1:20" ht="15.95" customHeight="1" x14ac:dyDescent="0.25">
      <c r="A27" s="18" t="s">
        <v>332</v>
      </c>
      <c r="B27" s="16"/>
      <c r="C27" s="18" t="s">
        <v>2050</v>
      </c>
      <c r="D27" s="16"/>
      <c r="E27" s="18" t="s">
        <v>2769</v>
      </c>
      <c r="F27" s="16"/>
      <c r="G27" s="18" t="s">
        <v>1304</v>
      </c>
      <c r="H27" s="16"/>
      <c r="I27" s="18" t="s">
        <v>3503</v>
      </c>
      <c r="J27" s="16"/>
      <c r="K27" s="18" t="s">
        <v>4243</v>
      </c>
      <c r="L27" s="16"/>
      <c r="M27" s="18" t="s">
        <v>4928</v>
      </c>
      <c r="N27" s="16"/>
      <c r="O27" s="18" t="s">
        <v>5658</v>
      </c>
      <c r="P27" s="16"/>
      <c r="Q27" s="18" t="s">
        <v>6323</v>
      </c>
      <c r="R27" s="16"/>
      <c r="S27" s="18"/>
      <c r="T27" s="21"/>
    </row>
    <row r="28" spans="1:20" ht="15.95" customHeight="1" x14ac:dyDescent="0.25">
      <c r="A28" s="18" t="s">
        <v>333</v>
      </c>
      <c r="B28" s="16"/>
      <c r="C28" s="18" t="s">
        <v>2051</v>
      </c>
      <c r="D28" s="16"/>
      <c r="E28" s="18" t="s">
        <v>2770</v>
      </c>
      <c r="F28" s="16"/>
      <c r="G28" s="18" t="s">
        <v>1305</v>
      </c>
      <c r="H28" s="16"/>
      <c r="I28" s="18" t="s">
        <v>3504</v>
      </c>
      <c r="J28" s="16"/>
      <c r="K28" s="18" t="s">
        <v>4244</v>
      </c>
      <c r="L28" s="16"/>
      <c r="M28" s="18" t="s">
        <v>4929</v>
      </c>
      <c r="N28" s="16"/>
      <c r="O28" s="18" t="s">
        <v>5659</v>
      </c>
      <c r="P28" s="16"/>
      <c r="Q28" s="18" t="s">
        <v>6324</v>
      </c>
      <c r="R28" s="16"/>
      <c r="S28" s="18"/>
      <c r="T28" s="21"/>
    </row>
    <row r="29" spans="1:20" ht="15.95" customHeight="1" x14ac:dyDescent="0.25">
      <c r="A29" s="18" t="s">
        <v>334</v>
      </c>
      <c r="B29" s="16"/>
      <c r="C29" s="18" t="s">
        <v>2052</v>
      </c>
      <c r="D29" s="16"/>
      <c r="E29" s="18" t="s">
        <v>2771</v>
      </c>
      <c r="F29" s="16"/>
      <c r="G29" s="18" t="s">
        <v>1306</v>
      </c>
      <c r="H29" s="16"/>
      <c r="I29" s="18" t="s">
        <v>3505</v>
      </c>
      <c r="J29" s="16"/>
      <c r="K29" s="18" t="s">
        <v>4245</v>
      </c>
      <c r="L29" s="16"/>
      <c r="M29" s="18" t="s">
        <v>4930</v>
      </c>
      <c r="N29" s="16"/>
      <c r="O29" s="18" t="s">
        <v>5660</v>
      </c>
      <c r="P29" s="16"/>
      <c r="Q29" s="18" t="s">
        <v>6325</v>
      </c>
      <c r="R29" s="16"/>
      <c r="S29" s="18"/>
      <c r="T29" s="21"/>
    </row>
    <row r="30" spans="1:20" ht="15.95" customHeight="1" x14ac:dyDescent="0.25">
      <c r="A30" s="18" t="s">
        <v>335</v>
      </c>
      <c r="B30" s="16"/>
      <c r="C30" s="18" t="s">
        <v>2053</v>
      </c>
      <c r="D30" s="16"/>
      <c r="E30" s="18" t="s">
        <v>2772</v>
      </c>
      <c r="F30" s="16"/>
      <c r="G30" s="18" t="s">
        <v>1307</v>
      </c>
      <c r="H30" s="16"/>
      <c r="I30" s="18" t="s">
        <v>3506</v>
      </c>
      <c r="J30" s="16"/>
      <c r="K30" s="18" t="s">
        <v>4246</v>
      </c>
      <c r="L30" s="16"/>
      <c r="M30" s="18" t="s">
        <v>4931</v>
      </c>
      <c r="N30" s="16"/>
      <c r="O30" s="18" t="s">
        <v>5661</v>
      </c>
      <c r="P30" s="16"/>
      <c r="Q30" s="18" t="s">
        <v>6326</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336</v>
      </c>
      <c r="B32" s="16"/>
      <c r="C32" s="18" t="s">
        <v>2054</v>
      </c>
      <c r="D32" s="16"/>
      <c r="E32" s="18" t="s">
        <v>2773</v>
      </c>
      <c r="F32" s="16"/>
      <c r="G32" s="18" t="s">
        <v>1308</v>
      </c>
      <c r="H32" s="16"/>
      <c r="I32" s="18" t="s">
        <v>3507</v>
      </c>
      <c r="J32" s="16"/>
      <c r="K32" s="18" t="s">
        <v>4247</v>
      </c>
      <c r="L32" s="16"/>
      <c r="M32" s="18" t="s">
        <v>4932</v>
      </c>
      <c r="N32" s="16"/>
      <c r="O32" s="18" t="s">
        <v>5662</v>
      </c>
      <c r="P32" s="16"/>
      <c r="Q32" s="18" t="s">
        <v>6327</v>
      </c>
      <c r="R32" s="16"/>
      <c r="S32" s="18"/>
      <c r="T32" s="21"/>
    </row>
    <row r="33" spans="1:20" ht="15.95" customHeight="1" x14ac:dyDescent="0.25">
      <c r="A33" s="22" t="s">
        <v>337</v>
      </c>
      <c r="B33" s="16"/>
      <c r="C33" s="18" t="s">
        <v>2055</v>
      </c>
      <c r="D33" s="16"/>
      <c r="E33" s="18" t="s">
        <v>2774</v>
      </c>
      <c r="F33" s="16"/>
      <c r="G33" s="18" t="s">
        <v>1309</v>
      </c>
      <c r="H33" s="16"/>
      <c r="I33" s="18" t="s">
        <v>3508</v>
      </c>
      <c r="J33" s="16"/>
      <c r="K33" s="18" t="s">
        <v>4248</v>
      </c>
      <c r="L33" s="16"/>
      <c r="M33" s="18" t="s">
        <v>4933</v>
      </c>
      <c r="N33" s="16"/>
      <c r="O33" s="18" t="s">
        <v>5663</v>
      </c>
      <c r="P33" s="16"/>
      <c r="Q33" s="18" t="s">
        <v>6328</v>
      </c>
      <c r="R33" s="16"/>
      <c r="S33" s="18"/>
      <c r="T33" s="21"/>
    </row>
    <row r="34" spans="1:20" ht="15.95" customHeight="1" x14ac:dyDescent="0.25">
      <c r="A34" s="18" t="s">
        <v>338</v>
      </c>
      <c r="B34" s="16"/>
      <c r="C34" s="18" t="s">
        <v>2056</v>
      </c>
      <c r="D34" s="16"/>
      <c r="E34" s="18" t="s">
        <v>2775</v>
      </c>
      <c r="F34" s="16"/>
      <c r="G34" s="18" t="s">
        <v>1310</v>
      </c>
      <c r="H34" s="16"/>
      <c r="I34" s="18" t="s">
        <v>3509</v>
      </c>
      <c r="J34" s="16"/>
      <c r="K34" s="18" t="s">
        <v>4249</v>
      </c>
      <c r="L34" s="16"/>
      <c r="M34" s="18" t="s">
        <v>4934</v>
      </c>
      <c r="N34" s="16"/>
      <c r="O34" s="18" t="s">
        <v>5664</v>
      </c>
      <c r="P34" s="16"/>
      <c r="Q34" s="18" t="s">
        <v>6329</v>
      </c>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58" priority="2" stopIfTrue="1">
      <formula>NOT(ISERROR(A3))</formula>
    </cfRule>
  </conditionalFormatting>
  <conditionalFormatting sqref="A3:T51">
    <cfRule type="containsErrors" dxfId="257" priority="1" stopIfTrue="1">
      <formula>ISERROR(A3)</formula>
    </cfRule>
    <cfRule type="notContainsBlanks" dxfId="256" priority="3">
      <formula>LEN(TRIM(A3))&gt;0</formula>
    </cfRule>
  </conditionalFormatting>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086EA-FEA4-4B2F-BF61-E21752DDDD62}">
  <sheetPr codeName="Sheet47"/>
  <dimension ref="A1:T51"/>
  <sheetViews>
    <sheetView workbookViewId="0">
      <selection activeCell="Q3" sqref="Q3:Q26"/>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9" t="s">
        <v>84</v>
      </c>
    </row>
    <row r="3" spans="1:20" ht="15.95" customHeight="1" x14ac:dyDescent="0.25">
      <c r="A3" s="17" t="s">
        <v>353</v>
      </c>
      <c r="B3" s="16" t="str">
        <f>TRIM(_xlfn.TEXTBEFORE(A3, ":"))</f>
        <v>Item Class</v>
      </c>
      <c r="C3" s="17" t="s">
        <v>2057</v>
      </c>
      <c r="D3" s="16" t="str">
        <f>TRIM(_xlfn.TEXTBEFORE(C3, ":"))</f>
        <v>Gegenstandsklasse</v>
      </c>
      <c r="E3" s="17" t="s">
        <v>2776</v>
      </c>
      <c r="F3" s="16" t="str">
        <f>TRIM(_xlfn.TEXTBEFORE(E3, ":"))</f>
        <v>Clase de objeto</v>
      </c>
      <c r="G3" s="17" t="s">
        <v>1311</v>
      </c>
      <c r="H3" s="16" t="str">
        <f>TRIM(_xlfn.TEXTBEFORE(G3, ":"))</f>
        <v>Classe d'objet</v>
      </c>
      <c r="I3" s="17" t="s">
        <v>3510</v>
      </c>
      <c r="J3" s="16" t="str">
        <f>TRIM(_xlfn.TEXTBEFORE(I3, ":"))</f>
        <v>アイテムクラス</v>
      </c>
      <c r="K3" s="17" t="s">
        <v>4250</v>
      </c>
      <c r="L3" s="16" t="str">
        <f>TRIM(_xlfn.TEXTBEFORE(K3, ":"))</f>
        <v>아이템 종류</v>
      </c>
      <c r="M3" s="17" t="s">
        <v>4935</v>
      </c>
      <c r="N3" s="16" t="str">
        <f>TRIM(_xlfn.TEXTBEFORE(M3, ":"))</f>
        <v>Classe do Item</v>
      </c>
      <c r="O3" s="17" t="s">
        <v>5665</v>
      </c>
      <c r="P3" s="16" t="str">
        <f>TRIM(_xlfn.TEXTBEFORE(O3, ":"))</f>
        <v>Класс предмета</v>
      </c>
      <c r="Q3" s="17" t="s">
        <v>6330</v>
      </c>
      <c r="R3" s="16" t="str">
        <f>TRIM(_xlfn.TEXTBEFORE(Q3, ":"))</f>
        <v>ชนิดไอเทม</v>
      </c>
      <c r="S3" s="17"/>
      <c r="T3" s="16" t="e">
        <f>TRIM(_xlfn.TEXTBEFORE(S3, ":"))</f>
        <v>#N/A</v>
      </c>
    </row>
    <row r="4" spans="1:20" ht="15.95" customHeight="1" x14ac:dyDescent="0.25">
      <c r="A4" s="18" t="s">
        <v>80</v>
      </c>
      <c r="B4" s="16" t="str">
        <f>TRIM(_xlfn.TEXTAFTER(A3, ":"))</f>
        <v>Staves</v>
      </c>
      <c r="C4" s="18" t="s">
        <v>1643</v>
      </c>
      <c r="D4" s="16" t="str">
        <f>TRIM(_xlfn.TEXTAFTER(C3, ":"))</f>
        <v>Stäbe</v>
      </c>
      <c r="E4" s="18" t="s">
        <v>2363</v>
      </c>
      <c r="F4" s="16" t="str">
        <f>TRIM(_xlfn.TEXTAFTER(E3, ":"))</f>
        <v>Báculos</v>
      </c>
      <c r="G4" s="18" t="s">
        <v>1</v>
      </c>
      <c r="H4" s="16" t="str">
        <f>TRIM(_xlfn.TEXTAFTER(G3, ":"))</f>
        <v>Bâtons</v>
      </c>
      <c r="I4" s="18" t="s">
        <v>3078</v>
      </c>
      <c r="J4" s="16" t="str">
        <f>TRIM(_xlfn.TEXTAFTER(I3, ":"))</f>
        <v>スタッフ</v>
      </c>
      <c r="K4" s="18" t="s">
        <v>3828</v>
      </c>
      <c r="L4" s="16" t="str">
        <f>TRIM(_xlfn.TEXTAFTER(K3, ":"))</f>
        <v>지팡이</v>
      </c>
      <c r="M4" s="18" t="s">
        <v>4557</v>
      </c>
      <c r="N4" s="16" t="str">
        <f>TRIM(_xlfn.TEXTAFTER(M3, ":"))</f>
        <v>Cajados</v>
      </c>
      <c r="O4" s="18" t="s">
        <v>5240</v>
      </c>
      <c r="P4" s="16" t="str">
        <f>TRIM(_xlfn.TEXTAFTER(O3, ":"))</f>
        <v>Посохи</v>
      </c>
      <c r="Q4" s="18" t="s">
        <v>5977</v>
      </c>
      <c r="R4" s="16" t="str">
        <f>TRIM(_xlfn.TEXTAFTER(Q3, ":"))</f>
        <v>ไม้พลอง</v>
      </c>
      <c r="S4" s="18"/>
      <c r="T4" s="16" t="e">
        <f>TRIM(_xlfn.TEXTAFTER(S3, ":"))</f>
        <v>#N/A</v>
      </c>
    </row>
    <row r="5" spans="1:20" ht="15.95" customHeight="1" x14ac:dyDescent="0.25">
      <c r="A5" s="18" t="s">
        <v>354</v>
      </c>
      <c r="B5" s="16" t="str">
        <f>TRIM(_xlfn.TEXTBEFORE(A4, ":"))</f>
        <v>Rarity</v>
      </c>
      <c r="C5" s="18" t="s">
        <v>2058</v>
      </c>
      <c r="D5" s="16" t="str">
        <f>TRIM(_xlfn.TEXTBEFORE(C4, ":"))</f>
        <v>Seltenheit</v>
      </c>
      <c r="E5" s="18" t="s">
        <v>2777</v>
      </c>
      <c r="F5" s="16" t="str">
        <f>TRIM(_xlfn.TEXTBEFORE(E4, ":"))</f>
        <v>Rareza</v>
      </c>
      <c r="G5" s="18" t="s">
        <v>1312</v>
      </c>
      <c r="H5" s="16" t="str">
        <f>TRIM(_xlfn.TEXTBEFORE(G4, ":"))</f>
        <v>Rareté</v>
      </c>
      <c r="I5" s="18" t="s">
        <v>3511</v>
      </c>
      <c r="J5" s="16" t="str">
        <f>TRIM(_xlfn.TEXTBEFORE(I4, ":"))</f>
        <v>レアリティ</v>
      </c>
      <c r="K5" s="18" t="s">
        <v>4251</v>
      </c>
      <c r="L5" s="16" t="str">
        <f>TRIM(_xlfn.TEXTBEFORE(K4, ":"))</f>
        <v>아이템 희귀도</v>
      </c>
      <c r="M5" s="18" t="s">
        <v>4936</v>
      </c>
      <c r="N5" s="16" t="str">
        <f>TRIM(_xlfn.TEXTBEFORE(M4, ":"))</f>
        <v>Raridade</v>
      </c>
      <c r="O5" s="18" t="s">
        <v>5666</v>
      </c>
      <c r="P5" s="16" t="str">
        <f>TRIM(_xlfn.TEXTBEFORE(O4, ":"))</f>
        <v>Редкость</v>
      </c>
      <c r="Q5" s="18" t="s">
        <v>354</v>
      </c>
      <c r="R5" s="16" t="str">
        <f>TRIM(_xlfn.TEXTBEFORE(Q4, ":"))</f>
        <v>ความหายาก</v>
      </c>
      <c r="S5" s="18"/>
      <c r="T5" s="16" t="e">
        <f>TRIM(_xlfn.TEXTBEFORE(S4, ":"))</f>
        <v>#N/A</v>
      </c>
    </row>
    <row r="6" spans="1:20" ht="15.95" customHeight="1" x14ac:dyDescent="0.25">
      <c r="A6" s="18" t="s">
        <v>355</v>
      </c>
      <c r="B6" s="16" t="str">
        <f>TRIM(_xlfn.TEXTAFTER(A4,":"))</f>
        <v>Unique</v>
      </c>
      <c r="C6" s="18" t="s">
        <v>2059</v>
      </c>
      <c r="D6" s="16" t="str">
        <f>TRIM(_xlfn.TEXTAFTER(C4,":"))</f>
        <v>Einzigartig</v>
      </c>
      <c r="E6" s="18" t="s">
        <v>2778</v>
      </c>
      <c r="F6" s="16" t="str">
        <f>TRIM(_xlfn.TEXTAFTER(E4,":"))</f>
        <v>Único</v>
      </c>
      <c r="G6" s="18" t="s">
        <v>1313</v>
      </c>
      <c r="H6" s="16" t="str">
        <f>TRIM(_xlfn.TEXTAFTER(G4,":"))</f>
        <v>Unique</v>
      </c>
      <c r="I6" s="18" t="s">
        <v>3512</v>
      </c>
      <c r="J6" s="16" t="str">
        <f>TRIM(_xlfn.TEXTAFTER(I4,":"))</f>
        <v>ユニーク</v>
      </c>
      <c r="K6" s="18" t="s">
        <v>4252</v>
      </c>
      <c r="L6" s="16" t="str">
        <f>TRIM(_xlfn.TEXTAFTER(K4,":"))</f>
        <v>고유</v>
      </c>
      <c r="M6" s="18" t="s">
        <v>4937</v>
      </c>
      <c r="N6" s="16" t="str">
        <f>TRIM(_xlfn.TEXTAFTER(M4,":"))</f>
        <v>Único</v>
      </c>
      <c r="O6" s="18" t="s">
        <v>5667</v>
      </c>
      <c r="P6" s="16" t="str">
        <f>TRIM(_xlfn.TEXTAFTER(O4,":"))</f>
        <v>Уникальный</v>
      </c>
      <c r="Q6" s="18" t="s">
        <v>355</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356</v>
      </c>
      <c r="B8" s="16"/>
      <c r="C8" s="18" t="s">
        <v>2060</v>
      </c>
      <c r="D8" s="16"/>
      <c r="E8" s="18" t="s">
        <v>2779</v>
      </c>
      <c r="F8" s="16"/>
      <c r="G8" s="18" t="s">
        <v>1314</v>
      </c>
      <c r="H8" s="16"/>
      <c r="I8" s="18" t="s">
        <v>3513</v>
      </c>
      <c r="J8" s="16"/>
      <c r="K8" s="18" t="s">
        <v>4253</v>
      </c>
      <c r="L8" s="16"/>
      <c r="M8" s="18" t="s">
        <v>4938</v>
      </c>
      <c r="N8" s="16"/>
      <c r="O8" s="18" t="s">
        <v>5668</v>
      </c>
      <c r="P8" s="16"/>
      <c r="Q8" s="18" t="s">
        <v>6331</v>
      </c>
      <c r="R8" s="16"/>
      <c r="S8" s="18"/>
      <c r="T8" s="16"/>
    </row>
    <row r="9" spans="1:20" ht="15.95" customHeight="1" x14ac:dyDescent="0.25">
      <c r="A9" s="18" t="s">
        <v>357</v>
      </c>
      <c r="B9" s="16"/>
      <c r="C9" s="18" t="s">
        <v>2061</v>
      </c>
      <c r="D9" s="16"/>
      <c r="E9" s="18" t="s">
        <v>2780</v>
      </c>
      <c r="F9" s="16"/>
      <c r="G9" s="18" t="s">
        <v>1315</v>
      </c>
      <c r="H9" s="16"/>
      <c r="I9" s="18" t="s">
        <v>3514</v>
      </c>
      <c r="J9" s="16"/>
      <c r="K9" s="18" t="s">
        <v>4254</v>
      </c>
      <c r="L9" s="16"/>
      <c r="M9" s="18" t="s">
        <v>4939</v>
      </c>
      <c r="N9" s="16"/>
      <c r="O9" s="18" t="s">
        <v>5669</v>
      </c>
      <c r="P9" s="16"/>
      <c r="Q9" s="18" t="s">
        <v>6332</v>
      </c>
      <c r="R9" s="16"/>
      <c r="S9" s="18"/>
      <c r="T9" s="16"/>
    </row>
    <row r="10" spans="1:20" ht="15.95" customHeight="1" x14ac:dyDescent="0.25">
      <c r="A10" s="18" t="s">
        <v>104</v>
      </c>
      <c r="B10" s="16"/>
      <c r="C10" s="18" t="s">
        <v>1966</v>
      </c>
      <c r="D10" s="16"/>
      <c r="E10" s="18" t="s">
        <v>2687</v>
      </c>
      <c r="F10" s="16"/>
      <c r="G10" s="18" t="s">
        <v>1223</v>
      </c>
      <c r="H10" s="16"/>
      <c r="I10" s="18" t="s">
        <v>3414</v>
      </c>
      <c r="J10" s="16"/>
      <c r="K10" s="18" t="s">
        <v>4158</v>
      </c>
      <c r="L10" s="16"/>
      <c r="M10" s="18" t="s">
        <v>4866</v>
      </c>
      <c r="N10" s="16"/>
      <c r="O10" s="18" t="s">
        <v>5572</v>
      </c>
      <c r="P10" s="16"/>
      <c r="Q10" s="18" t="s">
        <v>6255</v>
      </c>
      <c r="R10" s="16"/>
      <c r="S10" s="18"/>
      <c r="T10" s="16"/>
    </row>
    <row r="11" spans="1:20" ht="15.95" customHeight="1" x14ac:dyDescent="0.25">
      <c r="A11" s="18" t="s">
        <v>271</v>
      </c>
      <c r="B11" s="16"/>
      <c r="C11" s="18" t="s">
        <v>2062</v>
      </c>
      <c r="D11" s="16"/>
      <c r="E11" s="18" t="s">
        <v>2781</v>
      </c>
      <c r="F11" s="16"/>
      <c r="G11" s="18" t="s">
        <v>1316</v>
      </c>
      <c r="H11" s="16"/>
      <c r="I11" s="18" t="s">
        <v>3515</v>
      </c>
      <c r="J11" s="16"/>
      <c r="K11" s="18" t="s">
        <v>4255</v>
      </c>
      <c r="L11" s="16"/>
      <c r="M11" s="18" t="s">
        <v>4940</v>
      </c>
      <c r="N11" s="16"/>
      <c r="O11" s="18" t="s">
        <v>5670</v>
      </c>
      <c r="P11" s="16"/>
      <c r="Q11" s="18" t="s">
        <v>6333</v>
      </c>
      <c r="R11" s="16"/>
      <c r="S11" s="18"/>
      <c r="T11" s="16"/>
    </row>
    <row r="12" spans="1:20" ht="15.95" customHeight="1" x14ac:dyDescent="0.25">
      <c r="A12" s="18" t="s">
        <v>226</v>
      </c>
      <c r="B12" s="16"/>
      <c r="C12" s="18" t="s">
        <v>2063</v>
      </c>
      <c r="D12" s="16"/>
      <c r="E12" s="18" t="s">
        <v>2782</v>
      </c>
      <c r="F12" s="16"/>
      <c r="G12" s="18" t="s">
        <v>1317</v>
      </c>
      <c r="H12" s="16"/>
      <c r="I12" s="18" t="s">
        <v>3516</v>
      </c>
      <c r="J12" s="16"/>
      <c r="K12" s="18" t="s">
        <v>4256</v>
      </c>
      <c r="L12" s="16"/>
      <c r="M12" s="18" t="s">
        <v>4941</v>
      </c>
      <c r="N12" s="16"/>
      <c r="O12" s="18" t="s">
        <v>5671</v>
      </c>
      <c r="P12" s="16"/>
      <c r="Q12" s="18" t="s">
        <v>6334</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358</v>
      </c>
      <c r="B14" s="16"/>
      <c r="C14" s="18" t="s">
        <v>1804</v>
      </c>
      <c r="D14" s="16"/>
      <c r="E14" s="18" t="s">
        <v>2523</v>
      </c>
      <c r="F14" s="16"/>
      <c r="G14" s="18" t="s">
        <v>1070</v>
      </c>
      <c r="H14" s="16"/>
      <c r="I14" s="18" t="s">
        <v>3244</v>
      </c>
      <c r="J14" s="16"/>
      <c r="K14" s="18" t="s">
        <v>3990</v>
      </c>
      <c r="L14" s="16"/>
      <c r="M14" s="18" t="s">
        <v>4715</v>
      </c>
      <c r="N14" s="16"/>
      <c r="O14" s="18" t="s">
        <v>5404</v>
      </c>
      <c r="P14" s="16"/>
      <c r="Q14" s="18" t="s">
        <v>6123</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169</v>
      </c>
      <c r="B16" s="16"/>
      <c r="C16" s="18" t="s">
        <v>1646</v>
      </c>
      <c r="D16" s="16"/>
      <c r="E16" s="18" t="s">
        <v>2366</v>
      </c>
      <c r="F16" s="16"/>
      <c r="G16" s="18" t="s">
        <v>913</v>
      </c>
      <c r="H16" s="16"/>
      <c r="I16" s="18" t="s">
        <v>3081</v>
      </c>
      <c r="J16" s="16"/>
      <c r="K16" s="18" t="s">
        <v>3831</v>
      </c>
      <c r="L16" s="16"/>
      <c r="M16" s="18" t="s">
        <v>4560</v>
      </c>
      <c r="N16" s="16"/>
      <c r="O16" s="18" t="s">
        <v>5243</v>
      </c>
      <c r="P16" s="16"/>
      <c r="Q16" s="18" t="s">
        <v>5980</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359</v>
      </c>
      <c r="B18" s="16"/>
      <c r="C18" s="18" t="s">
        <v>2064</v>
      </c>
      <c r="D18" s="16"/>
      <c r="E18" s="18" t="s">
        <v>2783</v>
      </c>
      <c r="F18" s="16"/>
      <c r="G18" s="18" t="s">
        <v>1318</v>
      </c>
      <c r="H18" s="16"/>
      <c r="I18" s="18" t="s">
        <v>3517</v>
      </c>
      <c r="J18" s="16"/>
      <c r="K18" s="18" t="s">
        <v>4257</v>
      </c>
      <c r="L18" s="16"/>
      <c r="M18" s="18" t="s">
        <v>4942</v>
      </c>
      <c r="N18" s="16"/>
      <c r="O18" s="18" t="s">
        <v>5672</v>
      </c>
      <c r="P18" s="16"/>
      <c r="Q18" s="18" t="s">
        <v>6335</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360</v>
      </c>
      <c r="B20" s="16"/>
      <c r="C20" s="18" t="s">
        <v>2065</v>
      </c>
      <c r="D20" s="16"/>
      <c r="E20" s="18" t="s">
        <v>2784</v>
      </c>
      <c r="F20" s="16"/>
      <c r="G20" s="18" t="s">
        <v>1319</v>
      </c>
      <c r="H20" s="16"/>
      <c r="I20" s="18" t="s">
        <v>3518</v>
      </c>
      <c r="J20" s="16"/>
      <c r="K20" s="18" t="s">
        <v>4258</v>
      </c>
      <c r="L20" s="16"/>
      <c r="M20" s="18" t="s">
        <v>4943</v>
      </c>
      <c r="N20" s="16"/>
      <c r="O20" s="18" t="s">
        <v>5673</v>
      </c>
      <c r="P20" s="16"/>
      <c r="Q20" s="18" t="s">
        <v>6336</v>
      </c>
      <c r="R20" s="16"/>
      <c r="S20" s="18"/>
      <c r="T20" s="21"/>
    </row>
    <row r="21" spans="1:20" ht="15.95" customHeight="1" x14ac:dyDescent="0.25">
      <c r="A21" s="18" t="s">
        <v>361</v>
      </c>
      <c r="B21" s="16"/>
      <c r="C21" s="18" t="s">
        <v>2066</v>
      </c>
      <c r="D21" s="16"/>
      <c r="E21" s="18" t="s">
        <v>2785</v>
      </c>
      <c r="F21" s="16"/>
      <c r="G21" s="18" t="s">
        <v>1320</v>
      </c>
      <c r="H21" s="16"/>
      <c r="I21" s="18" t="s">
        <v>3519</v>
      </c>
      <c r="J21" s="16"/>
      <c r="K21" s="18" t="s">
        <v>4259</v>
      </c>
      <c r="L21" s="16"/>
      <c r="M21" s="18" t="s">
        <v>4944</v>
      </c>
      <c r="N21" s="16"/>
      <c r="O21" s="18" t="s">
        <v>5674</v>
      </c>
      <c r="P21" s="16"/>
      <c r="Q21" s="18" t="s">
        <v>6337</v>
      </c>
      <c r="R21" s="16"/>
      <c r="S21" s="18"/>
      <c r="T21" s="21"/>
    </row>
    <row r="22" spans="1:20" ht="15.95" customHeight="1" x14ac:dyDescent="0.25">
      <c r="A22" s="18" t="s">
        <v>362</v>
      </c>
      <c r="B22" s="16"/>
      <c r="C22" s="18" t="s">
        <v>2067</v>
      </c>
      <c r="D22" s="16"/>
      <c r="E22" s="18" t="s">
        <v>2786</v>
      </c>
      <c r="F22" s="16"/>
      <c r="G22" s="18" t="s">
        <v>1321</v>
      </c>
      <c r="H22" s="16"/>
      <c r="I22" s="18" t="s">
        <v>3520</v>
      </c>
      <c r="J22" s="16"/>
      <c r="K22" s="18" t="s">
        <v>4260</v>
      </c>
      <c r="L22" s="16"/>
      <c r="M22" s="18" t="s">
        <v>4945</v>
      </c>
      <c r="N22" s="16"/>
      <c r="O22" s="18" t="s">
        <v>5675</v>
      </c>
      <c r="P22" s="16"/>
      <c r="Q22" s="18" t="s">
        <v>6338</v>
      </c>
      <c r="R22" s="16"/>
      <c r="S22" s="18"/>
      <c r="T22" s="21"/>
    </row>
    <row r="23" spans="1:20" ht="15.95" customHeight="1" x14ac:dyDescent="0.25">
      <c r="A23" s="18" t="s">
        <v>363</v>
      </c>
      <c r="B23" s="16"/>
      <c r="C23" s="18" t="s">
        <v>2068</v>
      </c>
      <c r="D23" s="16"/>
      <c r="E23" s="18" t="s">
        <v>2787</v>
      </c>
      <c r="F23" s="16"/>
      <c r="G23" s="18" t="s">
        <v>1322</v>
      </c>
      <c r="H23" s="16"/>
      <c r="I23" s="18" t="s">
        <v>3521</v>
      </c>
      <c r="J23" s="16"/>
      <c r="K23" s="18" t="s">
        <v>4261</v>
      </c>
      <c r="L23" s="16"/>
      <c r="M23" s="18" t="s">
        <v>4946</v>
      </c>
      <c r="N23" s="16"/>
      <c r="O23" s="18" t="s">
        <v>5676</v>
      </c>
      <c r="P23" s="16"/>
      <c r="Q23" s="18" t="s">
        <v>6339</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364</v>
      </c>
      <c r="B25" s="16"/>
      <c r="C25" s="18" t="s">
        <v>2069</v>
      </c>
      <c r="D25" s="16"/>
      <c r="E25" s="18" t="s">
        <v>2788</v>
      </c>
      <c r="F25" s="16"/>
      <c r="G25" s="18" t="s">
        <v>1323</v>
      </c>
      <c r="H25" s="16"/>
      <c r="I25" s="18" t="s">
        <v>3522</v>
      </c>
      <c r="J25" s="16"/>
      <c r="K25" s="18" t="s">
        <v>4262</v>
      </c>
      <c r="L25" s="16"/>
      <c r="M25" s="18" t="s">
        <v>4947</v>
      </c>
      <c r="N25" s="16"/>
      <c r="O25" s="18" t="s">
        <v>5677</v>
      </c>
      <c r="P25" s="16"/>
      <c r="Q25" s="18" t="s">
        <v>6340</v>
      </c>
      <c r="R25" s="16"/>
      <c r="S25" s="18"/>
      <c r="T25" s="21"/>
    </row>
    <row r="26" spans="1:20" ht="15.95" customHeight="1" x14ac:dyDescent="0.25">
      <c r="A26" s="22" t="s">
        <v>365</v>
      </c>
      <c r="B26" s="16"/>
      <c r="C26" s="18" t="s">
        <v>2070</v>
      </c>
      <c r="D26" s="16"/>
      <c r="E26" s="18" t="e" cm="1">
        <f t="array" ref="E26">- Antiguo dicho Ezomita.</f>
        <v>#NAME?</v>
      </c>
      <c r="F26" s="16"/>
      <c r="G26" s="18" t="e" cm="1">
        <f t="array" ref="G26">- Vieux proverbe ézomyte</f>
        <v>#NAME?</v>
      </c>
      <c r="H26" s="16"/>
      <c r="I26" s="18" t="s">
        <v>3523</v>
      </c>
      <c r="J26" s="16"/>
      <c r="K26" s="18" t="s">
        <v>4263</v>
      </c>
      <c r="L26" s="16"/>
      <c r="M26" s="18" t="e" cm="1">
        <f t="array" ref="M26">- Antigo ditado Ezomita.</f>
        <v>#NAME?</v>
      </c>
      <c r="N26" s="16"/>
      <c r="O26" s="18" t="e" cm="1">
        <f t="array" ref="O26">- Старая пословица эзомитов.</f>
        <v>#NAME?</v>
      </c>
      <c r="P26" s="16"/>
      <c r="Q26" s="18" t="e" cm="1">
        <f t="array" ref="Q26">- คำกล่าว​เก่าแก่​ของ​ชาว​เอโซไมต์</f>
        <v>#NAME?</v>
      </c>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55" priority="2" stopIfTrue="1">
      <formula>NOT(ISERROR(A3))</formula>
    </cfRule>
  </conditionalFormatting>
  <conditionalFormatting sqref="A3:T51">
    <cfRule type="containsErrors" dxfId="254" priority="1" stopIfTrue="1">
      <formula>ISERROR(A3)</formula>
    </cfRule>
    <cfRule type="notContainsBlanks" dxfId="253" priority="3">
      <formula>LEN(TRIM(A3))&gt;0</formula>
    </cfRule>
  </conditionalFormatting>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901BA-FAA7-4A69-971E-C57AEAF8E49D}">
  <sheetPr codeName="Sheet48"/>
  <dimension ref="A1:T51"/>
  <sheetViews>
    <sheetView workbookViewId="0">
      <selection activeCell="Q3" sqref="Q3:Q28"/>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9" t="s">
        <v>84</v>
      </c>
    </row>
    <row r="3" spans="1:20" ht="15.95" customHeight="1" x14ac:dyDescent="0.25">
      <c r="A3" s="17" t="s">
        <v>161</v>
      </c>
      <c r="B3" s="16" t="str">
        <f>TRIM(_xlfn.TEXTBEFORE(A3, ":"))</f>
        <v>Item Class</v>
      </c>
      <c r="C3" s="17" t="s">
        <v>2071</v>
      </c>
      <c r="D3" s="16" t="str">
        <f>TRIM(_xlfn.TEXTBEFORE(C3, ":"))</f>
        <v>Gegenstandsklasse</v>
      </c>
      <c r="E3" s="17" t="s">
        <v>2789</v>
      </c>
      <c r="F3" s="16" t="str">
        <f>TRIM(_xlfn.TEXTBEFORE(E3, ":"))</f>
        <v>Clase de objeto</v>
      </c>
      <c r="G3" s="17" t="s">
        <v>1324</v>
      </c>
      <c r="H3" s="16" t="str">
        <f>TRIM(_xlfn.TEXTBEFORE(G3, ":"))</f>
        <v>Classe d'objet</v>
      </c>
      <c r="I3" s="17" t="s">
        <v>3524</v>
      </c>
      <c r="J3" s="16" t="str">
        <f>TRIM(_xlfn.TEXTBEFORE(I3, ":"))</f>
        <v>アイテムクラス</v>
      </c>
      <c r="K3" s="17" t="s">
        <v>4264</v>
      </c>
      <c r="L3" s="16" t="str">
        <f>TRIM(_xlfn.TEXTBEFORE(K3, ":"))</f>
        <v>아이템 종류</v>
      </c>
      <c r="M3" s="17" t="s">
        <v>4948</v>
      </c>
      <c r="N3" s="16" t="str">
        <f>TRIM(_xlfn.TEXTBEFORE(M3, ":"))</f>
        <v>Classe do Item</v>
      </c>
      <c r="O3" s="17" t="s">
        <v>5678</v>
      </c>
      <c r="P3" s="16" t="str">
        <f>TRIM(_xlfn.TEXTBEFORE(O3, ":"))</f>
        <v>Класс предмета</v>
      </c>
      <c r="Q3" s="17" t="s">
        <v>6341</v>
      </c>
      <c r="R3" s="16" t="str">
        <f>TRIM(_xlfn.TEXTBEFORE(Q3, ":"))</f>
        <v>ชนิดไอเทม</v>
      </c>
      <c r="S3" s="17"/>
      <c r="T3" s="16" t="e">
        <f>TRIM(_xlfn.TEXTBEFORE(S3, ":"))</f>
        <v>#N/A</v>
      </c>
    </row>
    <row r="4" spans="1:20" ht="15.95" customHeight="1" x14ac:dyDescent="0.25">
      <c r="A4" s="18" t="s">
        <v>80</v>
      </c>
      <c r="B4" s="16" t="str">
        <f>TRIM(_xlfn.TEXTAFTER(A3, ":"))</f>
        <v>Wands</v>
      </c>
      <c r="C4" s="18" t="s">
        <v>1643</v>
      </c>
      <c r="D4" s="16" t="str">
        <f>TRIM(_xlfn.TEXTAFTER(C3, ":"))</f>
        <v>Zauberstäbe</v>
      </c>
      <c r="E4" s="18" t="s">
        <v>2363</v>
      </c>
      <c r="F4" s="16" t="str">
        <f>TRIM(_xlfn.TEXTAFTER(E3, ":"))</f>
        <v>Varitas</v>
      </c>
      <c r="G4" s="18" t="s">
        <v>1</v>
      </c>
      <c r="H4" s="16" t="str">
        <f>TRIM(_xlfn.TEXTAFTER(G3, ":"))</f>
        <v>Baguettes</v>
      </c>
      <c r="I4" s="18" t="s">
        <v>3078</v>
      </c>
      <c r="J4" s="16" t="str">
        <f>TRIM(_xlfn.TEXTAFTER(I3, ":"))</f>
        <v>ワンド</v>
      </c>
      <c r="K4" s="18" t="s">
        <v>3828</v>
      </c>
      <c r="L4" s="16" t="str">
        <f>TRIM(_xlfn.TEXTAFTER(K3, ":"))</f>
        <v>마법봉</v>
      </c>
      <c r="M4" s="18" t="s">
        <v>4557</v>
      </c>
      <c r="N4" s="16" t="str">
        <f>TRIM(_xlfn.TEXTAFTER(M3, ":"))</f>
        <v>Varinhas</v>
      </c>
      <c r="O4" s="18" t="s">
        <v>5240</v>
      </c>
      <c r="P4" s="16" t="str">
        <f>TRIM(_xlfn.TEXTAFTER(O3, ":"))</f>
        <v>Жезлы</v>
      </c>
      <c r="Q4" s="18" t="s">
        <v>5977</v>
      </c>
      <c r="R4" s="16" t="str">
        <f>TRIM(_xlfn.TEXTAFTER(Q3, ":"))</f>
        <v>ไม้กายสิทธิ์</v>
      </c>
      <c r="S4" s="18"/>
      <c r="T4" s="16" t="e">
        <f>TRIM(_xlfn.TEXTAFTER(S3, ":"))</f>
        <v>#N/A</v>
      </c>
    </row>
    <row r="5" spans="1:20" ht="15.95" customHeight="1" x14ac:dyDescent="0.25">
      <c r="A5" s="18" t="s">
        <v>162</v>
      </c>
      <c r="B5" s="16" t="str">
        <f>TRIM(_xlfn.TEXTBEFORE(A4, ":"))</f>
        <v>Rarity</v>
      </c>
      <c r="C5" s="18" t="s">
        <v>2072</v>
      </c>
      <c r="D5" s="16" t="str">
        <f>TRIM(_xlfn.TEXTBEFORE(C4, ":"))</f>
        <v>Seltenheit</v>
      </c>
      <c r="E5" s="18" t="s">
        <v>2790</v>
      </c>
      <c r="F5" s="16" t="str">
        <f>TRIM(_xlfn.TEXTBEFORE(E4, ":"))</f>
        <v>Rareza</v>
      </c>
      <c r="G5" s="18" t="s">
        <v>1325</v>
      </c>
      <c r="H5" s="16" t="str">
        <f>TRIM(_xlfn.TEXTBEFORE(G4, ":"))</f>
        <v>Rareté</v>
      </c>
      <c r="I5" s="18" t="s">
        <v>3525</v>
      </c>
      <c r="J5" s="16" t="str">
        <f>TRIM(_xlfn.TEXTBEFORE(I4, ":"))</f>
        <v>レアリティ</v>
      </c>
      <c r="K5" s="18" t="s">
        <v>4265</v>
      </c>
      <c r="L5" s="16" t="str">
        <f>TRIM(_xlfn.TEXTBEFORE(K4, ":"))</f>
        <v>아이템 희귀도</v>
      </c>
      <c r="M5" s="18" t="s">
        <v>4949</v>
      </c>
      <c r="N5" s="16" t="str">
        <f>TRIM(_xlfn.TEXTBEFORE(M4, ":"))</f>
        <v>Raridade</v>
      </c>
      <c r="O5" s="18" t="s">
        <v>5679</v>
      </c>
      <c r="P5" s="16" t="str">
        <f>TRIM(_xlfn.TEXTBEFORE(O4, ":"))</f>
        <v>Редкость</v>
      </c>
      <c r="Q5" s="18" t="s">
        <v>162</v>
      </c>
      <c r="R5" s="16" t="str">
        <f>TRIM(_xlfn.TEXTBEFORE(Q4, ":"))</f>
        <v>ความหายาก</v>
      </c>
      <c r="S5" s="18"/>
      <c r="T5" s="16" t="e">
        <f>TRIM(_xlfn.TEXTBEFORE(S4, ":"))</f>
        <v>#N/A</v>
      </c>
    </row>
    <row r="6" spans="1:20" ht="15.95" customHeight="1" x14ac:dyDescent="0.25">
      <c r="A6" s="18" t="s">
        <v>163</v>
      </c>
      <c r="B6" s="16" t="str">
        <f>TRIM(_xlfn.TEXTAFTER(A4,":"))</f>
        <v>Unique</v>
      </c>
      <c r="C6" s="18" t="s">
        <v>2073</v>
      </c>
      <c r="D6" s="16" t="str">
        <f>TRIM(_xlfn.TEXTAFTER(C4,":"))</f>
        <v>Einzigartig</v>
      </c>
      <c r="E6" s="18" t="s">
        <v>2791</v>
      </c>
      <c r="F6" s="16" t="str">
        <f>TRIM(_xlfn.TEXTAFTER(E4,":"))</f>
        <v>Único</v>
      </c>
      <c r="G6" s="18" t="s">
        <v>1326</v>
      </c>
      <c r="H6" s="16" t="str">
        <f>TRIM(_xlfn.TEXTAFTER(G4,":"))</f>
        <v>Unique</v>
      </c>
      <c r="I6" s="18" t="s">
        <v>3526</v>
      </c>
      <c r="J6" s="16" t="str">
        <f>TRIM(_xlfn.TEXTAFTER(I4,":"))</f>
        <v>ユニーク</v>
      </c>
      <c r="K6" s="18" t="s">
        <v>4266</v>
      </c>
      <c r="L6" s="16" t="str">
        <f>TRIM(_xlfn.TEXTAFTER(K4,":"))</f>
        <v>고유</v>
      </c>
      <c r="M6" s="18" t="s">
        <v>4950</v>
      </c>
      <c r="N6" s="16" t="str">
        <f>TRIM(_xlfn.TEXTAFTER(M4,":"))</f>
        <v>Único</v>
      </c>
      <c r="O6" s="18" t="s">
        <v>5680</v>
      </c>
      <c r="P6" s="16" t="str">
        <f>TRIM(_xlfn.TEXTAFTER(O4,":"))</f>
        <v>Уникальный</v>
      </c>
      <c r="Q6" s="18" t="s">
        <v>163</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164</v>
      </c>
      <c r="B8" s="16"/>
      <c r="C8" s="18" t="s">
        <v>2074</v>
      </c>
      <c r="D8" s="16"/>
      <c r="E8" s="18" t="s">
        <v>2792</v>
      </c>
      <c r="F8" s="16"/>
      <c r="G8" s="18" t="s">
        <v>1327</v>
      </c>
      <c r="H8" s="16"/>
      <c r="I8" s="18" t="s">
        <v>3527</v>
      </c>
      <c r="J8" s="16"/>
      <c r="K8" s="18" t="s">
        <v>4267</v>
      </c>
      <c r="L8" s="16"/>
      <c r="M8" s="18" t="s">
        <v>4951</v>
      </c>
      <c r="N8" s="16"/>
      <c r="O8" s="18" t="s">
        <v>5681</v>
      </c>
      <c r="P8" s="16"/>
      <c r="Q8" s="18" t="s">
        <v>6342</v>
      </c>
      <c r="R8" s="16"/>
      <c r="S8" s="18"/>
      <c r="T8" s="16"/>
    </row>
    <row r="9" spans="1:20" ht="15.95" customHeight="1" x14ac:dyDescent="0.25">
      <c r="A9" s="18" t="s">
        <v>165</v>
      </c>
      <c r="B9" s="16"/>
      <c r="C9" s="18" t="s">
        <v>2075</v>
      </c>
      <c r="D9" s="16"/>
      <c r="E9" s="18" t="s">
        <v>2793</v>
      </c>
      <c r="F9" s="16"/>
      <c r="G9" s="18" t="s">
        <v>1328</v>
      </c>
      <c r="H9" s="16"/>
      <c r="I9" s="18" t="s">
        <v>3528</v>
      </c>
      <c r="J9" s="16"/>
      <c r="K9" s="18" t="s">
        <v>4268</v>
      </c>
      <c r="L9" s="16"/>
      <c r="M9" s="18" t="s">
        <v>4952</v>
      </c>
      <c r="N9" s="16"/>
      <c r="O9" s="18" t="s">
        <v>5682</v>
      </c>
      <c r="P9" s="16"/>
      <c r="Q9" s="18" t="s">
        <v>6343</v>
      </c>
      <c r="R9" s="16"/>
      <c r="S9" s="18"/>
      <c r="T9" s="16"/>
    </row>
    <row r="10" spans="1:20" ht="15.95" customHeight="1" x14ac:dyDescent="0.25">
      <c r="A10" s="18" t="s">
        <v>166</v>
      </c>
      <c r="B10" s="16"/>
      <c r="C10" s="18" t="s">
        <v>2076</v>
      </c>
      <c r="D10" s="16"/>
      <c r="E10" s="18" t="s">
        <v>2794</v>
      </c>
      <c r="F10" s="16"/>
      <c r="G10" s="18" t="s">
        <v>1329</v>
      </c>
      <c r="H10" s="16"/>
      <c r="I10" s="18" t="s">
        <v>3529</v>
      </c>
      <c r="J10" s="16"/>
      <c r="K10" s="18" t="s">
        <v>4269</v>
      </c>
      <c r="L10" s="16"/>
      <c r="M10" s="18" t="s">
        <v>4953</v>
      </c>
      <c r="N10" s="16"/>
      <c r="O10" s="18" t="s">
        <v>5683</v>
      </c>
      <c r="P10" s="16"/>
      <c r="Q10" s="18" t="s">
        <v>6344</v>
      </c>
      <c r="R10" s="16"/>
      <c r="S10" s="18"/>
      <c r="T10" s="16"/>
    </row>
    <row r="11" spans="1:20" ht="15.95" customHeight="1" x14ac:dyDescent="0.25">
      <c r="A11" s="18" t="s">
        <v>167</v>
      </c>
      <c r="B11" s="16"/>
      <c r="C11" s="18" t="s">
        <v>2077</v>
      </c>
      <c r="D11" s="16"/>
      <c r="E11" s="18" t="s">
        <v>2795</v>
      </c>
      <c r="F11" s="16"/>
      <c r="G11" s="18" t="s">
        <v>1330</v>
      </c>
      <c r="H11" s="16"/>
      <c r="I11" s="18" t="s">
        <v>3530</v>
      </c>
      <c r="J11" s="16"/>
      <c r="K11" s="18" t="s">
        <v>4270</v>
      </c>
      <c r="L11" s="16"/>
      <c r="M11" s="18" t="s">
        <v>4954</v>
      </c>
      <c r="N11" s="16"/>
      <c r="O11" s="18" t="s">
        <v>5684</v>
      </c>
      <c r="P11" s="16"/>
      <c r="Q11" s="18" t="s">
        <v>6345</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168</v>
      </c>
      <c r="B13" s="16"/>
      <c r="C13" s="18" t="s">
        <v>1970</v>
      </c>
      <c r="D13" s="16"/>
      <c r="E13" s="18" t="s">
        <v>2691</v>
      </c>
      <c r="F13" s="16"/>
      <c r="G13" s="18" t="s">
        <v>1226</v>
      </c>
      <c r="H13" s="16"/>
      <c r="I13" s="18" t="s">
        <v>3418</v>
      </c>
      <c r="J13" s="16"/>
      <c r="K13" s="18" t="s">
        <v>4162</v>
      </c>
      <c r="L13" s="16"/>
      <c r="M13" s="18" t="s">
        <v>4869</v>
      </c>
      <c r="N13" s="16"/>
      <c r="O13" s="18" t="s">
        <v>5576</v>
      </c>
      <c r="P13" s="16"/>
      <c r="Q13" s="18" t="s">
        <v>6258</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169</v>
      </c>
      <c r="B15" s="16"/>
      <c r="C15" s="18" t="s">
        <v>1646</v>
      </c>
      <c r="D15" s="16"/>
      <c r="E15" s="18" t="s">
        <v>2366</v>
      </c>
      <c r="F15" s="16"/>
      <c r="G15" s="18" t="s">
        <v>913</v>
      </c>
      <c r="H15" s="16"/>
      <c r="I15" s="18" t="s">
        <v>3081</v>
      </c>
      <c r="J15" s="16"/>
      <c r="K15" s="18" t="s">
        <v>3831</v>
      </c>
      <c r="L15" s="16"/>
      <c r="M15" s="18" t="s">
        <v>4560</v>
      </c>
      <c r="N15" s="16"/>
      <c r="O15" s="18" t="s">
        <v>5243</v>
      </c>
      <c r="P15" s="16"/>
      <c r="Q15" s="18" t="s">
        <v>5980</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170</v>
      </c>
      <c r="B17" s="16"/>
      <c r="C17" s="18" t="s">
        <v>2078</v>
      </c>
      <c r="D17" s="16"/>
      <c r="E17" s="18" t="s">
        <v>2796</v>
      </c>
      <c r="F17" s="16"/>
      <c r="G17" s="18" t="s">
        <v>1331</v>
      </c>
      <c r="H17" s="16"/>
      <c r="I17" s="18" t="s">
        <v>3531</v>
      </c>
      <c r="J17" s="16"/>
      <c r="K17" s="18" t="s">
        <v>4271</v>
      </c>
      <c r="L17" s="16"/>
      <c r="M17" s="18" t="s">
        <v>4955</v>
      </c>
      <c r="N17" s="16"/>
      <c r="O17" s="18" t="s">
        <v>5685</v>
      </c>
      <c r="P17" s="16"/>
      <c r="Q17" s="18" t="s">
        <v>6346</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171</v>
      </c>
      <c r="B19" s="16"/>
      <c r="C19" s="18" t="s">
        <v>2079</v>
      </c>
      <c r="D19" s="16"/>
      <c r="E19" s="18" t="s">
        <v>2797</v>
      </c>
      <c r="F19" s="16"/>
      <c r="G19" s="18" t="s">
        <v>1332</v>
      </c>
      <c r="H19" s="16"/>
      <c r="I19" s="18" t="s">
        <v>3532</v>
      </c>
      <c r="J19" s="16"/>
      <c r="K19" s="18" t="s">
        <v>4272</v>
      </c>
      <c r="L19" s="16"/>
      <c r="M19" s="18" t="s">
        <v>4956</v>
      </c>
      <c r="N19" s="16"/>
      <c r="O19" s="18" t="s">
        <v>5686</v>
      </c>
      <c r="P19" s="16"/>
      <c r="Q19" s="18" t="s">
        <v>6347</v>
      </c>
      <c r="R19" s="16"/>
      <c r="S19" s="18"/>
      <c r="T19" s="21"/>
    </row>
    <row r="20" spans="1:20" ht="15.95" customHeight="1" x14ac:dyDescent="0.25">
      <c r="A20" s="18" t="s">
        <v>172</v>
      </c>
      <c r="B20" s="16"/>
      <c r="C20" s="18" t="s">
        <v>2080</v>
      </c>
      <c r="D20" s="16"/>
      <c r="E20" s="18" t="s">
        <v>2798</v>
      </c>
      <c r="F20" s="16"/>
      <c r="G20" s="18" t="s">
        <v>1333</v>
      </c>
      <c r="H20" s="16"/>
      <c r="I20" s="18" t="s">
        <v>3533</v>
      </c>
      <c r="J20" s="16"/>
      <c r="K20" s="18" t="s">
        <v>4273</v>
      </c>
      <c r="L20" s="16"/>
      <c r="M20" s="18" t="s">
        <v>4957</v>
      </c>
      <c r="N20" s="16"/>
      <c r="O20" s="18" t="s">
        <v>5687</v>
      </c>
      <c r="P20" s="16"/>
      <c r="Q20" s="18" t="s">
        <v>6348</v>
      </c>
      <c r="R20" s="16"/>
      <c r="S20" s="18"/>
      <c r="T20" s="21"/>
    </row>
    <row r="21" spans="1:20" ht="15.95" customHeight="1" x14ac:dyDescent="0.25">
      <c r="A21" s="18" t="s">
        <v>173</v>
      </c>
      <c r="B21" s="16"/>
      <c r="C21" s="18" t="s">
        <v>2081</v>
      </c>
      <c r="D21" s="16"/>
      <c r="E21" s="18" t="s">
        <v>2799</v>
      </c>
      <c r="F21" s="16"/>
      <c r="G21" s="18" t="s">
        <v>1334</v>
      </c>
      <c r="H21" s="16"/>
      <c r="I21" s="18" t="s">
        <v>3534</v>
      </c>
      <c r="J21" s="16"/>
      <c r="K21" s="18" t="s">
        <v>4274</v>
      </c>
      <c r="L21" s="16"/>
      <c r="M21" s="18" t="s">
        <v>4958</v>
      </c>
      <c r="N21" s="16"/>
      <c r="O21" s="18" t="s">
        <v>5688</v>
      </c>
      <c r="P21" s="16"/>
      <c r="Q21" s="18" t="s">
        <v>6349</v>
      </c>
      <c r="R21" s="16"/>
      <c r="S21" s="18"/>
      <c r="T21" s="21"/>
    </row>
    <row r="22" spans="1:20" ht="15.95" customHeight="1" x14ac:dyDescent="0.25">
      <c r="A22" s="18" t="s">
        <v>174</v>
      </c>
      <c r="B22" s="16"/>
      <c r="C22" s="18" t="s">
        <v>2082</v>
      </c>
      <c r="D22" s="16"/>
      <c r="E22" s="18" t="s">
        <v>2800</v>
      </c>
      <c r="F22" s="16"/>
      <c r="G22" s="18" t="s">
        <v>1335</v>
      </c>
      <c r="H22" s="16"/>
      <c r="I22" s="18" t="s">
        <v>3535</v>
      </c>
      <c r="J22" s="16"/>
      <c r="K22" s="18" t="s">
        <v>4275</v>
      </c>
      <c r="L22" s="16"/>
      <c r="M22" s="18" t="s">
        <v>4959</v>
      </c>
      <c r="N22" s="16"/>
      <c r="O22" s="18" t="s">
        <v>5689</v>
      </c>
      <c r="P22" s="16"/>
      <c r="Q22" s="18" t="s">
        <v>6350</v>
      </c>
      <c r="R22" s="16"/>
      <c r="S22" s="18"/>
      <c r="T22" s="21"/>
    </row>
    <row r="23" spans="1:20" ht="15.95" customHeight="1" x14ac:dyDescent="0.25">
      <c r="A23" s="18" t="s">
        <v>175</v>
      </c>
      <c r="B23" s="16"/>
      <c r="C23" s="18" t="s">
        <v>2083</v>
      </c>
      <c r="D23" s="16"/>
      <c r="E23" s="18" t="s">
        <v>2801</v>
      </c>
      <c r="F23" s="16"/>
      <c r="G23" s="18" t="s">
        <v>1336</v>
      </c>
      <c r="H23" s="16"/>
      <c r="I23" s="18" t="s">
        <v>3536</v>
      </c>
      <c r="J23" s="16"/>
      <c r="K23" s="18" t="s">
        <v>4276</v>
      </c>
      <c r="L23" s="16"/>
      <c r="M23" s="18" t="s">
        <v>4960</v>
      </c>
      <c r="N23" s="16"/>
      <c r="O23" s="18" t="s">
        <v>5690</v>
      </c>
      <c r="P23" s="16"/>
      <c r="Q23" s="18" t="s">
        <v>6351</v>
      </c>
      <c r="R23" s="16"/>
      <c r="S23" s="18"/>
      <c r="T23" s="21"/>
    </row>
    <row r="24" spans="1:20" ht="15.95" customHeight="1" x14ac:dyDescent="0.25">
      <c r="A24" s="18" t="s">
        <v>176</v>
      </c>
      <c r="B24" s="16"/>
      <c r="C24" s="18" t="s">
        <v>2084</v>
      </c>
      <c r="D24" s="16"/>
      <c r="E24" s="18" t="s">
        <v>2802</v>
      </c>
      <c r="F24" s="16"/>
      <c r="G24" s="18" t="s">
        <v>1337</v>
      </c>
      <c r="H24" s="16"/>
      <c r="I24" s="18" t="s">
        <v>3537</v>
      </c>
      <c r="J24" s="16"/>
      <c r="K24" s="18" t="s">
        <v>4277</v>
      </c>
      <c r="L24" s="16"/>
      <c r="M24" s="18" t="s">
        <v>4961</v>
      </c>
      <c r="N24" s="16"/>
      <c r="O24" s="18" t="s">
        <v>5691</v>
      </c>
      <c r="P24" s="16"/>
      <c r="Q24" s="18" t="s">
        <v>6352</v>
      </c>
      <c r="R24" s="16"/>
      <c r="S24" s="18"/>
      <c r="T24" s="21"/>
    </row>
    <row r="25" spans="1:20" ht="15.95" customHeight="1" x14ac:dyDescent="0.25">
      <c r="A25" s="18" t="s">
        <v>4</v>
      </c>
      <c r="B25" s="16"/>
      <c r="C25" s="18" t="s">
        <v>4</v>
      </c>
      <c r="D25" s="16"/>
      <c r="E25" s="18" t="s">
        <v>4</v>
      </c>
      <c r="F25" s="16"/>
      <c r="G25" s="18" t="s">
        <v>4</v>
      </c>
      <c r="H25" s="16"/>
      <c r="I25" s="18" t="s">
        <v>4</v>
      </c>
      <c r="J25" s="16"/>
      <c r="K25" s="18" t="s">
        <v>4</v>
      </c>
      <c r="L25" s="16"/>
      <c r="M25" s="18" t="s">
        <v>4</v>
      </c>
      <c r="N25" s="16"/>
      <c r="O25" s="18" t="s">
        <v>4</v>
      </c>
      <c r="P25" s="16"/>
      <c r="Q25" s="18" t="s">
        <v>4</v>
      </c>
      <c r="R25" s="16"/>
      <c r="S25" s="18"/>
      <c r="T25" s="21"/>
    </row>
    <row r="26" spans="1:20" ht="15.95" customHeight="1" x14ac:dyDescent="0.25">
      <c r="A26" s="18" t="s">
        <v>177</v>
      </c>
      <c r="B26" s="16"/>
      <c r="C26" s="18" t="s">
        <v>2085</v>
      </c>
      <c r="D26" s="16"/>
      <c r="E26" s="18" t="s">
        <v>2803</v>
      </c>
      <c r="F26" s="16"/>
      <c r="G26" s="18" t="s">
        <v>1338</v>
      </c>
      <c r="H26" s="16"/>
      <c r="I26" s="18" t="s">
        <v>3538</v>
      </c>
      <c r="J26" s="16"/>
      <c r="K26" s="18" t="s">
        <v>4278</v>
      </c>
      <c r="L26" s="16"/>
      <c r="M26" s="18" t="s">
        <v>4962</v>
      </c>
      <c r="N26" s="16"/>
      <c r="O26" s="18" t="s">
        <v>5692</v>
      </c>
      <c r="P26" s="16"/>
      <c r="Q26" s="18" t="s">
        <v>6353</v>
      </c>
      <c r="R26" s="16"/>
      <c r="S26" s="18"/>
      <c r="T26" s="21"/>
    </row>
    <row r="27" spans="1:20" ht="15.95" customHeight="1" x14ac:dyDescent="0.25">
      <c r="A27" s="18" t="s">
        <v>178</v>
      </c>
      <c r="B27" s="16"/>
      <c r="C27" s="18" t="s">
        <v>2086</v>
      </c>
      <c r="D27" s="16"/>
      <c r="E27" s="18" t="s">
        <v>2804</v>
      </c>
      <c r="F27" s="16"/>
      <c r="G27" s="18" t="s">
        <v>1339</v>
      </c>
      <c r="H27" s="16"/>
      <c r="I27" s="18" t="s">
        <v>3539</v>
      </c>
      <c r="J27" s="16"/>
      <c r="K27" s="18" t="s">
        <v>4279</v>
      </c>
      <c r="L27" s="16"/>
      <c r="M27" s="18" t="s">
        <v>4963</v>
      </c>
      <c r="N27" s="16"/>
      <c r="O27" s="18" t="s">
        <v>5693</v>
      </c>
      <c r="P27" s="16"/>
      <c r="Q27" s="18" t="s">
        <v>6354</v>
      </c>
      <c r="R27" s="16"/>
      <c r="S27" s="18"/>
      <c r="T27" s="21"/>
    </row>
    <row r="28" spans="1:20" ht="15.95" customHeight="1" x14ac:dyDescent="0.25">
      <c r="A28" s="18" t="s">
        <v>179</v>
      </c>
      <c r="B28" s="16"/>
      <c r="C28" s="18" t="s">
        <v>2087</v>
      </c>
      <c r="D28" s="16"/>
      <c r="E28" s="18" t="s">
        <v>2805</v>
      </c>
      <c r="F28" s="16"/>
      <c r="G28" s="18" t="s">
        <v>1340</v>
      </c>
      <c r="H28" s="16"/>
      <c r="I28" s="18" t="s">
        <v>3540</v>
      </c>
      <c r="J28" s="16"/>
      <c r="K28" s="18" t="s">
        <v>4280</v>
      </c>
      <c r="L28" s="16"/>
      <c r="M28" s="18" t="s">
        <v>4964</v>
      </c>
      <c r="N28" s="16"/>
      <c r="O28" s="18" t="s">
        <v>5694</v>
      </c>
      <c r="P28" s="16"/>
      <c r="Q28" s="18" t="s">
        <v>6355</v>
      </c>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52" priority="2" stopIfTrue="1">
      <formula>NOT(ISERROR(A3))</formula>
    </cfRule>
  </conditionalFormatting>
  <conditionalFormatting sqref="A3:T51">
    <cfRule type="containsErrors" dxfId="251" priority="1" stopIfTrue="1">
      <formula>ISERROR(A3)</formula>
    </cfRule>
    <cfRule type="notContainsBlanks" dxfId="250" priority="3">
      <formula>LEN(TRIM(A3))&gt;0</formula>
    </cfRule>
  </conditionalFormatting>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6A35A3-A6C6-4E43-9AE1-1C9C9418D84E}">
  <sheetPr codeName="Sheet49"/>
  <dimension ref="A1:T51"/>
  <sheetViews>
    <sheetView workbookViewId="0">
      <selection activeCell="Q3" sqref="Q3:Q34"/>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9" t="s">
        <v>84</v>
      </c>
    </row>
    <row r="3" spans="1:20" ht="15.95" customHeight="1" x14ac:dyDescent="0.25">
      <c r="A3" s="17" t="s">
        <v>366</v>
      </c>
      <c r="B3" s="16" t="str">
        <f>TRIM(_xlfn.TEXTBEFORE(A3, ":"))</f>
        <v>Item Class</v>
      </c>
      <c r="C3" s="17" t="s">
        <v>2088</v>
      </c>
      <c r="D3" s="16" t="str">
        <f>TRIM(_xlfn.TEXTBEFORE(C3, ":"))</f>
        <v>Gegenstandsklasse</v>
      </c>
      <c r="E3" s="17" t="s">
        <v>2806</v>
      </c>
      <c r="F3" s="16" t="str">
        <f>TRIM(_xlfn.TEXTBEFORE(E3, ":"))</f>
        <v>Clase de objeto</v>
      </c>
      <c r="G3" s="17" t="s">
        <v>1341</v>
      </c>
      <c r="H3" s="16" t="str">
        <f>TRIM(_xlfn.TEXTBEFORE(G3, ":"))</f>
        <v>Classe d'objet</v>
      </c>
      <c r="I3" s="17" t="s">
        <v>3541</v>
      </c>
      <c r="J3" s="16" t="str">
        <f>TRIM(_xlfn.TEXTBEFORE(I3, ":"))</f>
        <v>アイテムクラス</v>
      </c>
      <c r="K3" s="17" t="s">
        <v>4281</v>
      </c>
      <c r="L3" s="16" t="str">
        <f>TRIM(_xlfn.TEXTBEFORE(K3, ":"))</f>
        <v>아이템 종류</v>
      </c>
      <c r="M3" s="17" t="s">
        <v>4965</v>
      </c>
      <c r="N3" s="16" t="str">
        <f>TRIM(_xlfn.TEXTBEFORE(M3, ":"))</f>
        <v>Classe do Item</v>
      </c>
      <c r="O3" s="17" t="s">
        <v>5695</v>
      </c>
      <c r="P3" s="16" t="str">
        <f>TRIM(_xlfn.TEXTBEFORE(O3, ":"))</f>
        <v>Класс предмета</v>
      </c>
      <c r="Q3" s="17" t="s">
        <v>6356</v>
      </c>
      <c r="R3" s="16" t="str">
        <f>TRIM(_xlfn.TEXTBEFORE(Q3, ":"))</f>
        <v>ชนิดไอเทม</v>
      </c>
      <c r="S3" s="17"/>
      <c r="T3" s="16" t="e">
        <f>TRIM(_xlfn.TEXTBEFORE(S3, ":"))</f>
        <v>#N/A</v>
      </c>
    </row>
    <row r="4" spans="1:20" ht="15.95" customHeight="1" x14ac:dyDescent="0.25">
      <c r="A4" s="18" t="s">
        <v>80</v>
      </c>
      <c r="B4" s="16" t="str">
        <f>TRIM(_xlfn.TEXTAFTER(A3, ":"))</f>
        <v>Warstaves</v>
      </c>
      <c r="C4" s="18" t="s">
        <v>1643</v>
      </c>
      <c r="D4" s="16" t="str">
        <f>TRIM(_xlfn.TEXTAFTER(C3, ":"))</f>
        <v>Kriegsstäbe</v>
      </c>
      <c r="E4" s="18" t="s">
        <v>2363</v>
      </c>
      <c r="F4" s="16" t="str">
        <f>TRIM(_xlfn.TEXTAFTER(E3, ":"))</f>
        <v>Báculos de guerra</v>
      </c>
      <c r="G4" s="18" t="s">
        <v>1</v>
      </c>
      <c r="H4" s="16" t="str">
        <f>TRIM(_xlfn.TEXTAFTER(G3, ":"))</f>
        <v>Bâtons de guerre</v>
      </c>
      <c r="I4" s="18" t="s">
        <v>3078</v>
      </c>
      <c r="J4" s="16" t="str">
        <f>TRIM(_xlfn.TEXTAFTER(I3, ":"))</f>
        <v>ウォースタッフ</v>
      </c>
      <c r="K4" s="18" t="s">
        <v>3828</v>
      </c>
      <c r="L4" s="16" t="str">
        <f>TRIM(_xlfn.TEXTAFTER(K3, ":"))</f>
        <v>전쟁지팡이</v>
      </c>
      <c r="M4" s="18" t="s">
        <v>4557</v>
      </c>
      <c r="N4" s="16" t="str">
        <f>TRIM(_xlfn.TEXTAFTER(M3, ":"))</f>
        <v>Cajados de Guerra</v>
      </c>
      <c r="O4" s="18" t="s">
        <v>5240</v>
      </c>
      <c r="P4" s="16" t="str">
        <f>TRIM(_xlfn.TEXTAFTER(O3, ":"))</f>
        <v>Воинские посохи</v>
      </c>
      <c r="Q4" s="18" t="s">
        <v>5977</v>
      </c>
      <c r="R4" s="16" t="str">
        <f>TRIM(_xlfn.TEXTAFTER(Q3, ":"))</f>
        <v>ไม้พลองสงคราม</v>
      </c>
      <c r="S4" s="18"/>
      <c r="T4" s="16" t="e">
        <f>TRIM(_xlfn.TEXTAFTER(S3, ":"))</f>
        <v>#N/A</v>
      </c>
    </row>
    <row r="5" spans="1:20" ht="15.95" customHeight="1" x14ac:dyDescent="0.25">
      <c r="A5" s="18" t="s">
        <v>367</v>
      </c>
      <c r="B5" s="16" t="str">
        <f>TRIM(_xlfn.TEXTBEFORE(A4, ":"))</f>
        <v>Rarity</v>
      </c>
      <c r="C5" s="18" t="s">
        <v>2089</v>
      </c>
      <c r="D5" s="16" t="str">
        <f>TRIM(_xlfn.TEXTBEFORE(C4, ":"))</f>
        <v>Seltenheit</v>
      </c>
      <c r="E5" s="18" t="s">
        <v>2807</v>
      </c>
      <c r="F5" s="16" t="str">
        <f>TRIM(_xlfn.TEXTBEFORE(E4, ":"))</f>
        <v>Rareza</v>
      </c>
      <c r="G5" s="18" t="s">
        <v>1342</v>
      </c>
      <c r="H5" s="16" t="str">
        <f>TRIM(_xlfn.TEXTBEFORE(G4, ":"))</f>
        <v>Rareté</v>
      </c>
      <c r="I5" s="18" t="s">
        <v>3542</v>
      </c>
      <c r="J5" s="16" t="str">
        <f>TRIM(_xlfn.TEXTBEFORE(I4, ":"))</f>
        <v>レアリティ</v>
      </c>
      <c r="K5" s="18" t="s">
        <v>4282</v>
      </c>
      <c r="L5" s="16" t="str">
        <f>TRIM(_xlfn.TEXTBEFORE(K4, ":"))</f>
        <v>아이템 희귀도</v>
      </c>
      <c r="M5" s="18" t="s">
        <v>4966</v>
      </c>
      <c r="N5" s="16" t="str">
        <f>TRIM(_xlfn.TEXTBEFORE(M4, ":"))</f>
        <v>Raridade</v>
      </c>
      <c r="O5" s="18" t="s">
        <v>5696</v>
      </c>
      <c r="P5" s="16" t="str">
        <f>TRIM(_xlfn.TEXTBEFORE(O4, ":"))</f>
        <v>Редкость</v>
      </c>
      <c r="Q5" s="18" t="s">
        <v>367</v>
      </c>
      <c r="R5" s="16" t="str">
        <f>TRIM(_xlfn.TEXTBEFORE(Q4, ":"))</f>
        <v>ความหายาก</v>
      </c>
      <c r="S5" s="18"/>
      <c r="T5" s="16" t="e">
        <f>TRIM(_xlfn.TEXTBEFORE(S4, ":"))</f>
        <v>#N/A</v>
      </c>
    </row>
    <row r="6" spans="1:20" ht="15.95" customHeight="1" x14ac:dyDescent="0.25">
      <c r="A6" s="18" t="s">
        <v>368</v>
      </c>
      <c r="B6" s="16" t="str">
        <f>TRIM(_xlfn.TEXTAFTER(A4,":"))</f>
        <v>Unique</v>
      </c>
      <c r="C6" s="18" t="s">
        <v>2090</v>
      </c>
      <c r="D6" s="16" t="str">
        <f>TRIM(_xlfn.TEXTAFTER(C4,":"))</f>
        <v>Einzigartig</v>
      </c>
      <c r="E6" s="18" t="s">
        <v>2808</v>
      </c>
      <c r="F6" s="16" t="str">
        <f>TRIM(_xlfn.TEXTAFTER(E4,":"))</f>
        <v>Único</v>
      </c>
      <c r="G6" s="18" t="s">
        <v>1343</v>
      </c>
      <c r="H6" s="16" t="str">
        <f>TRIM(_xlfn.TEXTAFTER(G4,":"))</f>
        <v>Unique</v>
      </c>
      <c r="I6" s="18" t="s">
        <v>3543</v>
      </c>
      <c r="J6" s="16" t="str">
        <f>TRIM(_xlfn.TEXTAFTER(I4,":"))</f>
        <v>ユニーク</v>
      </c>
      <c r="K6" s="18" t="s">
        <v>4283</v>
      </c>
      <c r="L6" s="16" t="str">
        <f>TRIM(_xlfn.TEXTAFTER(K4,":"))</f>
        <v>고유</v>
      </c>
      <c r="M6" s="18" t="s">
        <v>4967</v>
      </c>
      <c r="N6" s="16" t="str">
        <f>TRIM(_xlfn.TEXTAFTER(M4,":"))</f>
        <v>Único</v>
      </c>
      <c r="O6" s="18" t="s">
        <v>5697</v>
      </c>
      <c r="P6" s="16" t="str">
        <f>TRIM(_xlfn.TEXTAFTER(O4,":"))</f>
        <v>Уникальный</v>
      </c>
      <c r="Q6" s="18" t="s">
        <v>368</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369</v>
      </c>
      <c r="B8" s="16"/>
      <c r="C8" s="18" t="s">
        <v>2091</v>
      </c>
      <c r="D8" s="16"/>
      <c r="E8" s="18" t="s">
        <v>2809</v>
      </c>
      <c r="F8" s="16"/>
      <c r="G8" s="18" t="s">
        <v>1344</v>
      </c>
      <c r="H8" s="16"/>
      <c r="I8" s="18" t="s">
        <v>3544</v>
      </c>
      <c r="J8" s="16"/>
      <c r="K8" s="18" t="s">
        <v>4284</v>
      </c>
      <c r="L8" s="16"/>
      <c r="M8" s="18" t="s">
        <v>4968</v>
      </c>
      <c r="N8" s="16"/>
      <c r="O8" s="18" t="s">
        <v>5698</v>
      </c>
      <c r="P8" s="16"/>
      <c r="Q8" s="18" t="s">
        <v>6357</v>
      </c>
      <c r="R8" s="16"/>
      <c r="S8" s="18"/>
      <c r="T8" s="16"/>
    </row>
    <row r="9" spans="1:20" ht="15.95" customHeight="1" x14ac:dyDescent="0.25">
      <c r="A9" s="18" t="s">
        <v>370</v>
      </c>
      <c r="B9" s="16"/>
      <c r="C9" s="18" t="s">
        <v>2092</v>
      </c>
      <c r="D9" s="16"/>
      <c r="E9" s="18" t="s">
        <v>2810</v>
      </c>
      <c r="F9" s="16"/>
      <c r="G9" s="18" t="s">
        <v>1345</v>
      </c>
      <c r="H9" s="16"/>
      <c r="I9" s="18" t="s">
        <v>3545</v>
      </c>
      <c r="J9" s="16"/>
      <c r="K9" s="18" t="s">
        <v>4285</v>
      </c>
      <c r="L9" s="16"/>
      <c r="M9" s="18" t="s">
        <v>4969</v>
      </c>
      <c r="N9" s="16"/>
      <c r="O9" s="18" t="s">
        <v>5699</v>
      </c>
      <c r="P9" s="16"/>
      <c r="Q9" s="18" t="s">
        <v>6358</v>
      </c>
      <c r="R9" s="16"/>
      <c r="S9" s="18"/>
      <c r="T9" s="16"/>
    </row>
    <row r="10" spans="1:20" ht="15.95" customHeight="1" x14ac:dyDescent="0.25">
      <c r="A10" s="18" t="s">
        <v>371</v>
      </c>
      <c r="B10" s="16"/>
      <c r="C10" s="18" t="s">
        <v>2093</v>
      </c>
      <c r="D10" s="16"/>
      <c r="E10" s="18" t="s">
        <v>2811</v>
      </c>
      <c r="F10" s="16"/>
      <c r="G10" s="18" t="s">
        <v>1346</v>
      </c>
      <c r="H10" s="16"/>
      <c r="I10" s="18" t="s">
        <v>3546</v>
      </c>
      <c r="J10" s="16"/>
      <c r="K10" s="18" t="s">
        <v>4286</v>
      </c>
      <c r="L10" s="16"/>
      <c r="M10" s="18" t="s">
        <v>4970</v>
      </c>
      <c r="N10" s="16"/>
      <c r="O10" s="18" t="s">
        <v>5700</v>
      </c>
      <c r="P10" s="16"/>
      <c r="Q10" s="18" t="s">
        <v>6359</v>
      </c>
      <c r="R10" s="16"/>
      <c r="S10" s="18"/>
      <c r="T10" s="16"/>
    </row>
    <row r="11" spans="1:20" ht="15.95" customHeight="1" x14ac:dyDescent="0.25">
      <c r="A11" s="18" t="s">
        <v>372</v>
      </c>
      <c r="B11" s="16"/>
      <c r="C11" s="18" t="s">
        <v>2094</v>
      </c>
      <c r="D11" s="16"/>
      <c r="E11" s="18" t="s">
        <v>2812</v>
      </c>
      <c r="F11" s="16"/>
      <c r="G11" s="18" t="s">
        <v>1347</v>
      </c>
      <c r="H11" s="16"/>
      <c r="I11" s="18" t="s">
        <v>3547</v>
      </c>
      <c r="J11" s="16"/>
      <c r="K11" s="18" t="s">
        <v>4287</v>
      </c>
      <c r="L11" s="16"/>
      <c r="M11" s="18" t="s">
        <v>4971</v>
      </c>
      <c r="N11" s="16"/>
      <c r="O11" s="18" t="s">
        <v>5701</v>
      </c>
      <c r="P11" s="16"/>
      <c r="Q11" s="18" t="s">
        <v>6360</v>
      </c>
      <c r="R11" s="16"/>
      <c r="S11" s="18"/>
      <c r="T11" s="16"/>
    </row>
    <row r="12" spans="1:20" ht="15.95" customHeight="1" x14ac:dyDescent="0.25">
      <c r="A12" s="18" t="s">
        <v>271</v>
      </c>
      <c r="B12" s="16"/>
      <c r="C12" s="18" t="s">
        <v>2062</v>
      </c>
      <c r="D12" s="16"/>
      <c r="E12" s="18" t="s">
        <v>2781</v>
      </c>
      <c r="F12" s="16"/>
      <c r="G12" s="18" t="s">
        <v>1316</v>
      </c>
      <c r="H12" s="16"/>
      <c r="I12" s="18" t="s">
        <v>3515</v>
      </c>
      <c r="J12" s="16"/>
      <c r="K12" s="18" t="s">
        <v>4255</v>
      </c>
      <c r="L12" s="16"/>
      <c r="M12" s="18" t="s">
        <v>4940</v>
      </c>
      <c r="N12" s="16"/>
      <c r="O12" s="18" t="s">
        <v>5670</v>
      </c>
      <c r="P12" s="16"/>
      <c r="Q12" s="18" t="s">
        <v>6333</v>
      </c>
      <c r="R12" s="16"/>
      <c r="S12" s="18"/>
      <c r="T12" s="21"/>
    </row>
    <row r="13" spans="1:20" ht="15.95" customHeight="1" x14ac:dyDescent="0.25">
      <c r="A13" s="18" t="s">
        <v>226</v>
      </c>
      <c r="B13" s="16"/>
      <c r="C13" s="18" t="s">
        <v>2063</v>
      </c>
      <c r="D13" s="16"/>
      <c r="E13" s="18" t="s">
        <v>2782</v>
      </c>
      <c r="F13" s="16"/>
      <c r="G13" s="18" t="s">
        <v>1317</v>
      </c>
      <c r="H13" s="16"/>
      <c r="I13" s="18" t="s">
        <v>3516</v>
      </c>
      <c r="J13" s="16"/>
      <c r="K13" s="18" t="s">
        <v>4256</v>
      </c>
      <c r="L13" s="16"/>
      <c r="M13" s="18" t="s">
        <v>4941</v>
      </c>
      <c r="N13" s="16"/>
      <c r="O13" s="18" t="s">
        <v>5671</v>
      </c>
      <c r="P13" s="16"/>
      <c r="Q13" s="18" t="s">
        <v>6334</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81</v>
      </c>
      <c r="B15" s="16"/>
      <c r="C15" s="18" t="s">
        <v>1589</v>
      </c>
      <c r="D15" s="16"/>
      <c r="E15" s="18" t="s">
        <v>2308</v>
      </c>
      <c r="F15" s="16"/>
      <c r="G15" s="18" t="s">
        <v>5</v>
      </c>
      <c r="H15" s="16"/>
      <c r="I15" s="18" t="s">
        <v>3018</v>
      </c>
      <c r="J15" s="16"/>
      <c r="K15" s="18" t="s">
        <v>3772</v>
      </c>
      <c r="L15" s="16"/>
      <c r="M15" s="18" t="s">
        <v>2308</v>
      </c>
      <c r="N15" s="16"/>
      <c r="O15" s="18" t="s">
        <v>5183</v>
      </c>
      <c r="P15" s="16"/>
      <c r="Q15" s="18" t="s">
        <v>5928</v>
      </c>
      <c r="R15" s="16"/>
      <c r="S15" s="18"/>
      <c r="T15" s="21"/>
    </row>
    <row r="16" spans="1:20" ht="15.95" customHeight="1" x14ac:dyDescent="0.25">
      <c r="A16" s="18" t="s">
        <v>272</v>
      </c>
      <c r="B16" s="16"/>
      <c r="C16" s="18" t="s">
        <v>2095</v>
      </c>
      <c r="D16" s="16"/>
      <c r="E16" s="18" t="s">
        <v>2813</v>
      </c>
      <c r="F16" s="16"/>
      <c r="G16" s="18" t="s">
        <v>1348</v>
      </c>
      <c r="H16" s="16"/>
      <c r="I16" s="18" t="s">
        <v>3548</v>
      </c>
      <c r="J16" s="16"/>
      <c r="K16" s="18" t="s">
        <v>4288</v>
      </c>
      <c r="L16" s="16"/>
      <c r="M16" s="18" t="s">
        <v>4972</v>
      </c>
      <c r="N16" s="16"/>
      <c r="O16" s="18" t="s">
        <v>5702</v>
      </c>
      <c r="P16" s="16"/>
      <c r="Q16" s="18" t="s">
        <v>6361</v>
      </c>
      <c r="R16" s="16"/>
      <c r="S16" s="18"/>
      <c r="T16" s="21"/>
    </row>
    <row r="17" spans="1:20" ht="15.95" customHeight="1" x14ac:dyDescent="0.25">
      <c r="A17" s="18" t="s">
        <v>373</v>
      </c>
      <c r="B17" s="16"/>
      <c r="C17" s="18" t="s">
        <v>373</v>
      </c>
      <c r="D17" s="16"/>
      <c r="E17" s="18" t="s">
        <v>2814</v>
      </c>
      <c r="F17" s="16"/>
      <c r="G17" s="18" t="s">
        <v>1349</v>
      </c>
      <c r="H17" s="16"/>
      <c r="I17" s="18" t="s">
        <v>3549</v>
      </c>
      <c r="J17" s="16"/>
      <c r="K17" s="18" t="s">
        <v>4289</v>
      </c>
      <c r="L17" s="16"/>
      <c r="M17" s="18" t="s">
        <v>1349</v>
      </c>
      <c r="N17" s="16"/>
      <c r="O17" s="18" t="s">
        <v>5703</v>
      </c>
      <c r="P17" s="16"/>
      <c r="Q17" s="18" t="s">
        <v>373</v>
      </c>
      <c r="R17" s="16"/>
      <c r="S17" s="18"/>
      <c r="T17" s="21"/>
    </row>
    <row r="18" spans="1:20" ht="15.95" customHeight="1" x14ac:dyDescent="0.25">
      <c r="A18" s="18" t="s">
        <v>374</v>
      </c>
      <c r="B18" s="16"/>
      <c r="C18" s="18" t="s">
        <v>374</v>
      </c>
      <c r="D18" s="16"/>
      <c r="E18" s="18" t="s">
        <v>374</v>
      </c>
      <c r="F18" s="16"/>
      <c r="G18" s="18" t="s">
        <v>374</v>
      </c>
      <c r="H18" s="16"/>
      <c r="I18" s="18" t="s">
        <v>3550</v>
      </c>
      <c r="J18" s="16"/>
      <c r="K18" s="18" t="s">
        <v>4290</v>
      </c>
      <c r="L18" s="16"/>
      <c r="M18" s="18" t="s">
        <v>374</v>
      </c>
      <c r="N18" s="16"/>
      <c r="O18" s="18" t="s">
        <v>5704</v>
      </c>
      <c r="P18" s="16"/>
      <c r="Q18" s="18" t="s">
        <v>374</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375</v>
      </c>
      <c r="B20" s="16"/>
      <c r="C20" s="18" t="s">
        <v>1789</v>
      </c>
      <c r="D20" s="16"/>
      <c r="E20" s="18" t="s">
        <v>2508</v>
      </c>
      <c r="F20" s="16"/>
      <c r="G20" s="18" t="s">
        <v>1057</v>
      </c>
      <c r="H20" s="16"/>
      <c r="I20" s="18" t="s">
        <v>3228</v>
      </c>
      <c r="J20" s="16"/>
      <c r="K20" s="18" t="s">
        <v>3974</v>
      </c>
      <c r="L20" s="16"/>
      <c r="M20" s="18" t="s">
        <v>4701</v>
      </c>
      <c r="N20" s="16"/>
      <c r="O20" s="18" t="s">
        <v>5388</v>
      </c>
      <c r="P20" s="16"/>
      <c r="Q20" s="18" t="s">
        <v>6111</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88</v>
      </c>
      <c r="B22" s="16"/>
      <c r="C22" s="18" t="s">
        <v>1713</v>
      </c>
      <c r="D22" s="16"/>
      <c r="E22" s="18" t="s">
        <v>2432</v>
      </c>
      <c r="F22" s="16"/>
      <c r="G22" s="18" t="s">
        <v>981</v>
      </c>
      <c r="H22" s="16"/>
      <c r="I22" s="18" t="s">
        <v>3150</v>
      </c>
      <c r="J22" s="16"/>
      <c r="K22" s="18" t="s">
        <v>3897</v>
      </c>
      <c r="L22" s="16"/>
      <c r="M22" s="18" t="s">
        <v>4626</v>
      </c>
      <c r="N22" s="16"/>
      <c r="O22" s="18" t="s">
        <v>5311</v>
      </c>
      <c r="P22" s="16"/>
      <c r="Q22" s="18" t="s">
        <v>6043</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359</v>
      </c>
      <c r="B24" s="16"/>
      <c r="C24" s="18" t="s">
        <v>2064</v>
      </c>
      <c r="D24" s="16"/>
      <c r="E24" s="18" t="s">
        <v>2783</v>
      </c>
      <c r="F24" s="16"/>
      <c r="G24" s="18" t="s">
        <v>1318</v>
      </c>
      <c r="H24" s="16"/>
      <c r="I24" s="18" t="s">
        <v>3517</v>
      </c>
      <c r="J24" s="16"/>
      <c r="K24" s="18" t="s">
        <v>4257</v>
      </c>
      <c r="L24" s="16"/>
      <c r="M24" s="18" t="s">
        <v>4942</v>
      </c>
      <c r="N24" s="16"/>
      <c r="O24" s="18" t="s">
        <v>5672</v>
      </c>
      <c r="P24" s="16"/>
      <c r="Q24" s="18" t="s">
        <v>6335</v>
      </c>
      <c r="R24" s="16"/>
      <c r="S24" s="18"/>
      <c r="T24" s="21"/>
    </row>
    <row r="25" spans="1:20" ht="15.95" customHeight="1" x14ac:dyDescent="0.25">
      <c r="A25" s="18" t="s">
        <v>4</v>
      </c>
      <c r="B25" s="16"/>
      <c r="C25" s="18" t="s">
        <v>4</v>
      </c>
      <c r="D25" s="16"/>
      <c r="E25" s="18" t="s">
        <v>4</v>
      </c>
      <c r="F25" s="16"/>
      <c r="G25" s="18" t="s">
        <v>4</v>
      </c>
      <c r="H25" s="16"/>
      <c r="I25" s="18" t="s">
        <v>4</v>
      </c>
      <c r="J25" s="16"/>
      <c r="K25" s="18" t="s">
        <v>4</v>
      </c>
      <c r="L25" s="16"/>
      <c r="M25" s="18" t="s">
        <v>4</v>
      </c>
      <c r="N25" s="16"/>
      <c r="O25" s="18" t="s">
        <v>4</v>
      </c>
      <c r="P25" s="16"/>
      <c r="Q25" s="18" t="s">
        <v>4</v>
      </c>
      <c r="R25" s="16"/>
      <c r="S25" s="18"/>
      <c r="T25" s="21"/>
    </row>
    <row r="26" spans="1:20" ht="15.95" customHeight="1" x14ac:dyDescent="0.25">
      <c r="A26" s="18" t="s">
        <v>376</v>
      </c>
      <c r="B26" s="16"/>
      <c r="C26" s="18" t="s">
        <v>2096</v>
      </c>
      <c r="D26" s="16"/>
      <c r="E26" s="18" t="s">
        <v>2815</v>
      </c>
      <c r="F26" s="16"/>
      <c r="G26" s="18" t="s">
        <v>1350</v>
      </c>
      <c r="H26" s="16"/>
      <c r="I26" s="18" t="s">
        <v>3551</v>
      </c>
      <c r="J26" s="16"/>
      <c r="K26" s="18" t="s">
        <v>4291</v>
      </c>
      <c r="L26" s="16"/>
      <c r="M26" s="18" t="s">
        <v>4973</v>
      </c>
      <c r="N26" s="16"/>
      <c r="O26" s="18" t="s">
        <v>5705</v>
      </c>
      <c r="P26" s="16"/>
      <c r="Q26" s="18" t="s">
        <v>6362</v>
      </c>
      <c r="R26" s="16"/>
      <c r="S26" s="18"/>
      <c r="T26" s="21"/>
    </row>
    <row r="27" spans="1:20" ht="15.95" customHeight="1" x14ac:dyDescent="0.25">
      <c r="A27" s="18" t="s">
        <v>377</v>
      </c>
      <c r="B27" s="16"/>
      <c r="C27" s="18" t="s">
        <v>2097</v>
      </c>
      <c r="D27" s="16"/>
      <c r="E27" s="18" t="s">
        <v>2816</v>
      </c>
      <c r="F27" s="16"/>
      <c r="G27" s="18" t="s">
        <v>1351</v>
      </c>
      <c r="H27" s="16"/>
      <c r="I27" s="18" t="s">
        <v>3552</v>
      </c>
      <c r="J27" s="16"/>
      <c r="K27" s="18" t="s">
        <v>4292</v>
      </c>
      <c r="L27" s="16"/>
      <c r="M27" s="18" t="s">
        <v>4974</v>
      </c>
      <c r="N27" s="16"/>
      <c r="O27" s="18" t="s">
        <v>5706</v>
      </c>
      <c r="P27" s="16"/>
      <c r="Q27" s="18" t="s">
        <v>6363</v>
      </c>
      <c r="R27" s="16"/>
      <c r="S27" s="18"/>
      <c r="T27" s="21"/>
    </row>
    <row r="28" spans="1:20" ht="15.95" customHeight="1" x14ac:dyDescent="0.25">
      <c r="A28" s="18" t="s">
        <v>378</v>
      </c>
      <c r="B28" s="16"/>
      <c r="C28" s="18" t="s">
        <v>2098</v>
      </c>
      <c r="D28" s="16"/>
      <c r="E28" s="18" t="s">
        <v>2817</v>
      </c>
      <c r="F28" s="16"/>
      <c r="G28" s="18" t="s">
        <v>1352</v>
      </c>
      <c r="H28" s="16"/>
      <c r="I28" s="18" t="s">
        <v>3553</v>
      </c>
      <c r="J28" s="16"/>
      <c r="K28" s="18" t="s">
        <v>4293</v>
      </c>
      <c r="L28" s="16"/>
      <c r="M28" s="18" t="s">
        <v>4975</v>
      </c>
      <c r="N28" s="16"/>
      <c r="O28" s="18" t="s">
        <v>5707</v>
      </c>
      <c r="P28" s="16"/>
      <c r="Q28" s="18" t="s">
        <v>6364</v>
      </c>
      <c r="R28" s="16"/>
      <c r="S28" s="18"/>
      <c r="T28" s="21"/>
    </row>
    <row r="29" spans="1:20" ht="15.95" customHeight="1" x14ac:dyDescent="0.25">
      <c r="A29" s="18" t="s">
        <v>379</v>
      </c>
      <c r="B29" s="16"/>
      <c r="C29" s="18" t="s">
        <v>2099</v>
      </c>
      <c r="D29" s="16"/>
      <c r="E29" s="18" t="s">
        <v>2818</v>
      </c>
      <c r="F29" s="16"/>
      <c r="G29" s="18" t="s">
        <v>1353</v>
      </c>
      <c r="H29" s="16"/>
      <c r="I29" s="18" t="s">
        <v>3554</v>
      </c>
      <c r="J29" s="16"/>
      <c r="K29" s="18" t="s">
        <v>4294</v>
      </c>
      <c r="L29" s="16"/>
      <c r="M29" s="18" t="s">
        <v>4976</v>
      </c>
      <c r="N29" s="16"/>
      <c r="O29" s="18" t="s">
        <v>5708</v>
      </c>
      <c r="P29" s="16"/>
      <c r="Q29" s="18" t="s">
        <v>6365</v>
      </c>
      <c r="R29" s="16"/>
      <c r="S29" s="18"/>
      <c r="T29" s="21"/>
    </row>
    <row r="30" spans="1:20" ht="15.95" customHeight="1" x14ac:dyDescent="0.25">
      <c r="A30" s="18" t="s">
        <v>380</v>
      </c>
      <c r="B30" s="16"/>
      <c r="C30" s="18" t="s">
        <v>2100</v>
      </c>
      <c r="D30" s="16"/>
      <c r="E30" s="18" t="s">
        <v>2819</v>
      </c>
      <c r="F30" s="16"/>
      <c r="G30" s="18" t="s">
        <v>1354</v>
      </c>
      <c r="H30" s="16"/>
      <c r="I30" s="18" t="s">
        <v>3555</v>
      </c>
      <c r="J30" s="16"/>
      <c r="K30" s="18" t="s">
        <v>4295</v>
      </c>
      <c r="L30" s="16"/>
      <c r="M30" s="18" t="s">
        <v>4977</v>
      </c>
      <c r="N30" s="16"/>
      <c r="O30" s="18" t="s">
        <v>5709</v>
      </c>
      <c r="P30" s="16"/>
      <c r="Q30" s="18" t="s">
        <v>6366</v>
      </c>
      <c r="R30" s="16"/>
      <c r="S30" s="18"/>
      <c r="T30" s="21"/>
    </row>
    <row r="31" spans="1:20" ht="15.95" customHeight="1" x14ac:dyDescent="0.25">
      <c r="A31" s="18" t="s">
        <v>381</v>
      </c>
      <c r="B31" s="16"/>
      <c r="C31" s="18" t="s">
        <v>2101</v>
      </c>
      <c r="D31" s="16"/>
      <c r="E31" s="18" t="s">
        <v>2820</v>
      </c>
      <c r="F31" s="16"/>
      <c r="G31" s="18" t="s">
        <v>1355</v>
      </c>
      <c r="H31" s="16"/>
      <c r="I31" s="18" t="s">
        <v>3556</v>
      </c>
      <c r="J31" s="16"/>
      <c r="K31" s="18" t="s">
        <v>4296</v>
      </c>
      <c r="L31" s="16"/>
      <c r="M31" s="18" t="s">
        <v>4978</v>
      </c>
      <c r="N31" s="16"/>
      <c r="O31" s="18" t="s">
        <v>5710</v>
      </c>
      <c r="P31" s="16"/>
      <c r="Q31" s="18" t="s">
        <v>6367</v>
      </c>
      <c r="R31" s="16"/>
      <c r="S31" s="18"/>
      <c r="T31" s="21"/>
    </row>
    <row r="32" spans="1:20" ht="15.95" customHeight="1" x14ac:dyDescent="0.25">
      <c r="A32" s="18" t="s">
        <v>4</v>
      </c>
      <c r="B32" s="16"/>
      <c r="C32" s="18" t="s">
        <v>4</v>
      </c>
      <c r="D32" s="16"/>
      <c r="E32" s="18" t="s">
        <v>4</v>
      </c>
      <c r="F32" s="16"/>
      <c r="G32" s="18" t="s">
        <v>4</v>
      </c>
      <c r="H32" s="16"/>
      <c r="I32" s="18" t="s">
        <v>4</v>
      </c>
      <c r="J32" s="16"/>
      <c r="K32" s="18" t="s">
        <v>4</v>
      </c>
      <c r="L32" s="16"/>
      <c r="M32" s="18" t="s">
        <v>4</v>
      </c>
      <c r="N32" s="16"/>
      <c r="O32" s="18" t="s">
        <v>4</v>
      </c>
      <c r="P32" s="16"/>
      <c r="Q32" s="18" t="s">
        <v>4</v>
      </c>
      <c r="R32" s="16"/>
      <c r="S32" s="18"/>
      <c r="T32" s="21"/>
    </row>
    <row r="33" spans="1:20" ht="15.95" customHeight="1" x14ac:dyDescent="0.25">
      <c r="A33" s="22" t="s">
        <v>382</v>
      </c>
      <c r="B33" s="16"/>
      <c r="C33" s="18" t="s">
        <v>2102</v>
      </c>
      <c r="D33" s="16"/>
      <c r="E33" s="18" t="s">
        <v>2821</v>
      </c>
      <c r="F33" s="16"/>
      <c r="G33" s="18" t="s">
        <v>1356</v>
      </c>
      <c r="H33" s="16"/>
      <c r="I33" s="18" t="s">
        <v>3557</v>
      </c>
      <c r="J33" s="16"/>
      <c r="K33" s="18" t="s">
        <v>4297</v>
      </c>
      <c r="L33" s="16"/>
      <c r="M33" s="18" t="s">
        <v>4979</v>
      </c>
      <c r="N33" s="16"/>
      <c r="O33" s="18" t="s">
        <v>5711</v>
      </c>
      <c r="P33" s="16"/>
      <c r="Q33" s="18" t="s">
        <v>6368</v>
      </c>
      <c r="R33" s="16"/>
      <c r="S33" s="18"/>
      <c r="T33" s="21"/>
    </row>
    <row r="34" spans="1:20" ht="15.95" customHeight="1" x14ac:dyDescent="0.25">
      <c r="A34" s="22" t="s">
        <v>383</v>
      </c>
      <c r="B34" s="16"/>
      <c r="C34" s="18" t="s">
        <v>2103</v>
      </c>
      <c r="D34" s="16"/>
      <c r="E34" s="18" t="e" cm="1">
        <f t="array" ref="E34">- Arzobispo Geofri</f>
        <v>#NAME?</v>
      </c>
      <c r="F34" s="16"/>
      <c r="G34" s="18" t="s">
        <v>1357</v>
      </c>
      <c r="H34" s="16"/>
      <c r="I34" s="18" t="s">
        <v>3558</v>
      </c>
      <c r="J34" s="16"/>
      <c r="K34" s="18" t="e" cm="1">
        <f t="array" ref="K34">- 대주교 조프리</f>
        <v>#NAME?</v>
      </c>
      <c r="L34" s="16"/>
      <c r="M34" s="18" t="e" cm="1">
        <f t="array" ref="M34">- Arcebispo Geofri</f>
        <v>#NAME?</v>
      </c>
      <c r="N34" s="16"/>
      <c r="O34" s="18" t="s">
        <v>5712</v>
      </c>
      <c r="P34" s="16"/>
      <c r="Q34" s="18" t="e" cm="1">
        <f t="array" ref="Q34">- หัวหน้า​บาทหลวง​จ็อฟฟริ</f>
        <v>#NAME?</v>
      </c>
      <c r="R34" s="16"/>
      <c r="S34" s="18"/>
      <c r="T34" s="21"/>
    </row>
    <row r="35" spans="1:20" ht="15.95" customHeight="1" x14ac:dyDescent="0.25">
      <c r="A35" s="18"/>
      <c r="B35" s="16"/>
      <c r="C35" s="18"/>
      <c r="D35" s="16"/>
      <c r="E35" s="18"/>
      <c r="F35" s="16"/>
      <c r="G35" s="18" t="s">
        <v>1358</v>
      </c>
      <c r="H35" s="16"/>
      <c r="I35" s="18" t="s">
        <v>3559</v>
      </c>
      <c r="J35" s="16"/>
      <c r="K35" s="18"/>
      <c r="L35" s="16"/>
      <c r="M35" s="18"/>
      <c r="N35" s="16"/>
      <c r="O35" s="18" t="s">
        <v>5713</v>
      </c>
      <c r="P35" s="16"/>
      <c r="Q35" s="18"/>
      <c r="R35" s="16"/>
      <c r="S35" s="18"/>
      <c r="T35" s="21"/>
    </row>
    <row r="36" spans="1:20" ht="15.95" customHeight="1" x14ac:dyDescent="0.25">
      <c r="A36" s="18"/>
      <c r="B36" s="16"/>
      <c r="C36" s="18"/>
      <c r="D36" s="16"/>
      <c r="E36" s="18"/>
      <c r="F36" s="16"/>
      <c r="G36" s="18" t="s">
        <v>1359</v>
      </c>
      <c r="H36" s="16"/>
      <c r="I36" s="18"/>
      <c r="J36" s="16"/>
      <c r="K36" s="18"/>
      <c r="L36" s="16"/>
      <c r="M36" s="18"/>
      <c r="N36" s="16"/>
      <c r="O36" s="18" t="s">
        <v>5714</v>
      </c>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t="e" cm="1">
        <f t="array" ref="O37">- Старший блюститель Джофри</f>
        <v>#NAME?</v>
      </c>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49" priority="2" stopIfTrue="1">
      <formula>NOT(ISERROR(A3))</formula>
    </cfRule>
  </conditionalFormatting>
  <conditionalFormatting sqref="A3:T51">
    <cfRule type="containsErrors" dxfId="248" priority="1" stopIfTrue="1">
      <formula>ISERROR(A3)</formula>
    </cfRule>
    <cfRule type="notContainsBlanks" dxfId="247" priority="3">
      <formula>LEN(TRIM(A3))&gt;0</formula>
    </cfRule>
  </conditionalFormatting>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A4D342-BA74-4B48-8277-F7860BB2FCE9}">
  <sheetPr codeName="Sheet50"/>
  <dimension ref="A1:T51"/>
  <sheetViews>
    <sheetView workbookViewId="0">
      <selection activeCell="Q3" sqref="Q3:Q33"/>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9" t="s">
        <v>84</v>
      </c>
    </row>
    <row r="3" spans="1:20" ht="15.95" customHeight="1" x14ac:dyDescent="0.25">
      <c r="A3" s="17" t="s">
        <v>180</v>
      </c>
      <c r="B3" s="16" t="str">
        <f>TRIM(_xlfn.TEXTBEFORE(A3, ":"))</f>
        <v>Item Class</v>
      </c>
      <c r="C3" s="17" t="s">
        <v>2104</v>
      </c>
      <c r="D3" s="16" t="str">
        <f>TRIM(_xlfn.TEXTBEFORE(C3, ":"))</f>
        <v>Gegenstandsklasse</v>
      </c>
      <c r="E3" s="17" t="s">
        <v>2822</v>
      </c>
      <c r="F3" s="16" t="str">
        <f>TRIM(_xlfn.TEXTBEFORE(E3, ":"))</f>
        <v>Clase de objeto</v>
      </c>
      <c r="G3" s="17" t="s">
        <v>1360</v>
      </c>
      <c r="H3" s="16" t="str">
        <f>TRIM(_xlfn.TEXTBEFORE(G3, ":"))</f>
        <v>Classe d'objet</v>
      </c>
      <c r="I3" s="17" t="s">
        <v>3560</v>
      </c>
      <c r="J3" s="16" t="str">
        <f>TRIM(_xlfn.TEXTBEFORE(I3, ":"))</f>
        <v>アイテムクラス</v>
      </c>
      <c r="K3" s="17" t="s">
        <v>4298</v>
      </c>
      <c r="L3" s="16" t="str">
        <f>TRIM(_xlfn.TEXTBEFORE(K3, ":"))</f>
        <v>아이템 종류</v>
      </c>
      <c r="M3" s="17" t="s">
        <v>4980</v>
      </c>
      <c r="N3" s="16" t="str">
        <f>TRIM(_xlfn.TEXTBEFORE(M3, ":"))</f>
        <v>Classe do Item</v>
      </c>
      <c r="O3" s="17" t="s">
        <v>5715</v>
      </c>
      <c r="P3" s="16" t="str">
        <f>TRIM(_xlfn.TEXTBEFORE(O3, ":"))</f>
        <v>Класс предмета</v>
      </c>
      <c r="Q3" s="17" t="s">
        <v>6369</v>
      </c>
      <c r="R3" s="16" t="str">
        <f>TRIM(_xlfn.TEXTBEFORE(Q3, ":"))</f>
        <v>ชนิดไอเทม</v>
      </c>
      <c r="S3" s="17"/>
      <c r="T3" s="16" t="e">
        <f>TRIM(_xlfn.TEXTBEFORE(S3, ":"))</f>
        <v>#N/A</v>
      </c>
    </row>
    <row r="4" spans="1:20" ht="15.95" customHeight="1" x14ac:dyDescent="0.25">
      <c r="A4" s="18" t="s">
        <v>80</v>
      </c>
      <c r="B4" s="16" t="str">
        <f>TRIM(_xlfn.TEXTAFTER(A3, ":"))</f>
        <v>One Hand Swords</v>
      </c>
      <c r="C4" s="18" t="s">
        <v>1643</v>
      </c>
      <c r="D4" s="16" t="str">
        <f>TRIM(_xlfn.TEXTAFTER(C3, ":"))</f>
        <v>Einhandschwerter</v>
      </c>
      <c r="E4" s="18" t="s">
        <v>2363</v>
      </c>
      <c r="F4" s="16" t="str">
        <f>TRIM(_xlfn.TEXTAFTER(E3, ":"))</f>
        <v>Espadas a una mano</v>
      </c>
      <c r="G4" s="18" t="s">
        <v>1</v>
      </c>
      <c r="H4" s="16" t="str">
        <f>TRIM(_xlfn.TEXTAFTER(G3, ":"))</f>
        <v>Épées à une main</v>
      </c>
      <c r="I4" s="18" t="s">
        <v>3078</v>
      </c>
      <c r="J4" s="16" t="str">
        <f>TRIM(_xlfn.TEXTAFTER(I3, ":"))</f>
        <v>片手剣</v>
      </c>
      <c r="K4" s="18" t="s">
        <v>3828</v>
      </c>
      <c r="L4" s="16" t="str">
        <f>TRIM(_xlfn.TEXTAFTER(K3, ":"))</f>
        <v>한손 검</v>
      </c>
      <c r="M4" s="18" t="s">
        <v>4557</v>
      </c>
      <c r="N4" s="16" t="str">
        <f>TRIM(_xlfn.TEXTAFTER(M3, ":"))</f>
        <v>Espadas de Uma Mão</v>
      </c>
      <c r="O4" s="18" t="s">
        <v>5240</v>
      </c>
      <c r="P4" s="16" t="str">
        <f>TRIM(_xlfn.TEXTAFTER(O3, ":"))</f>
        <v>Одноручные мечи</v>
      </c>
      <c r="Q4" s="18" t="s">
        <v>5977</v>
      </c>
      <c r="R4" s="16" t="str">
        <f>TRIM(_xlfn.TEXTAFTER(Q3, ":"))</f>
        <v>ดาบมือเดียว</v>
      </c>
      <c r="S4" s="18"/>
      <c r="T4" s="16" t="e">
        <f>TRIM(_xlfn.TEXTAFTER(S3, ":"))</f>
        <v>#N/A</v>
      </c>
    </row>
    <row r="5" spans="1:20" ht="15.95" customHeight="1" x14ac:dyDescent="0.25">
      <c r="A5" s="18" t="s">
        <v>181</v>
      </c>
      <c r="B5" s="16" t="str">
        <f>TRIM(_xlfn.TEXTBEFORE(A4, ":"))</f>
        <v>Rarity</v>
      </c>
      <c r="C5" s="18" t="s">
        <v>181</v>
      </c>
      <c r="D5" s="16" t="str">
        <f>TRIM(_xlfn.TEXTBEFORE(C4, ":"))</f>
        <v>Seltenheit</v>
      </c>
      <c r="E5" s="18" t="s">
        <v>181</v>
      </c>
      <c r="F5" s="16" t="str">
        <f>TRIM(_xlfn.TEXTBEFORE(E4, ":"))</f>
        <v>Rareza</v>
      </c>
      <c r="G5" s="18" t="s">
        <v>181</v>
      </c>
      <c r="H5" s="16" t="str">
        <f>TRIM(_xlfn.TEXTBEFORE(G4, ":"))</f>
        <v>Rareté</v>
      </c>
      <c r="I5" s="18" t="s">
        <v>3561</v>
      </c>
      <c r="J5" s="16" t="str">
        <f>TRIM(_xlfn.TEXTBEFORE(I4, ":"))</f>
        <v>レアリティ</v>
      </c>
      <c r="K5" s="18" t="s">
        <v>4299</v>
      </c>
      <c r="L5" s="16" t="str">
        <f>TRIM(_xlfn.TEXTBEFORE(K4, ":"))</f>
        <v>아이템 희귀도</v>
      </c>
      <c r="M5" s="18" t="s">
        <v>181</v>
      </c>
      <c r="N5" s="16" t="str">
        <f>TRIM(_xlfn.TEXTBEFORE(M4, ":"))</f>
        <v>Raridade</v>
      </c>
      <c r="O5" s="18" t="s">
        <v>5716</v>
      </c>
      <c r="P5" s="16" t="str">
        <f>TRIM(_xlfn.TEXTBEFORE(O4, ":"))</f>
        <v>Редкость</v>
      </c>
      <c r="Q5" s="18" t="s">
        <v>181</v>
      </c>
      <c r="R5" s="16" t="str">
        <f>TRIM(_xlfn.TEXTBEFORE(Q4, ":"))</f>
        <v>ความหายาก</v>
      </c>
      <c r="S5" s="18"/>
      <c r="T5" s="16" t="e">
        <f>TRIM(_xlfn.TEXTBEFORE(S4, ":"))</f>
        <v>#N/A</v>
      </c>
    </row>
    <row r="6" spans="1:20" ht="15.95" customHeight="1" x14ac:dyDescent="0.25">
      <c r="A6" s="18" t="s">
        <v>182</v>
      </c>
      <c r="B6" s="16" t="str">
        <f>TRIM(_xlfn.TEXTAFTER(A4,":"))</f>
        <v>Unique</v>
      </c>
      <c r="C6" s="18" t="s">
        <v>2105</v>
      </c>
      <c r="D6" s="16" t="str">
        <f>TRIM(_xlfn.TEXTAFTER(C4,":"))</f>
        <v>Einzigartig</v>
      </c>
      <c r="E6" s="18" t="s">
        <v>2823</v>
      </c>
      <c r="F6" s="16" t="str">
        <f>TRIM(_xlfn.TEXTAFTER(E4,":"))</f>
        <v>Único</v>
      </c>
      <c r="G6" s="18" t="s">
        <v>1361</v>
      </c>
      <c r="H6" s="16" t="str">
        <f>TRIM(_xlfn.TEXTAFTER(G4,":"))</f>
        <v>Unique</v>
      </c>
      <c r="I6" s="18" t="s">
        <v>3562</v>
      </c>
      <c r="J6" s="16" t="str">
        <f>TRIM(_xlfn.TEXTAFTER(I4,":"))</f>
        <v>ユニーク</v>
      </c>
      <c r="K6" s="18" t="s">
        <v>4300</v>
      </c>
      <c r="L6" s="16" t="str">
        <f>TRIM(_xlfn.TEXTAFTER(K4,":"))</f>
        <v>고유</v>
      </c>
      <c r="M6" s="18" t="s">
        <v>4981</v>
      </c>
      <c r="N6" s="16" t="str">
        <f>TRIM(_xlfn.TEXTAFTER(M4,":"))</f>
        <v>Único</v>
      </c>
      <c r="O6" s="18" t="s">
        <v>5717</v>
      </c>
      <c r="P6" s="16" t="str">
        <f>TRIM(_xlfn.TEXTAFTER(O4,":"))</f>
        <v>Уникальный</v>
      </c>
      <c r="Q6" s="18" t="s">
        <v>182</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183</v>
      </c>
      <c r="B8" s="16"/>
      <c r="C8" s="18" t="s">
        <v>2106</v>
      </c>
      <c r="D8" s="16"/>
      <c r="E8" s="18" t="s">
        <v>2824</v>
      </c>
      <c r="F8" s="16"/>
      <c r="G8" s="18" t="s">
        <v>1362</v>
      </c>
      <c r="H8" s="16"/>
      <c r="I8" s="18" t="s">
        <v>3563</v>
      </c>
      <c r="J8" s="16"/>
      <c r="K8" s="18" t="s">
        <v>4301</v>
      </c>
      <c r="L8" s="16"/>
      <c r="M8" s="18" t="s">
        <v>4982</v>
      </c>
      <c r="N8" s="16"/>
      <c r="O8" s="18" t="s">
        <v>5718</v>
      </c>
      <c r="P8" s="16"/>
      <c r="Q8" s="18" t="s">
        <v>6370</v>
      </c>
      <c r="R8" s="16"/>
      <c r="S8" s="18"/>
      <c r="T8" s="16"/>
    </row>
    <row r="9" spans="1:20" ht="15.95" customHeight="1" x14ac:dyDescent="0.25">
      <c r="A9" s="18" t="s">
        <v>184</v>
      </c>
      <c r="B9" s="16"/>
      <c r="C9" s="18" t="s">
        <v>2107</v>
      </c>
      <c r="D9" s="16"/>
      <c r="E9" s="18" t="s">
        <v>2825</v>
      </c>
      <c r="F9" s="16"/>
      <c r="G9" s="18" t="s">
        <v>1363</v>
      </c>
      <c r="H9" s="16"/>
      <c r="I9" s="18" t="s">
        <v>3564</v>
      </c>
      <c r="J9" s="16"/>
      <c r="K9" s="18" t="s">
        <v>4302</v>
      </c>
      <c r="L9" s="16"/>
      <c r="M9" s="18" t="s">
        <v>4983</v>
      </c>
      <c r="N9" s="16"/>
      <c r="O9" s="18" t="s">
        <v>5719</v>
      </c>
      <c r="P9" s="16"/>
      <c r="Q9" s="18" t="s">
        <v>6371</v>
      </c>
      <c r="R9" s="16"/>
      <c r="S9" s="18"/>
      <c r="T9" s="16"/>
    </row>
    <row r="10" spans="1:20" ht="15.95" customHeight="1" x14ac:dyDescent="0.25">
      <c r="A10" s="18" t="s">
        <v>185</v>
      </c>
      <c r="B10" s="16"/>
      <c r="C10" s="18" t="s">
        <v>2108</v>
      </c>
      <c r="D10" s="16"/>
      <c r="E10" s="18" t="s">
        <v>2826</v>
      </c>
      <c r="F10" s="16"/>
      <c r="G10" s="18" t="s">
        <v>1364</v>
      </c>
      <c r="H10" s="16"/>
      <c r="I10" s="18" t="s">
        <v>3565</v>
      </c>
      <c r="J10" s="16"/>
      <c r="K10" s="18" t="s">
        <v>4303</v>
      </c>
      <c r="L10" s="16"/>
      <c r="M10" s="18" t="s">
        <v>4984</v>
      </c>
      <c r="N10" s="16"/>
      <c r="O10" s="18" t="s">
        <v>5720</v>
      </c>
      <c r="P10" s="16"/>
      <c r="Q10" s="18" t="s">
        <v>6372</v>
      </c>
      <c r="R10" s="16"/>
      <c r="S10" s="18"/>
      <c r="T10" s="16"/>
    </row>
    <row r="11" spans="1:20" ht="15.95" customHeight="1" x14ac:dyDescent="0.25">
      <c r="A11" s="18" t="s">
        <v>186</v>
      </c>
      <c r="B11" s="16"/>
      <c r="C11" s="18" t="s">
        <v>2109</v>
      </c>
      <c r="D11" s="16"/>
      <c r="E11" s="18" t="s">
        <v>2827</v>
      </c>
      <c r="F11" s="16"/>
      <c r="G11" s="18" t="s">
        <v>1365</v>
      </c>
      <c r="H11" s="16"/>
      <c r="I11" s="18" t="s">
        <v>3566</v>
      </c>
      <c r="J11" s="16"/>
      <c r="K11" s="18" t="s">
        <v>4304</v>
      </c>
      <c r="L11" s="16"/>
      <c r="M11" s="18" t="s">
        <v>4985</v>
      </c>
      <c r="N11" s="16"/>
      <c r="O11" s="18" t="s">
        <v>5721</v>
      </c>
      <c r="P11" s="16"/>
      <c r="Q11" s="18" t="s">
        <v>6373</v>
      </c>
      <c r="R11" s="16"/>
      <c r="S11" s="18"/>
      <c r="T11" s="16"/>
    </row>
    <row r="12" spans="1:20" ht="15.95" customHeight="1" x14ac:dyDescent="0.25">
      <c r="A12" s="18" t="s">
        <v>106</v>
      </c>
      <c r="B12" s="16"/>
      <c r="C12" s="18" t="s">
        <v>1983</v>
      </c>
      <c r="D12" s="16"/>
      <c r="E12" s="18" t="s">
        <v>2704</v>
      </c>
      <c r="F12" s="16"/>
      <c r="G12" s="18" t="s">
        <v>1239</v>
      </c>
      <c r="H12" s="16"/>
      <c r="I12" s="18" t="s">
        <v>3431</v>
      </c>
      <c r="J12" s="16"/>
      <c r="K12" s="18" t="s">
        <v>4175</v>
      </c>
      <c r="L12" s="16"/>
      <c r="M12" s="18" t="s">
        <v>4922</v>
      </c>
      <c r="N12" s="16"/>
      <c r="O12" s="18" t="s">
        <v>5589</v>
      </c>
      <c r="P12" s="16"/>
      <c r="Q12" s="18" t="s">
        <v>6269</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81</v>
      </c>
      <c r="B14" s="16"/>
      <c r="C14" s="18" t="s">
        <v>1589</v>
      </c>
      <c r="D14" s="16"/>
      <c r="E14" s="18" t="s">
        <v>2308</v>
      </c>
      <c r="F14" s="16"/>
      <c r="G14" s="18" t="s">
        <v>5</v>
      </c>
      <c r="H14" s="16"/>
      <c r="I14" s="18" t="s">
        <v>3018</v>
      </c>
      <c r="J14" s="16"/>
      <c r="K14" s="18" t="s">
        <v>3772</v>
      </c>
      <c r="L14" s="16"/>
      <c r="M14" s="18" t="s">
        <v>2308</v>
      </c>
      <c r="N14" s="16"/>
      <c r="O14" s="18" t="s">
        <v>5183</v>
      </c>
      <c r="P14" s="16"/>
      <c r="Q14" s="18" t="s">
        <v>5928</v>
      </c>
      <c r="R14" s="16"/>
      <c r="S14" s="18"/>
      <c r="T14" s="21"/>
    </row>
    <row r="15" spans="1:20" ht="15.95" customHeight="1" x14ac:dyDescent="0.25">
      <c r="A15" s="18" t="s">
        <v>187</v>
      </c>
      <c r="B15" s="16"/>
      <c r="C15" s="18" t="s">
        <v>2110</v>
      </c>
      <c r="D15" s="16"/>
      <c r="E15" s="18" t="s">
        <v>2828</v>
      </c>
      <c r="F15" s="16"/>
      <c r="G15" s="18" t="s">
        <v>1366</v>
      </c>
      <c r="H15" s="16"/>
      <c r="I15" s="18" t="s">
        <v>3567</v>
      </c>
      <c r="J15" s="16"/>
      <c r="K15" s="18" t="s">
        <v>4305</v>
      </c>
      <c r="L15" s="16"/>
      <c r="M15" s="18" t="s">
        <v>4986</v>
      </c>
      <c r="N15" s="16"/>
      <c r="O15" s="18" t="s">
        <v>5722</v>
      </c>
      <c r="P15" s="16"/>
      <c r="Q15" s="18" t="s">
        <v>6374</v>
      </c>
      <c r="R15" s="16"/>
      <c r="S15" s="18"/>
      <c r="T15" s="21"/>
    </row>
    <row r="16" spans="1:20" ht="15.95" customHeight="1" x14ac:dyDescent="0.25">
      <c r="A16" s="18" t="s">
        <v>188</v>
      </c>
      <c r="B16" s="16"/>
      <c r="C16" s="18" t="s">
        <v>188</v>
      </c>
      <c r="D16" s="16"/>
      <c r="E16" s="18" t="s">
        <v>2829</v>
      </c>
      <c r="F16" s="16"/>
      <c r="G16" s="18" t="s">
        <v>1367</v>
      </c>
      <c r="H16" s="16"/>
      <c r="I16" s="18" t="s">
        <v>3568</v>
      </c>
      <c r="J16" s="16"/>
      <c r="K16" s="18" t="s">
        <v>4306</v>
      </c>
      <c r="L16" s="16"/>
      <c r="M16" s="18" t="s">
        <v>1367</v>
      </c>
      <c r="N16" s="16"/>
      <c r="O16" s="18" t="s">
        <v>5723</v>
      </c>
      <c r="P16" s="16"/>
      <c r="Q16" s="18" t="s">
        <v>188</v>
      </c>
      <c r="R16" s="16"/>
      <c r="S16" s="18"/>
      <c r="T16" s="21"/>
    </row>
    <row r="17" spans="1:20" ht="15.95" customHeight="1" x14ac:dyDescent="0.25">
      <c r="A17" s="18" t="s">
        <v>189</v>
      </c>
      <c r="B17" s="16"/>
      <c r="C17" s="18" t="s">
        <v>2111</v>
      </c>
      <c r="D17" s="16"/>
      <c r="E17" s="18" t="s">
        <v>2830</v>
      </c>
      <c r="F17" s="16"/>
      <c r="G17" s="18" t="s">
        <v>189</v>
      </c>
      <c r="H17" s="16"/>
      <c r="I17" s="18" t="s">
        <v>3569</v>
      </c>
      <c r="J17" s="16"/>
      <c r="K17" s="18" t="s">
        <v>4307</v>
      </c>
      <c r="L17" s="16"/>
      <c r="M17" s="18" t="s">
        <v>2830</v>
      </c>
      <c r="N17" s="16"/>
      <c r="O17" s="18" t="s">
        <v>5724</v>
      </c>
      <c r="P17" s="16"/>
      <c r="Q17" s="18" t="s">
        <v>189</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190</v>
      </c>
      <c r="B19" s="16"/>
      <c r="C19" s="18" t="s">
        <v>2112</v>
      </c>
      <c r="D19" s="16"/>
      <c r="E19" s="18" t="s">
        <v>2831</v>
      </c>
      <c r="F19" s="16"/>
      <c r="G19" s="18" t="s">
        <v>1368</v>
      </c>
      <c r="H19" s="16"/>
      <c r="I19" s="18" t="s">
        <v>3570</v>
      </c>
      <c r="J19" s="16"/>
      <c r="K19" s="18" t="s">
        <v>4308</v>
      </c>
      <c r="L19" s="16"/>
      <c r="M19" s="18" t="s">
        <v>4987</v>
      </c>
      <c r="N19" s="16"/>
      <c r="O19" s="18" t="s">
        <v>5725</v>
      </c>
      <c r="P19" s="16"/>
      <c r="Q19" s="18" t="s">
        <v>6375</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191</v>
      </c>
      <c r="B21" s="16"/>
      <c r="C21" s="18" t="s">
        <v>2113</v>
      </c>
      <c r="D21" s="16"/>
      <c r="E21" s="18" t="s">
        <v>2832</v>
      </c>
      <c r="F21" s="16"/>
      <c r="G21" s="18" t="s">
        <v>1369</v>
      </c>
      <c r="H21" s="16"/>
      <c r="I21" s="18" t="s">
        <v>3571</v>
      </c>
      <c r="J21" s="16"/>
      <c r="K21" s="18" t="s">
        <v>4309</v>
      </c>
      <c r="L21" s="16"/>
      <c r="M21" s="18" t="s">
        <v>4988</v>
      </c>
      <c r="N21" s="16"/>
      <c r="O21" s="18" t="s">
        <v>5726</v>
      </c>
      <c r="P21" s="16"/>
      <c r="Q21" s="18" t="s">
        <v>6376</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192</v>
      </c>
      <c r="B23" s="16"/>
      <c r="C23" s="18" t="s">
        <v>2114</v>
      </c>
      <c r="D23" s="16"/>
      <c r="E23" s="18" t="s">
        <v>2833</v>
      </c>
      <c r="F23" s="16"/>
      <c r="G23" s="18" t="s">
        <v>1370</v>
      </c>
      <c r="H23" s="16"/>
      <c r="I23" s="18" t="s">
        <v>3572</v>
      </c>
      <c r="J23" s="16"/>
      <c r="K23" s="18" t="s">
        <v>4310</v>
      </c>
      <c r="L23" s="16"/>
      <c r="M23" s="18" t="s">
        <v>4989</v>
      </c>
      <c r="N23" s="16"/>
      <c r="O23" s="18" t="s">
        <v>5727</v>
      </c>
      <c r="P23" s="16"/>
      <c r="Q23" s="18" t="s">
        <v>6377</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193</v>
      </c>
      <c r="B25" s="16"/>
      <c r="C25" s="18" t="s">
        <v>2115</v>
      </c>
      <c r="D25" s="16"/>
      <c r="E25" s="18" t="s">
        <v>2834</v>
      </c>
      <c r="F25" s="16"/>
      <c r="G25" s="18" t="s">
        <v>1371</v>
      </c>
      <c r="H25" s="16"/>
      <c r="I25" s="18" t="s">
        <v>3573</v>
      </c>
      <c r="J25" s="16"/>
      <c r="K25" s="18" t="s">
        <v>4311</v>
      </c>
      <c r="L25" s="16"/>
      <c r="M25" s="18" t="s">
        <v>4990</v>
      </c>
      <c r="N25" s="16"/>
      <c r="O25" s="18" t="s">
        <v>5728</v>
      </c>
      <c r="P25" s="16"/>
      <c r="Q25" s="18" t="s">
        <v>6378</v>
      </c>
      <c r="R25" s="16"/>
      <c r="S25" s="18"/>
      <c r="T25" s="21"/>
    </row>
    <row r="26" spans="1:20" ht="15.95" customHeight="1" x14ac:dyDescent="0.25">
      <c r="A26" s="18" t="s">
        <v>194</v>
      </c>
      <c r="B26" s="16"/>
      <c r="C26" s="18" t="s">
        <v>2116</v>
      </c>
      <c r="D26" s="16"/>
      <c r="E26" s="18" t="s">
        <v>2835</v>
      </c>
      <c r="F26" s="16"/>
      <c r="G26" s="18" t="s">
        <v>1372</v>
      </c>
      <c r="H26" s="16"/>
      <c r="I26" s="18" t="s">
        <v>3574</v>
      </c>
      <c r="J26" s="16"/>
      <c r="K26" s="18" t="s">
        <v>4312</v>
      </c>
      <c r="L26" s="16"/>
      <c r="M26" s="18" t="s">
        <v>4991</v>
      </c>
      <c r="N26" s="16"/>
      <c r="O26" s="18" t="s">
        <v>5729</v>
      </c>
      <c r="P26" s="16"/>
      <c r="Q26" s="18" t="s">
        <v>6379</v>
      </c>
      <c r="R26" s="16"/>
      <c r="S26" s="18"/>
      <c r="T26" s="21"/>
    </row>
    <row r="27" spans="1:20" ht="15.95" customHeight="1" x14ac:dyDescent="0.25">
      <c r="A27" s="18" t="s">
        <v>195</v>
      </c>
      <c r="B27" s="16"/>
      <c r="C27" s="18" t="s">
        <v>2117</v>
      </c>
      <c r="D27" s="16"/>
      <c r="E27" s="18" t="s">
        <v>2836</v>
      </c>
      <c r="F27" s="16"/>
      <c r="G27" s="18" t="s">
        <v>1373</v>
      </c>
      <c r="H27" s="16"/>
      <c r="I27" s="18" t="s">
        <v>3575</v>
      </c>
      <c r="J27" s="16"/>
      <c r="K27" s="18" t="s">
        <v>4313</v>
      </c>
      <c r="L27" s="16"/>
      <c r="M27" s="18" t="s">
        <v>4992</v>
      </c>
      <c r="N27" s="16"/>
      <c r="O27" s="18" t="s">
        <v>5730</v>
      </c>
      <c r="P27" s="16"/>
      <c r="Q27" s="18" t="s">
        <v>6380</v>
      </c>
      <c r="R27" s="16"/>
      <c r="S27" s="18"/>
      <c r="T27" s="21"/>
    </row>
    <row r="28" spans="1:20" ht="15.95" customHeight="1" x14ac:dyDescent="0.25">
      <c r="A28" s="18" t="s">
        <v>196</v>
      </c>
      <c r="B28" s="16"/>
      <c r="C28" s="18" t="s">
        <v>2118</v>
      </c>
      <c r="D28" s="16"/>
      <c r="E28" s="18" t="s">
        <v>2837</v>
      </c>
      <c r="F28" s="16"/>
      <c r="G28" s="18" t="s">
        <v>1374</v>
      </c>
      <c r="H28" s="16"/>
      <c r="I28" s="18" t="s">
        <v>3576</v>
      </c>
      <c r="J28" s="16"/>
      <c r="K28" s="18" t="s">
        <v>4314</v>
      </c>
      <c r="L28" s="16"/>
      <c r="M28" s="18" t="s">
        <v>4993</v>
      </c>
      <c r="N28" s="16"/>
      <c r="O28" s="18" t="s">
        <v>5731</v>
      </c>
      <c r="P28" s="16"/>
      <c r="Q28" s="18" t="s">
        <v>6381</v>
      </c>
      <c r="R28" s="16"/>
      <c r="S28" s="18"/>
      <c r="T28" s="21"/>
    </row>
    <row r="29" spans="1:20" ht="15.95" customHeight="1" x14ac:dyDescent="0.25">
      <c r="A29" s="18" t="s">
        <v>197</v>
      </c>
      <c r="B29" s="16"/>
      <c r="C29" s="18" t="s">
        <v>2119</v>
      </c>
      <c r="D29" s="16"/>
      <c r="E29" s="18" t="s">
        <v>2838</v>
      </c>
      <c r="F29" s="16"/>
      <c r="G29" s="18" t="s">
        <v>1375</v>
      </c>
      <c r="H29" s="16"/>
      <c r="I29" s="18" t="s">
        <v>3577</v>
      </c>
      <c r="J29" s="16"/>
      <c r="K29" s="18" t="s">
        <v>4315</v>
      </c>
      <c r="L29" s="16"/>
      <c r="M29" s="18" t="s">
        <v>4994</v>
      </c>
      <c r="N29" s="16"/>
      <c r="O29" s="18" t="s">
        <v>5732</v>
      </c>
      <c r="P29" s="16"/>
      <c r="Q29" s="18" t="s">
        <v>6382</v>
      </c>
      <c r="R29" s="16"/>
      <c r="S29" s="18"/>
      <c r="T29" s="21"/>
    </row>
    <row r="30" spans="1:20" ht="15.95" customHeight="1" x14ac:dyDescent="0.25">
      <c r="A30" s="18" t="s">
        <v>198</v>
      </c>
      <c r="B30" s="16"/>
      <c r="C30" s="18" t="s">
        <v>2120</v>
      </c>
      <c r="D30" s="16"/>
      <c r="E30" s="18" t="s">
        <v>2839</v>
      </c>
      <c r="F30" s="16"/>
      <c r="G30" s="18" t="s">
        <v>1376</v>
      </c>
      <c r="H30" s="16"/>
      <c r="I30" s="18" t="s">
        <v>3578</v>
      </c>
      <c r="J30" s="16"/>
      <c r="K30" s="18" t="s">
        <v>4316</v>
      </c>
      <c r="L30" s="16"/>
      <c r="M30" s="18" t="s">
        <v>4995</v>
      </c>
      <c r="N30" s="16"/>
      <c r="O30" s="18" t="s">
        <v>5733</v>
      </c>
      <c r="P30" s="16"/>
      <c r="Q30" s="18" t="s">
        <v>6383</v>
      </c>
      <c r="R30" s="16"/>
      <c r="S30" s="18"/>
      <c r="T30" s="21"/>
    </row>
    <row r="31" spans="1:20" ht="15.95" customHeight="1" x14ac:dyDescent="0.25">
      <c r="A31" s="18" t="s">
        <v>199</v>
      </c>
      <c r="B31" s="16"/>
      <c r="C31" s="18" t="s">
        <v>2121</v>
      </c>
      <c r="D31" s="16"/>
      <c r="E31" s="18" t="s">
        <v>2840</v>
      </c>
      <c r="F31" s="16"/>
      <c r="G31" s="18" t="s">
        <v>1377</v>
      </c>
      <c r="H31" s="16"/>
      <c r="I31" s="18" t="s">
        <v>3579</v>
      </c>
      <c r="J31" s="16"/>
      <c r="K31" s="18" t="s">
        <v>4317</v>
      </c>
      <c r="L31" s="16"/>
      <c r="M31" s="18" t="s">
        <v>4996</v>
      </c>
      <c r="N31" s="16"/>
      <c r="O31" s="18" t="s">
        <v>5734</v>
      </c>
      <c r="P31" s="16"/>
      <c r="Q31" s="18" t="s">
        <v>6384</v>
      </c>
      <c r="R31" s="16"/>
      <c r="S31" s="18"/>
      <c r="T31" s="21"/>
    </row>
    <row r="32" spans="1:20" ht="15.95" customHeight="1" x14ac:dyDescent="0.25">
      <c r="A32" s="18" t="s">
        <v>4</v>
      </c>
      <c r="B32" s="16"/>
      <c r="C32" s="18" t="s">
        <v>4</v>
      </c>
      <c r="D32" s="16"/>
      <c r="E32" s="18" t="s">
        <v>4</v>
      </c>
      <c r="F32" s="16"/>
      <c r="G32" s="18" t="s">
        <v>4</v>
      </c>
      <c r="H32" s="16"/>
      <c r="I32" s="18" t="s">
        <v>4</v>
      </c>
      <c r="J32" s="16"/>
      <c r="K32" s="18" t="s">
        <v>4</v>
      </c>
      <c r="L32" s="16"/>
      <c r="M32" s="18" t="s">
        <v>4</v>
      </c>
      <c r="N32" s="16"/>
      <c r="O32" s="18" t="s">
        <v>4</v>
      </c>
      <c r="P32" s="16"/>
      <c r="Q32" s="18" t="s">
        <v>4</v>
      </c>
      <c r="R32" s="16"/>
      <c r="S32" s="18"/>
      <c r="T32" s="21"/>
    </row>
    <row r="33" spans="1:20" ht="15.95" customHeight="1" x14ac:dyDescent="0.25">
      <c r="A33" s="22" t="s">
        <v>200</v>
      </c>
      <c r="B33" s="16"/>
      <c r="C33" s="18" t="s">
        <v>2122</v>
      </c>
      <c r="D33" s="16"/>
      <c r="E33" s="18" t="s">
        <v>2841</v>
      </c>
      <c r="F33" s="16"/>
      <c r="G33" s="18" t="s">
        <v>1378</v>
      </c>
      <c r="H33" s="16"/>
      <c r="I33" s="18" t="s">
        <v>3580</v>
      </c>
      <c r="J33" s="16"/>
      <c r="K33" s="18" t="s">
        <v>4318</v>
      </c>
      <c r="L33" s="16"/>
      <c r="M33" s="18" t="s">
        <v>4997</v>
      </c>
      <c r="N33" s="16"/>
      <c r="O33" s="18" t="s">
        <v>5735</v>
      </c>
      <c r="P33" s="16"/>
      <c r="Q33" s="18" t="s">
        <v>6385</v>
      </c>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46" priority="2" stopIfTrue="1">
      <formula>NOT(ISERROR(A3))</formula>
    </cfRule>
  </conditionalFormatting>
  <conditionalFormatting sqref="A3:T51">
    <cfRule type="containsErrors" dxfId="245" priority="1" stopIfTrue="1">
      <formula>ISERROR(A3)</formula>
    </cfRule>
    <cfRule type="notContainsBlanks" dxfId="244" priority="3">
      <formula>LEN(TRIM(A3))&gt;0</formula>
    </cfRule>
  </conditionalFormatting>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4369E7-2C80-4677-9428-606612272D56}">
  <sheetPr codeName="Sheet51"/>
  <dimension ref="A1:T51"/>
  <sheetViews>
    <sheetView workbookViewId="0">
      <selection activeCell="Q3" sqref="Q3:Q31"/>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9" t="s">
        <v>84</v>
      </c>
    </row>
    <row r="3" spans="1:20" ht="15.95" customHeight="1" x14ac:dyDescent="0.25">
      <c r="A3" s="17" t="s">
        <v>201</v>
      </c>
      <c r="B3" s="16" t="str">
        <f>TRIM(_xlfn.TEXTBEFORE(A3, ":"))</f>
        <v>Item Class</v>
      </c>
      <c r="C3" s="17" t="s">
        <v>2123</v>
      </c>
      <c r="D3" s="16" t="str">
        <f>TRIM(_xlfn.TEXTBEFORE(C3, ":"))</f>
        <v>Gegenstandsklasse</v>
      </c>
      <c r="E3" s="17" t="s">
        <v>2842</v>
      </c>
      <c r="F3" s="16" t="str">
        <f>TRIM(_xlfn.TEXTBEFORE(E3, ":"))</f>
        <v>Clase de objeto</v>
      </c>
      <c r="G3" s="17" t="s">
        <v>1379</v>
      </c>
      <c r="H3" s="16" t="str">
        <f>TRIM(_xlfn.TEXTBEFORE(G3, ":"))</f>
        <v>Classe d'objet</v>
      </c>
      <c r="I3" s="17" t="s">
        <v>3581</v>
      </c>
      <c r="J3" s="16" t="str">
        <f>TRIM(_xlfn.TEXTBEFORE(I3, ":"))</f>
        <v>アイテムクラス</v>
      </c>
      <c r="K3" s="17" t="s">
        <v>4319</v>
      </c>
      <c r="L3" s="16" t="str">
        <f>TRIM(_xlfn.TEXTBEFORE(K3, ":"))</f>
        <v>아이템 종류</v>
      </c>
      <c r="M3" s="17" t="s">
        <v>4998</v>
      </c>
      <c r="N3" s="16" t="str">
        <f>TRIM(_xlfn.TEXTBEFORE(M3, ":"))</f>
        <v>Classe do Item</v>
      </c>
      <c r="O3" s="17" t="s">
        <v>5736</v>
      </c>
      <c r="P3" s="16" t="str">
        <f>TRIM(_xlfn.TEXTBEFORE(O3, ":"))</f>
        <v>Класс предмета</v>
      </c>
      <c r="Q3" s="17" t="s">
        <v>6386</v>
      </c>
      <c r="R3" s="16" t="str">
        <f>TRIM(_xlfn.TEXTBEFORE(Q3, ":"))</f>
        <v>ชนิดไอเทม</v>
      </c>
      <c r="S3" s="17"/>
      <c r="T3" s="16" t="e">
        <f>TRIM(_xlfn.TEXTBEFORE(S3, ":"))</f>
        <v>#N/A</v>
      </c>
    </row>
    <row r="4" spans="1:20" ht="15.95" customHeight="1" x14ac:dyDescent="0.25">
      <c r="A4" s="18" t="s">
        <v>80</v>
      </c>
      <c r="B4" s="16" t="str">
        <f>TRIM(_xlfn.TEXTAFTER(A3, ":"))</f>
        <v>Thrusting One Hand Swords</v>
      </c>
      <c r="C4" s="18" t="s">
        <v>1643</v>
      </c>
      <c r="D4" s="16" t="str">
        <f>TRIM(_xlfn.TEXTAFTER(C3, ":"))</f>
        <v>Einhandstichschwerter</v>
      </c>
      <c r="E4" s="18" t="s">
        <v>2363</v>
      </c>
      <c r="F4" s="16" t="str">
        <f>TRIM(_xlfn.TEXTAFTER(E3, ":"))</f>
        <v>Espadas agresivas a una mano</v>
      </c>
      <c r="G4" s="18" t="s">
        <v>1</v>
      </c>
      <c r="H4" s="16" t="str">
        <f>TRIM(_xlfn.TEXTAFTER(G3, ":"))</f>
        <v>Épées d'estoc à une main</v>
      </c>
      <c r="I4" s="18" t="s">
        <v>3078</v>
      </c>
      <c r="J4" s="16" t="str">
        <f>TRIM(_xlfn.TEXTAFTER(I3, ":"))</f>
        <v>刺突剣</v>
      </c>
      <c r="K4" s="18" t="s">
        <v>3828</v>
      </c>
      <c r="L4" s="16" t="str">
        <f>TRIM(_xlfn.TEXTAFTER(K3, ":"))</f>
        <v>날카로운 한손 검</v>
      </c>
      <c r="M4" s="18" t="s">
        <v>4557</v>
      </c>
      <c r="N4" s="16" t="str">
        <f>TRIM(_xlfn.TEXTAFTER(M3, ":"))</f>
        <v>Espadas de Estocada de Uma Mão</v>
      </c>
      <c r="O4" s="18" t="s">
        <v>5240</v>
      </c>
      <c r="P4" s="16" t="str">
        <f>TRIM(_xlfn.TEXTAFTER(O3, ":"))</f>
        <v>Шпаги</v>
      </c>
      <c r="Q4" s="18" t="s">
        <v>5977</v>
      </c>
      <c r="R4" s="16" t="str">
        <f>TRIM(_xlfn.TEXTAFTER(Q3, ":"))</f>
        <v>ดาบแทง</v>
      </c>
      <c r="S4" s="18"/>
      <c r="T4" s="16" t="e">
        <f>TRIM(_xlfn.TEXTAFTER(S3, ":"))</f>
        <v>#N/A</v>
      </c>
    </row>
    <row r="5" spans="1:20" ht="15.95" customHeight="1" x14ac:dyDescent="0.25">
      <c r="A5" s="18" t="s">
        <v>202</v>
      </c>
      <c r="B5" s="16" t="str">
        <f>TRIM(_xlfn.TEXTBEFORE(A4, ":"))</f>
        <v>Rarity</v>
      </c>
      <c r="C5" s="18" t="s">
        <v>202</v>
      </c>
      <c r="D5" s="16" t="str">
        <f>TRIM(_xlfn.TEXTBEFORE(C4, ":"))</f>
        <v>Seltenheit</v>
      </c>
      <c r="E5" s="18" t="s">
        <v>202</v>
      </c>
      <c r="F5" s="16" t="str">
        <f>TRIM(_xlfn.TEXTBEFORE(E4, ":"))</f>
        <v>Rareza</v>
      </c>
      <c r="G5" s="18" t="s">
        <v>202</v>
      </c>
      <c r="H5" s="16" t="str">
        <f>TRIM(_xlfn.TEXTBEFORE(G4, ":"))</f>
        <v>Rareté</v>
      </c>
      <c r="I5" s="18" t="s">
        <v>3582</v>
      </c>
      <c r="J5" s="16" t="str">
        <f>TRIM(_xlfn.TEXTBEFORE(I4, ":"))</f>
        <v>レアリティ</v>
      </c>
      <c r="K5" s="18" t="s">
        <v>4320</v>
      </c>
      <c r="L5" s="16" t="str">
        <f>TRIM(_xlfn.TEXTBEFORE(K4, ":"))</f>
        <v>아이템 희귀도</v>
      </c>
      <c r="M5" s="18" t="s">
        <v>202</v>
      </c>
      <c r="N5" s="16" t="str">
        <f>TRIM(_xlfn.TEXTBEFORE(M4, ":"))</f>
        <v>Raridade</v>
      </c>
      <c r="O5" s="18" t="s">
        <v>5737</v>
      </c>
      <c r="P5" s="16" t="str">
        <f>TRIM(_xlfn.TEXTBEFORE(O4, ":"))</f>
        <v>Редкость</v>
      </c>
      <c r="Q5" s="18" t="s">
        <v>202</v>
      </c>
      <c r="R5" s="16" t="str">
        <f>TRIM(_xlfn.TEXTBEFORE(Q4, ":"))</f>
        <v>ความหายาก</v>
      </c>
      <c r="S5" s="18"/>
      <c r="T5" s="16" t="e">
        <f>TRIM(_xlfn.TEXTBEFORE(S4, ":"))</f>
        <v>#N/A</v>
      </c>
    </row>
    <row r="6" spans="1:20" ht="15.95" customHeight="1" x14ac:dyDescent="0.25">
      <c r="A6" s="18" t="s">
        <v>203</v>
      </c>
      <c r="B6" s="16" t="str">
        <f>TRIM(_xlfn.TEXTAFTER(A4,":"))</f>
        <v>Unique</v>
      </c>
      <c r="C6" s="18" t="s">
        <v>2124</v>
      </c>
      <c r="D6" s="16" t="str">
        <f>TRIM(_xlfn.TEXTAFTER(C4,":"))</f>
        <v>Einzigartig</v>
      </c>
      <c r="E6" s="18" t="s">
        <v>2843</v>
      </c>
      <c r="F6" s="16" t="str">
        <f>TRIM(_xlfn.TEXTAFTER(E4,":"))</f>
        <v>Único</v>
      </c>
      <c r="G6" s="18" t="s">
        <v>1380</v>
      </c>
      <c r="H6" s="16" t="str">
        <f>TRIM(_xlfn.TEXTAFTER(G4,":"))</f>
        <v>Unique</v>
      </c>
      <c r="I6" s="18" t="s">
        <v>3583</v>
      </c>
      <c r="J6" s="16" t="str">
        <f>TRIM(_xlfn.TEXTAFTER(I4,":"))</f>
        <v>ユニーク</v>
      </c>
      <c r="K6" s="18" t="s">
        <v>4321</v>
      </c>
      <c r="L6" s="16" t="str">
        <f>TRIM(_xlfn.TEXTAFTER(K4,":"))</f>
        <v>고유</v>
      </c>
      <c r="M6" s="18" t="s">
        <v>4999</v>
      </c>
      <c r="N6" s="16" t="str">
        <f>TRIM(_xlfn.TEXTAFTER(M4,":"))</f>
        <v>Único</v>
      </c>
      <c r="O6" s="18" t="s">
        <v>5738</v>
      </c>
      <c r="P6" s="16" t="str">
        <f>TRIM(_xlfn.TEXTAFTER(O4,":"))</f>
        <v>Уникальный</v>
      </c>
      <c r="Q6" s="18" t="s">
        <v>203</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183</v>
      </c>
      <c r="B8" s="16"/>
      <c r="C8" s="18" t="s">
        <v>2106</v>
      </c>
      <c r="D8" s="16"/>
      <c r="E8" s="18" t="s">
        <v>2824</v>
      </c>
      <c r="F8" s="16"/>
      <c r="G8" s="18" t="s">
        <v>1362</v>
      </c>
      <c r="H8" s="16"/>
      <c r="I8" s="18" t="s">
        <v>3563</v>
      </c>
      <c r="J8" s="16"/>
      <c r="K8" s="18" t="s">
        <v>4301</v>
      </c>
      <c r="L8" s="16"/>
      <c r="M8" s="18" t="s">
        <v>4982</v>
      </c>
      <c r="N8" s="16"/>
      <c r="O8" s="18" t="s">
        <v>5718</v>
      </c>
      <c r="P8" s="16"/>
      <c r="Q8" s="18" t="s">
        <v>6370</v>
      </c>
      <c r="R8" s="16"/>
      <c r="S8" s="18"/>
      <c r="T8" s="16"/>
    </row>
    <row r="9" spans="1:20" ht="15.95" customHeight="1" x14ac:dyDescent="0.25">
      <c r="A9" s="18" t="s">
        <v>204</v>
      </c>
      <c r="B9" s="16"/>
      <c r="C9" s="18" t="s">
        <v>2125</v>
      </c>
      <c r="D9" s="16"/>
      <c r="E9" s="18" t="s">
        <v>2844</v>
      </c>
      <c r="F9" s="16"/>
      <c r="G9" s="18" t="s">
        <v>1381</v>
      </c>
      <c r="H9" s="16"/>
      <c r="I9" s="18" t="s">
        <v>3584</v>
      </c>
      <c r="J9" s="16"/>
      <c r="K9" s="18" t="s">
        <v>4322</v>
      </c>
      <c r="L9" s="16"/>
      <c r="M9" s="18" t="s">
        <v>5000</v>
      </c>
      <c r="N9" s="16"/>
      <c r="O9" s="18" t="s">
        <v>5739</v>
      </c>
      <c r="P9" s="16"/>
      <c r="Q9" s="18" t="s">
        <v>6387</v>
      </c>
      <c r="R9" s="16"/>
      <c r="S9" s="18"/>
      <c r="T9" s="16"/>
    </row>
    <row r="10" spans="1:20" ht="15.95" customHeight="1" x14ac:dyDescent="0.25">
      <c r="A10" s="18" t="s">
        <v>205</v>
      </c>
      <c r="B10" s="16"/>
      <c r="C10" s="18" t="s">
        <v>2126</v>
      </c>
      <c r="D10" s="16"/>
      <c r="E10" s="18" t="s">
        <v>2845</v>
      </c>
      <c r="F10" s="16"/>
      <c r="G10" s="18" t="s">
        <v>1382</v>
      </c>
      <c r="H10" s="16"/>
      <c r="I10" s="18" t="s">
        <v>3585</v>
      </c>
      <c r="J10" s="16"/>
      <c r="K10" s="18" t="s">
        <v>4323</v>
      </c>
      <c r="L10" s="16"/>
      <c r="M10" s="18" t="s">
        <v>5001</v>
      </c>
      <c r="N10" s="16"/>
      <c r="O10" s="18" t="s">
        <v>5740</v>
      </c>
      <c r="P10" s="16"/>
      <c r="Q10" s="18" t="s">
        <v>6388</v>
      </c>
      <c r="R10" s="16"/>
      <c r="S10" s="18"/>
      <c r="T10" s="16"/>
    </row>
    <row r="11" spans="1:20" ht="15.95" customHeight="1" x14ac:dyDescent="0.25">
      <c r="A11" s="18" t="s">
        <v>206</v>
      </c>
      <c r="B11" s="16"/>
      <c r="C11" s="18" t="s">
        <v>2127</v>
      </c>
      <c r="D11" s="16"/>
      <c r="E11" s="18" t="s">
        <v>2846</v>
      </c>
      <c r="F11" s="16"/>
      <c r="G11" s="18" t="s">
        <v>1383</v>
      </c>
      <c r="H11" s="16"/>
      <c r="I11" s="18" t="s">
        <v>3586</v>
      </c>
      <c r="J11" s="16"/>
      <c r="K11" s="18" t="s">
        <v>4324</v>
      </c>
      <c r="L11" s="16"/>
      <c r="M11" s="18" t="s">
        <v>5002</v>
      </c>
      <c r="N11" s="16"/>
      <c r="O11" s="18" t="s">
        <v>5741</v>
      </c>
      <c r="P11" s="16"/>
      <c r="Q11" s="18" t="s">
        <v>6389</v>
      </c>
      <c r="R11" s="16"/>
      <c r="S11" s="18"/>
      <c r="T11" s="16"/>
    </row>
    <row r="12" spans="1:20" ht="15.95" customHeight="1" x14ac:dyDescent="0.25">
      <c r="A12" s="18" t="s">
        <v>207</v>
      </c>
      <c r="B12" s="16"/>
      <c r="C12" s="18" t="s">
        <v>2128</v>
      </c>
      <c r="D12" s="16"/>
      <c r="E12" s="18" t="s">
        <v>2847</v>
      </c>
      <c r="F12" s="16"/>
      <c r="G12" s="18" t="s">
        <v>1384</v>
      </c>
      <c r="H12" s="16"/>
      <c r="I12" s="18" t="s">
        <v>3587</v>
      </c>
      <c r="J12" s="16"/>
      <c r="K12" s="18" t="s">
        <v>4325</v>
      </c>
      <c r="L12" s="16"/>
      <c r="M12" s="18" t="s">
        <v>5003</v>
      </c>
      <c r="N12" s="16"/>
      <c r="O12" s="18" t="s">
        <v>5742</v>
      </c>
      <c r="P12" s="16"/>
      <c r="Q12" s="18" t="s">
        <v>6390</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81</v>
      </c>
      <c r="B14" s="16"/>
      <c r="C14" s="18" t="s">
        <v>1589</v>
      </c>
      <c r="D14" s="16"/>
      <c r="E14" s="18" t="s">
        <v>2308</v>
      </c>
      <c r="F14" s="16"/>
      <c r="G14" s="18" t="s">
        <v>5</v>
      </c>
      <c r="H14" s="16"/>
      <c r="I14" s="18" t="s">
        <v>3018</v>
      </c>
      <c r="J14" s="16"/>
      <c r="K14" s="18" t="s">
        <v>3772</v>
      </c>
      <c r="L14" s="16"/>
      <c r="M14" s="18" t="s">
        <v>2308</v>
      </c>
      <c r="N14" s="16"/>
      <c r="O14" s="18" t="s">
        <v>5183</v>
      </c>
      <c r="P14" s="16"/>
      <c r="Q14" s="18" t="s">
        <v>5928</v>
      </c>
      <c r="R14" s="16"/>
      <c r="S14" s="18"/>
      <c r="T14" s="21"/>
    </row>
    <row r="15" spans="1:20" ht="15.95" customHeight="1" x14ac:dyDescent="0.25">
      <c r="A15" s="18" t="s">
        <v>208</v>
      </c>
      <c r="B15" s="16"/>
      <c r="C15" s="18" t="s">
        <v>2129</v>
      </c>
      <c r="D15" s="16"/>
      <c r="E15" s="18" t="s">
        <v>2848</v>
      </c>
      <c r="F15" s="16"/>
      <c r="G15" s="18" t="s">
        <v>1385</v>
      </c>
      <c r="H15" s="16"/>
      <c r="I15" s="18" t="s">
        <v>3588</v>
      </c>
      <c r="J15" s="16"/>
      <c r="K15" s="18" t="s">
        <v>4326</v>
      </c>
      <c r="L15" s="16"/>
      <c r="M15" s="18" t="s">
        <v>5004</v>
      </c>
      <c r="N15" s="16"/>
      <c r="O15" s="18" t="s">
        <v>5743</v>
      </c>
      <c r="P15" s="16"/>
      <c r="Q15" s="18" t="s">
        <v>6391</v>
      </c>
      <c r="R15" s="16"/>
      <c r="S15" s="18"/>
      <c r="T15" s="21"/>
    </row>
    <row r="16" spans="1:20" ht="15.95" customHeight="1" x14ac:dyDescent="0.25">
      <c r="A16" s="18" t="s">
        <v>209</v>
      </c>
      <c r="B16" s="16"/>
      <c r="C16" s="18" t="s">
        <v>2130</v>
      </c>
      <c r="D16" s="16"/>
      <c r="E16" s="18" t="s">
        <v>2849</v>
      </c>
      <c r="F16" s="16"/>
      <c r="G16" s="18" t="s">
        <v>209</v>
      </c>
      <c r="H16" s="16"/>
      <c r="I16" s="18" t="s">
        <v>3589</v>
      </c>
      <c r="J16" s="16"/>
      <c r="K16" s="18" t="s">
        <v>4327</v>
      </c>
      <c r="L16" s="16"/>
      <c r="M16" s="18" t="s">
        <v>2849</v>
      </c>
      <c r="N16" s="16"/>
      <c r="O16" s="18" t="s">
        <v>5744</v>
      </c>
      <c r="P16" s="16"/>
      <c r="Q16" s="18" t="s">
        <v>209</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210</v>
      </c>
      <c r="B18" s="16"/>
      <c r="C18" s="18" t="s">
        <v>2131</v>
      </c>
      <c r="D18" s="16"/>
      <c r="E18" s="18" t="s">
        <v>2850</v>
      </c>
      <c r="F18" s="16"/>
      <c r="G18" s="18" t="s">
        <v>1386</v>
      </c>
      <c r="H18" s="16"/>
      <c r="I18" s="18" t="s">
        <v>3590</v>
      </c>
      <c r="J18" s="16"/>
      <c r="K18" s="18" t="s">
        <v>4328</v>
      </c>
      <c r="L18" s="16"/>
      <c r="M18" s="18" t="s">
        <v>5005</v>
      </c>
      <c r="N18" s="16"/>
      <c r="O18" s="18" t="s">
        <v>5745</v>
      </c>
      <c r="P18" s="16"/>
      <c r="Q18" s="18" t="s">
        <v>6392</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211</v>
      </c>
      <c r="B20" s="16"/>
      <c r="C20" s="18" t="s">
        <v>1971</v>
      </c>
      <c r="D20" s="16"/>
      <c r="E20" s="18" t="s">
        <v>2692</v>
      </c>
      <c r="F20" s="16"/>
      <c r="G20" s="18" t="s">
        <v>1227</v>
      </c>
      <c r="H20" s="16"/>
      <c r="I20" s="18" t="s">
        <v>3419</v>
      </c>
      <c r="J20" s="16"/>
      <c r="K20" s="18" t="s">
        <v>4163</v>
      </c>
      <c r="L20" s="16"/>
      <c r="M20" s="18" t="s">
        <v>4870</v>
      </c>
      <c r="N20" s="16"/>
      <c r="O20" s="18" t="s">
        <v>5577</v>
      </c>
      <c r="P20" s="16"/>
      <c r="Q20" s="18" t="s">
        <v>6259</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212</v>
      </c>
      <c r="B22" s="16"/>
      <c r="C22" s="18" t="s">
        <v>2132</v>
      </c>
      <c r="D22" s="16"/>
      <c r="E22" s="18" t="s">
        <v>2851</v>
      </c>
      <c r="F22" s="16"/>
      <c r="G22" s="18" t="s">
        <v>1387</v>
      </c>
      <c r="H22" s="16"/>
      <c r="I22" s="18" t="s">
        <v>3591</v>
      </c>
      <c r="J22" s="16"/>
      <c r="K22" s="18" t="s">
        <v>4329</v>
      </c>
      <c r="L22" s="16"/>
      <c r="M22" s="18" t="s">
        <v>5006</v>
      </c>
      <c r="N22" s="16"/>
      <c r="O22" s="18" t="s">
        <v>5746</v>
      </c>
      <c r="P22" s="16"/>
      <c r="Q22" s="18" t="s">
        <v>6393</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213</v>
      </c>
      <c r="B24" s="16"/>
      <c r="C24" s="18" t="s">
        <v>2133</v>
      </c>
      <c r="D24" s="16"/>
      <c r="E24" s="18" t="s">
        <v>2852</v>
      </c>
      <c r="F24" s="16"/>
      <c r="G24" s="18" t="s">
        <v>1388</v>
      </c>
      <c r="H24" s="16"/>
      <c r="I24" s="18" t="s">
        <v>3592</v>
      </c>
      <c r="J24" s="16"/>
      <c r="K24" s="18" t="s">
        <v>4330</v>
      </c>
      <c r="L24" s="16"/>
      <c r="M24" s="18" t="s">
        <v>5007</v>
      </c>
      <c r="N24" s="16"/>
      <c r="O24" s="18" t="s">
        <v>5747</v>
      </c>
      <c r="P24" s="16"/>
      <c r="Q24" s="18" t="s">
        <v>6394</v>
      </c>
      <c r="R24" s="16"/>
      <c r="S24" s="18"/>
      <c r="T24" s="21"/>
    </row>
    <row r="25" spans="1:20" ht="15.95" customHeight="1" x14ac:dyDescent="0.25">
      <c r="A25" s="18" t="s">
        <v>214</v>
      </c>
      <c r="B25" s="16"/>
      <c r="C25" s="18" t="s">
        <v>2134</v>
      </c>
      <c r="D25" s="16"/>
      <c r="E25" s="18" t="s">
        <v>2853</v>
      </c>
      <c r="F25" s="16"/>
      <c r="G25" s="18" t="s">
        <v>1389</v>
      </c>
      <c r="H25" s="16"/>
      <c r="I25" s="18" t="s">
        <v>3593</v>
      </c>
      <c r="J25" s="16"/>
      <c r="K25" s="18" t="s">
        <v>4331</v>
      </c>
      <c r="L25" s="16"/>
      <c r="M25" s="18" t="s">
        <v>5008</v>
      </c>
      <c r="N25" s="16"/>
      <c r="O25" s="18" t="s">
        <v>5748</v>
      </c>
      <c r="P25" s="16"/>
      <c r="Q25" s="18" t="s">
        <v>6395</v>
      </c>
      <c r="R25" s="16"/>
      <c r="S25" s="18"/>
      <c r="T25" s="21"/>
    </row>
    <row r="26" spans="1:20" ht="15.95" customHeight="1" x14ac:dyDescent="0.25">
      <c r="A26" s="18" t="s">
        <v>215</v>
      </c>
      <c r="B26" s="16"/>
      <c r="C26" s="18" t="s">
        <v>2135</v>
      </c>
      <c r="D26" s="16"/>
      <c r="E26" s="18" t="s">
        <v>2854</v>
      </c>
      <c r="F26" s="16"/>
      <c r="G26" s="18" t="s">
        <v>1390</v>
      </c>
      <c r="H26" s="16"/>
      <c r="I26" s="18" t="s">
        <v>3594</v>
      </c>
      <c r="J26" s="16"/>
      <c r="K26" s="18" t="s">
        <v>4332</v>
      </c>
      <c r="L26" s="16"/>
      <c r="M26" s="18" t="s">
        <v>5009</v>
      </c>
      <c r="N26" s="16"/>
      <c r="O26" s="18" t="s">
        <v>5749</v>
      </c>
      <c r="P26" s="16"/>
      <c r="Q26" s="18" t="s">
        <v>6396</v>
      </c>
      <c r="R26" s="16"/>
      <c r="S26" s="18"/>
      <c r="T26" s="21"/>
    </row>
    <row r="27" spans="1:20" ht="15.95" customHeight="1" x14ac:dyDescent="0.25">
      <c r="A27" s="18" t="s">
        <v>216</v>
      </c>
      <c r="B27" s="16"/>
      <c r="C27" s="18" t="s">
        <v>2136</v>
      </c>
      <c r="D27" s="16"/>
      <c r="E27" s="18" t="s">
        <v>2855</v>
      </c>
      <c r="F27" s="16"/>
      <c r="G27" s="18" t="s">
        <v>1391</v>
      </c>
      <c r="H27" s="16"/>
      <c r="I27" s="18" t="s">
        <v>3595</v>
      </c>
      <c r="J27" s="16"/>
      <c r="K27" s="18" t="s">
        <v>4333</v>
      </c>
      <c r="L27" s="16"/>
      <c r="M27" s="18" t="s">
        <v>5010</v>
      </c>
      <c r="N27" s="16"/>
      <c r="O27" s="18" t="s">
        <v>5750</v>
      </c>
      <c r="P27" s="16"/>
      <c r="Q27" s="18" t="s">
        <v>6397</v>
      </c>
      <c r="R27" s="16"/>
      <c r="S27" s="18"/>
      <c r="T27" s="21"/>
    </row>
    <row r="28" spans="1:20" ht="15.95" customHeight="1" x14ac:dyDescent="0.25">
      <c r="A28" s="18" t="s">
        <v>4</v>
      </c>
      <c r="B28" s="16"/>
      <c r="C28" s="18" t="s">
        <v>4</v>
      </c>
      <c r="D28" s="16"/>
      <c r="E28" s="18" t="s">
        <v>4</v>
      </c>
      <c r="F28" s="16"/>
      <c r="G28" s="18" t="s">
        <v>4</v>
      </c>
      <c r="H28" s="16"/>
      <c r="I28" s="18" t="s">
        <v>4</v>
      </c>
      <c r="J28" s="16"/>
      <c r="K28" s="18" t="s">
        <v>4</v>
      </c>
      <c r="L28" s="16"/>
      <c r="M28" s="18" t="s">
        <v>4</v>
      </c>
      <c r="N28" s="16"/>
      <c r="O28" s="18" t="s">
        <v>4</v>
      </c>
      <c r="P28" s="16"/>
      <c r="Q28" s="18" t="s">
        <v>4</v>
      </c>
      <c r="R28" s="16"/>
      <c r="S28" s="18"/>
      <c r="T28" s="21"/>
    </row>
    <row r="29" spans="1:20" ht="15.95" customHeight="1" x14ac:dyDescent="0.25">
      <c r="A29" s="18" t="s">
        <v>217</v>
      </c>
      <c r="B29" s="16"/>
      <c r="C29" s="18" t="s">
        <v>2137</v>
      </c>
      <c r="D29" s="16"/>
      <c r="E29" s="18" t="s">
        <v>2856</v>
      </c>
      <c r="F29" s="16"/>
      <c r="G29" s="18" t="s">
        <v>1392</v>
      </c>
      <c r="H29" s="16"/>
      <c r="I29" s="18" t="s">
        <v>3596</v>
      </c>
      <c r="J29" s="16"/>
      <c r="K29" s="18" t="s">
        <v>4334</v>
      </c>
      <c r="L29" s="16"/>
      <c r="M29" s="18" t="s">
        <v>5011</v>
      </c>
      <c r="N29" s="16"/>
      <c r="O29" s="18" t="s">
        <v>5751</v>
      </c>
      <c r="P29" s="16"/>
      <c r="Q29" s="18" t="s">
        <v>6398</v>
      </c>
      <c r="R29" s="16"/>
      <c r="S29" s="18"/>
      <c r="T29" s="21"/>
    </row>
    <row r="30" spans="1:20" ht="15.95" customHeight="1" x14ac:dyDescent="0.25">
      <c r="A30" s="18" t="s">
        <v>218</v>
      </c>
      <c r="B30" s="16"/>
      <c r="C30" s="18" t="s">
        <v>2138</v>
      </c>
      <c r="D30" s="16"/>
      <c r="E30" s="18" t="s">
        <v>2857</v>
      </c>
      <c r="F30" s="16"/>
      <c r="G30" s="18" t="s">
        <v>1393</v>
      </c>
      <c r="H30" s="16"/>
      <c r="I30" s="18" t="s">
        <v>3597</v>
      </c>
      <c r="J30" s="16"/>
      <c r="K30" s="18" t="s">
        <v>4335</v>
      </c>
      <c r="L30" s="16"/>
      <c r="M30" s="18" t="s">
        <v>5012</v>
      </c>
      <c r="N30" s="16"/>
      <c r="O30" s="18" t="s">
        <v>5752</v>
      </c>
      <c r="P30" s="16"/>
      <c r="Q30" s="18" t="s">
        <v>6399</v>
      </c>
      <c r="R30" s="16"/>
      <c r="S30" s="18"/>
      <c r="T30" s="21"/>
    </row>
    <row r="31" spans="1:20" ht="15.95" customHeight="1" x14ac:dyDescent="0.25">
      <c r="A31" s="18" t="s">
        <v>219</v>
      </c>
      <c r="B31" s="16"/>
      <c r="C31" s="18" t="s">
        <v>2139</v>
      </c>
      <c r="D31" s="16"/>
      <c r="E31" s="18" t="s">
        <v>2858</v>
      </c>
      <c r="F31" s="16"/>
      <c r="G31" s="18" t="s">
        <v>1394</v>
      </c>
      <c r="H31" s="16"/>
      <c r="I31" s="18" t="s">
        <v>3598</v>
      </c>
      <c r="J31" s="16"/>
      <c r="K31" s="18" t="s">
        <v>4336</v>
      </c>
      <c r="L31" s="16"/>
      <c r="M31" s="18" t="s">
        <v>5013</v>
      </c>
      <c r="N31" s="16"/>
      <c r="O31" s="18" t="s">
        <v>5753</v>
      </c>
      <c r="P31" s="16"/>
      <c r="Q31" s="18" t="s">
        <v>6400</v>
      </c>
      <c r="R31" s="16"/>
      <c r="S31" s="18"/>
      <c r="T31" s="21"/>
    </row>
    <row r="32" spans="1:20" ht="15.95" customHeight="1" x14ac:dyDescent="0.25">
      <c r="A32" s="18"/>
      <c r="B32" s="16"/>
      <c r="C32" s="18" t="s">
        <v>2140</v>
      </c>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43" priority="2" stopIfTrue="1">
      <formula>NOT(ISERROR(A3))</formula>
    </cfRule>
  </conditionalFormatting>
  <conditionalFormatting sqref="A3:T51">
    <cfRule type="containsErrors" dxfId="242" priority="1" stopIfTrue="1">
      <formula>ISERROR(A3)</formula>
    </cfRule>
    <cfRule type="notContainsBlanks" dxfId="241" priority="3">
      <formula>LEN(TRIM(A3))&gt;0</formula>
    </cfRule>
  </conditionalFormatting>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1B0D54-A4F5-4C99-9558-0E3B9BEA808C}">
  <sheetPr codeName="Sheet52"/>
  <dimension ref="A1:T51"/>
  <sheetViews>
    <sheetView workbookViewId="0">
      <selection activeCell="Q3" sqref="Q3:Q35"/>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9" t="s">
        <v>84</v>
      </c>
    </row>
    <row r="3" spans="1:20" ht="15.95" customHeight="1" x14ac:dyDescent="0.25">
      <c r="A3" s="17" t="s">
        <v>220</v>
      </c>
      <c r="B3" s="16" t="str">
        <f>TRIM(_xlfn.TEXTBEFORE(A3, ":"))</f>
        <v>Item Class</v>
      </c>
      <c r="C3" s="17" t="s">
        <v>2141</v>
      </c>
      <c r="D3" s="16" t="str">
        <f>TRIM(_xlfn.TEXTBEFORE(C3, ":"))</f>
        <v>Gegenstandsklasse</v>
      </c>
      <c r="E3" s="17" t="s">
        <v>2859</v>
      </c>
      <c r="F3" s="16" t="str">
        <f>TRIM(_xlfn.TEXTBEFORE(E3, ":"))</f>
        <v>Clase de objeto</v>
      </c>
      <c r="G3" s="17" t="s">
        <v>1395</v>
      </c>
      <c r="H3" s="16" t="str">
        <f>TRIM(_xlfn.TEXTBEFORE(G3, ":"))</f>
        <v>Classe d'objet</v>
      </c>
      <c r="I3" s="17" t="s">
        <v>3599</v>
      </c>
      <c r="J3" s="16" t="str">
        <f>TRIM(_xlfn.TEXTBEFORE(I3, ":"))</f>
        <v>アイテムクラス</v>
      </c>
      <c r="K3" s="17" t="s">
        <v>4337</v>
      </c>
      <c r="L3" s="16" t="str">
        <f>TRIM(_xlfn.TEXTBEFORE(K3, ":"))</f>
        <v>아이템 종류</v>
      </c>
      <c r="M3" s="17" t="s">
        <v>5014</v>
      </c>
      <c r="N3" s="16" t="str">
        <f>TRIM(_xlfn.TEXTBEFORE(M3, ":"))</f>
        <v>Classe do Item</v>
      </c>
      <c r="O3" s="17" t="s">
        <v>5754</v>
      </c>
      <c r="P3" s="16" t="str">
        <f>TRIM(_xlfn.TEXTBEFORE(O3, ":"))</f>
        <v>Класс предмета</v>
      </c>
      <c r="Q3" s="17" t="s">
        <v>6401</v>
      </c>
      <c r="R3" s="16" t="str">
        <f>TRIM(_xlfn.TEXTBEFORE(Q3, ":"))</f>
        <v>ชนิดไอเทม</v>
      </c>
      <c r="S3" s="17"/>
      <c r="T3" s="16" t="e">
        <f>TRIM(_xlfn.TEXTBEFORE(S3, ":"))</f>
        <v>#N/A</v>
      </c>
    </row>
    <row r="4" spans="1:20" ht="15.95" customHeight="1" x14ac:dyDescent="0.25">
      <c r="A4" s="18" t="s">
        <v>80</v>
      </c>
      <c r="B4" s="16" t="str">
        <f>TRIM(_xlfn.TEXTAFTER(A3, ":"))</f>
        <v>Two Hand Swords</v>
      </c>
      <c r="C4" s="18" t="s">
        <v>1643</v>
      </c>
      <c r="D4" s="16" t="str">
        <f>TRIM(_xlfn.TEXTAFTER(C3, ":"))</f>
        <v>Zweihandschwerter</v>
      </c>
      <c r="E4" s="18" t="s">
        <v>2363</v>
      </c>
      <c r="F4" s="16" t="str">
        <f>TRIM(_xlfn.TEXTAFTER(E3, ":"))</f>
        <v>Espadas a dos manos</v>
      </c>
      <c r="G4" s="18" t="s">
        <v>1</v>
      </c>
      <c r="H4" s="16" t="str">
        <f>TRIM(_xlfn.TEXTAFTER(G3, ":"))</f>
        <v>Épées à deux mains</v>
      </c>
      <c r="I4" s="18" t="s">
        <v>3078</v>
      </c>
      <c r="J4" s="16" t="str">
        <f>TRIM(_xlfn.TEXTAFTER(I3, ":"))</f>
        <v>両手剣</v>
      </c>
      <c r="K4" s="18" t="s">
        <v>3828</v>
      </c>
      <c r="L4" s="16" t="str">
        <f>TRIM(_xlfn.TEXTAFTER(K3, ":"))</f>
        <v>양손 검</v>
      </c>
      <c r="M4" s="18" t="s">
        <v>4557</v>
      </c>
      <c r="N4" s="16" t="str">
        <f>TRIM(_xlfn.TEXTAFTER(M3, ":"))</f>
        <v>Espadas de Duas Mãos</v>
      </c>
      <c r="O4" s="18" t="s">
        <v>5240</v>
      </c>
      <c r="P4" s="16" t="str">
        <f>TRIM(_xlfn.TEXTAFTER(O3, ":"))</f>
        <v>Двуручные мечи</v>
      </c>
      <c r="Q4" s="18" t="s">
        <v>5977</v>
      </c>
      <c r="R4" s="16" t="str">
        <f>TRIM(_xlfn.TEXTAFTER(Q3, ":"))</f>
        <v>ดาบสองมือ</v>
      </c>
      <c r="S4" s="18"/>
      <c r="T4" s="16" t="e">
        <f>TRIM(_xlfn.TEXTAFTER(S3, ":"))</f>
        <v>#N/A</v>
      </c>
    </row>
    <row r="5" spans="1:20" ht="15.95" customHeight="1" x14ac:dyDescent="0.25">
      <c r="A5" s="18" t="s">
        <v>221</v>
      </c>
      <c r="B5" s="16" t="str">
        <f>TRIM(_xlfn.TEXTBEFORE(A4, ":"))</f>
        <v>Rarity</v>
      </c>
      <c r="C5" s="18" t="s">
        <v>221</v>
      </c>
      <c r="D5" s="16" t="str">
        <f>TRIM(_xlfn.TEXTBEFORE(C4, ":"))</f>
        <v>Seltenheit</v>
      </c>
      <c r="E5" s="18" t="s">
        <v>221</v>
      </c>
      <c r="F5" s="16" t="str">
        <f>TRIM(_xlfn.TEXTBEFORE(E4, ":"))</f>
        <v>Rareza</v>
      </c>
      <c r="G5" s="18" t="s">
        <v>221</v>
      </c>
      <c r="H5" s="16" t="str">
        <f>TRIM(_xlfn.TEXTBEFORE(G4, ":"))</f>
        <v>Rareté</v>
      </c>
      <c r="I5" s="18" t="s">
        <v>3600</v>
      </c>
      <c r="J5" s="16" t="str">
        <f>TRIM(_xlfn.TEXTBEFORE(I4, ":"))</f>
        <v>レアリティ</v>
      </c>
      <c r="K5" s="18" t="s">
        <v>4338</v>
      </c>
      <c r="L5" s="16" t="str">
        <f>TRIM(_xlfn.TEXTBEFORE(K4, ":"))</f>
        <v>아이템 희귀도</v>
      </c>
      <c r="M5" s="18" t="s">
        <v>221</v>
      </c>
      <c r="N5" s="16" t="str">
        <f>TRIM(_xlfn.TEXTBEFORE(M4, ":"))</f>
        <v>Raridade</v>
      </c>
      <c r="O5" s="18" t="s">
        <v>5755</v>
      </c>
      <c r="P5" s="16" t="str">
        <f>TRIM(_xlfn.TEXTBEFORE(O4, ":"))</f>
        <v>Редкость</v>
      </c>
      <c r="Q5" s="18" t="s">
        <v>221</v>
      </c>
      <c r="R5" s="16" t="str">
        <f>TRIM(_xlfn.TEXTBEFORE(Q4, ":"))</f>
        <v>ความหายาก</v>
      </c>
      <c r="S5" s="18"/>
      <c r="T5" s="16" t="e">
        <f>TRIM(_xlfn.TEXTBEFORE(S4, ":"))</f>
        <v>#N/A</v>
      </c>
    </row>
    <row r="6" spans="1:20" ht="15.95" customHeight="1" x14ac:dyDescent="0.25">
      <c r="A6" s="18" t="s">
        <v>222</v>
      </c>
      <c r="B6" s="16" t="str">
        <f>TRIM(_xlfn.TEXTAFTER(A4,":"))</f>
        <v>Unique</v>
      </c>
      <c r="C6" s="18" t="s">
        <v>2142</v>
      </c>
      <c r="D6" s="16" t="str">
        <f>TRIM(_xlfn.TEXTAFTER(C4,":"))</f>
        <v>Einzigartig</v>
      </c>
      <c r="E6" s="18" t="s">
        <v>2860</v>
      </c>
      <c r="F6" s="16" t="str">
        <f>TRIM(_xlfn.TEXTAFTER(E4,":"))</f>
        <v>Único</v>
      </c>
      <c r="G6" s="18" t="s">
        <v>1396</v>
      </c>
      <c r="H6" s="16" t="str">
        <f>TRIM(_xlfn.TEXTAFTER(G4,":"))</f>
        <v>Unique</v>
      </c>
      <c r="I6" s="18" t="s">
        <v>3601</v>
      </c>
      <c r="J6" s="16" t="str">
        <f>TRIM(_xlfn.TEXTAFTER(I4,":"))</f>
        <v>ユニーク</v>
      </c>
      <c r="K6" s="18" t="s">
        <v>4339</v>
      </c>
      <c r="L6" s="16" t="str">
        <f>TRIM(_xlfn.TEXTAFTER(K4,":"))</f>
        <v>고유</v>
      </c>
      <c r="M6" s="18" t="s">
        <v>5015</v>
      </c>
      <c r="N6" s="16" t="str">
        <f>TRIM(_xlfn.TEXTAFTER(M4,":"))</f>
        <v>Único</v>
      </c>
      <c r="O6" s="18" t="s">
        <v>5756</v>
      </c>
      <c r="P6" s="16" t="str">
        <f>TRIM(_xlfn.TEXTAFTER(O4,":"))</f>
        <v>Уникальный</v>
      </c>
      <c r="Q6" s="18" t="s">
        <v>222</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223</v>
      </c>
      <c r="B8" s="16"/>
      <c r="C8" s="18" t="s">
        <v>2143</v>
      </c>
      <c r="D8" s="16"/>
      <c r="E8" s="18" t="s">
        <v>2861</v>
      </c>
      <c r="F8" s="16"/>
      <c r="G8" s="18" t="s">
        <v>1397</v>
      </c>
      <c r="H8" s="16"/>
      <c r="I8" s="18" t="s">
        <v>3602</v>
      </c>
      <c r="J8" s="16"/>
      <c r="K8" s="18" t="s">
        <v>4340</v>
      </c>
      <c r="L8" s="16"/>
      <c r="M8" s="18" t="s">
        <v>5016</v>
      </c>
      <c r="N8" s="16"/>
      <c r="O8" s="18" t="s">
        <v>5757</v>
      </c>
      <c r="P8" s="16"/>
      <c r="Q8" s="18" t="s">
        <v>6402</v>
      </c>
      <c r="R8" s="16"/>
      <c r="S8" s="18"/>
      <c r="T8" s="16"/>
    </row>
    <row r="9" spans="1:20" ht="15.95" customHeight="1" x14ac:dyDescent="0.25">
      <c r="A9" s="18" t="s">
        <v>224</v>
      </c>
      <c r="B9" s="16"/>
      <c r="C9" s="18" t="s">
        <v>2144</v>
      </c>
      <c r="D9" s="16"/>
      <c r="E9" s="18" t="s">
        <v>2862</v>
      </c>
      <c r="F9" s="16"/>
      <c r="G9" s="18" t="s">
        <v>1398</v>
      </c>
      <c r="H9" s="16"/>
      <c r="I9" s="18" t="s">
        <v>3603</v>
      </c>
      <c r="J9" s="16"/>
      <c r="K9" s="18" t="s">
        <v>4341</v>
      </c>
      <c r="L9" s="16"/>
      <c r="M9" s="18" t="s">
        <v>5017</v>
      </c>
      <c r="N9" s="16"/>
      <c r="O9" s="18" t="s">
        <v>5758</v>
      </c>
      <c r="P9" s="16"/>
      <c r="Q9" s="18" t="s">
        <v>6403</v>
      </c>
      <c r="R9" s="16"/>
      <c r="S9" s="18"/>
      <c r="T9" s="16"/>
    </row>
    <row r="10" spans="1:20" ht="15.95" customHeight="1" x14ac:dyDescent="0.25">
      <c r="A10" s="18" t="s">
        <v>225</v>
      </c>
      <c r="B10" s="16"/>
      <c r="C10" s="18" t="s">
        <v>2145</v>
      </c>
      <c r="D10" s="16"/>
      <c r="E10" s="18" t="s">
        <v>2863</v>
      </c>
      <c r="F10" s="16"/>
      <c r="G10" s="18" t="s">
        <v>1399</v>
      </c>
      <c r="H10" s="16"/>
      <c r="I10" s="18" t="s">
        <v>3604</v>
      </c>
      <c r="J10" s="16"/>
      <c r="K10" s="18" t="s">
        <v>4342</v>
      </c>
      <c r="L10" s="16"/>
      <c r="M10" s="18" t="s">
        <v>5018</v>
      </c>
      <c r="N10" s="16"/>
      <c r="O10" s="18" t="s">
        <v>5759</v>
      </c>
      <c r="P10" s="16"/>
      <c r="Q10" s="18" t="s">
        <v>6404</v>
      </c>
      <c r="R10" s="16"/>
      <c r="S10" s="18"/>
      <c r="T10" s="16"/>
    </row>
    <row r="11" spans="1:20" ht="15.95" customHeight="1" x14ac:dyDescent="0.25">
      <c r="A11" s="18" t="s">
        <v>105</v>
      </c>
      <c r="B11" s="16"/>
      <c r="C11" s="18" t="s">
        <v>1836</v>
      </c>
      <c r="D11" s="16"/>
      <c r="E11" s="18" t="s">
        <v>2554</v>
      </c>
      <c r="F11" s="16"/>
      <c r="G11" s="18" t="s">
        <v>1101</v>
      </c>
      <c r="H11" s="16"/>
      <c r="I11" s="18" t="s">
        <v>3277</v>
      </c>
      <c r="J11" s="16"/>
      <c r="K11" s="18" t="s">
        <v>4022</v>
      </c>
      <c r="L11" s="16"/>
      <c r="M11" s="18" t="s">
        <v>4745</v>
      </c>
      <c r="N11" s="16"/>
      <c r="O11" s="18" t="s">
        <v>5436</v>
      </c>
      <c r="P11" s="16"/>
      <c r="Q11" s="18" t="s">
        <v>6149</v>
      </c>
      <c r="R11" s="16"/>
      <c r="S11" s="18"/>
      <c r="T11" s="16"/>
    </row>
    <row r="12" spans="1:20" ht="15.95" customHeight="1" x14ac:dyDescent="0.25">
      <c r="A12" s="18" t="s">
        <v>226</v>
      </c>
      <c r="B12" s="16"/>
      <c r="C12" s="18" t="s">
        <v>2063</v>
      </c>
      <c r="D12" s="16"/>
      <c r="E12" s="18" t="s">
        <v>2782</v>
      </c>
      <c r="F12" s="16"/>
      <c r="G12" s="18" t="s">
        <v>1317</v>
      </c>
      <c r="H12" s="16"/>
      <c r="I12" s="18" t="s">
        <v>3516</v>
      </c>
      <c r="J12" s="16"/>
      <c r="K12" s="18" t="s">
        <v>4256</v>
      </c>
      <c r="L12" s="16"/>
      <c r="M12" s="18" t="s">
        <v>4941</v>
      </c>
      <c r="N12" s="16"/>
      <c r="O12" s="18" t="s">
        <v>5671</v>
      </c>
      <c r="P12" s="16"/>
      <c r="Q12" s="18" t="s">
        <v>6334</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81</v>
      </c>
      <c r="B14" s="16"/>
      <c r="C14" s="18" t="s">
        <v>1589</v>
      </c>
      <c r="D14" s="16"/>
      <c r="E14" s="18" t="s">
        <v>2308</v>
      </c>
      <c r="F14" s="16"/>
      <c r="G14" s="18" t="s">
        <v>5</v>
      </c>
      <c r="H14" s="16"/>
      <c r="I14" s="18" t="s">
        <v>3018</v>
      </c>
      <c r="J14" s="16"/>
      <c r="K14" s="18" t="s">
        <v>3772</v>
      </c>
      <c r="L14" s="16"/>
      <c r="M14" s="18" t="s">
        <v>2308</v>
      </c>
      <c r="N14" s="16"/>
      <c r="O14" s="18" t="s">
        <v>5183</v>
      </c>
      <c r="P14" s="16"/>
      <c r="Q14" s="18" t="s">
        <v>5928</v>
      </c>
      <c r="R14" s="16"/>
      <c r="S14" s="18"/>
      <c r="T14" s="21"/>
    </row>
    <row r="15" spans="1:20" ht="15.95" customHeight="1" x14ac:dyDescent="0.25">
      <c r="A15" s="18" t="s">
        <v>227</v>
      </c>
      <c r="B15" s="16"/>
      <c r="C15" s="18" t="s">
        <v>2146</v>
      </c>
      <c r="D15" s="16"/>
      <c r="E15" s="18" t="s">
        <v>2864</v>
      </c>
      <c r="F15" s="16"/>
      <c r="G15" s="18" t="s">
        <v>1400</v>
      </c>
      <c r="H15" s="16"/>
      <c r="I15" s="18" t="s">
        <v>3605</v>
      </c>
      <c r="J15" s="16"/>
      <c r="K15" s="18" t="s">
        <v>4343</v>
      </c>
      <c r="L15" s="16"/>
      <c r="M15" s="18" t="s">
        <v>5019</v>
      </c>
      <c r="N15" s="16"/>
      <c r="O15" s="18" t="s">
        <v>5760</v>
      </c>
      <c r="P15" s="16"/>
      <c r="Q15" s="18" t="s">
        <v>6405</v>
      </c>
      <c r="R15" s="16"/>
      <c r="S15" s="18"/>
      <c r="T15" s="21"/>
    </row>
    <row r="16" spans="1:20" ht="15.95" customHeight="1" x14ac:dyDescent="0.25">
      <c r="A16" s="18" t="s">
        <v>228</v>
      </c>
      <c r="B16" s="16"/>
      <c r="C16" s="18" t="s">
        <v>228</v>
      </c>
      <c r="D16" s="16"/>
      <c r="E16" s="18" t="s">
        <v>2865</v>
      </c>
      <c r="F16" s="16"/>
      <c r="G16" s="18" t="s">
        <v>1401</v>
      </c>
      <c r="H16" s="16"/>
      <c r="I16" s="18" t="s">
        <v>3606</v>
      </c>
      <c r="J16" s="16"/>
      <c r="K16" s="18" t="s">
        <v>4344</v>
      </c>
      <c r="L16" s="16"/>
      <c r="M16" s="18" t="s">
        <v>1401</v>
      </c>
      <c r="N16" s="16"/>
      <c r="O16" s="18" t="s">
        <v>5761</v>
      </c>
      <c r="P16" s="16"/>
      <c r="Q16" s="18" t="s">
        <v>228</v>
      </c>
      <c r="R16" s="16"/>
      <c r="S16" s="18"/>
      <c r="T16" s="21"/>
    </row>
    <row r="17" spans="1:20" ht="15.95" customHeight="1" x14ac:dyDescent="0.25">
      <c r="A17" s="18" t="s">
        <v>229</v>
      </c>
      <c r="B17" s="16"/>
      <c r="C17" s="18" t="s">
        <v>1803</v>
      </c>
      <c r="D17" s="16"/>
      <c r="E17" s="18" t="s">
        <v>2522</v>
      </c>
      <c r="F17" s="16"/>
      <c r="G17" s="18" t="s">
        <v>229</v>
      </c>
      <c r="H17" s="16"/>
      <c r="I17" s="18" t="s">
        <v>3242</v>
      </c>
      <c r="J17" s="16"/>
      <c r="K17" s="18" t="s">
        <v>3988</v>
      </c>
      <c r="L17" s="16"/>
      <c r="M17" s="18" t="s">
        <v>2522</v>
      </c>
      <c r="N17" s="16"/>
      <c r="O17" s="18" t="s">
        <v>5402</v>
      </c>
      <c r="P17" s="16"/>
      <c r="Q17" s="18" t="s">
        <v>229</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230</v>
      </c>
      <c r="B19" s="16"/>
      <c r="C19" s="18" t="s">
        <v>2147</v>
      </c>
      <c r="D19" s="16"/>
      <c r="E19" s="18" t="s">
        <v>2866</v>
      </c>
      <c r="F19" s="16"/>
      <c r="G19" s="18" t="s">
        <v>1402</v>
      </c>
      <c r="H19" s="16"/>
      <c r="I19" s="18" t="s">
        <v>3607</v>
      </c>
      <c r="J19" s="16"/>
      <c r="K19" s="18" t="s">
        <v>4345</v>
      </c>
      <c r="L19" s="16"/>
      <c r="M19" s="18" t="s">
        <v>5020</v>
      </c>
      <c r="N19" s="16"/>
      <c r="O19" s="18" t="s">
        <v>5762</v>
      </c>
      <c r="P19" s="16"/>
      <c r="Q19" s="18" t="s">
        <v>6406</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231</v>
      </c>
      <c r="B21" s="16"/>
      <c r="C21" s="18" t="s">
        <v>1751</v>
      </c>
      <c r="D21" s="16"/>
      <c r="E21" s="18" t="s">
        <v>2470</v>
      </c>
      <c r="F21" s="16"/>
      <c r="G21" s="18" t="s">
        <v>1019</v>
      </c>
      <c r="H21" s="16"/>
      <c r="I21" s="18" t="s">
        <v>3188</v>
      </c>
      <c r="J21" s="16"/>
      <c r="K21" s="18" t="s">
        <v>3935</v>
      </c>
      <c r="L21" s="16"/>
      <c r="M21" s="18" t="s">
        <v>4664</v>
      </c>
      <c r="N21" s="16"/>
      <c r="O21" s="18" t="s">
        <v>5349</v>
      </c>
      <c r="P21" s="16"/>
      <c r="Q21" s="18" t="s">
        <v>6079</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232</v>
      </c>
      <c r="B23" s="16"/>
      <c r="C23" s="18" t="s">
        <v>2148</v>
      </c>
      <c r="D23" s="16"/>
      <c r="E23" s="18" t="s">
        <v>2867</v>
      </c>
      <c r="F23" s="16"/>
      <c r="G23" s="18" t="s">
        <v>1403</v>
      </c>
      <c r="H23" s="16"/>
      <c r="I23" s="18" t="s">
        <v>3608</v>
      </c>
      <c r="J23" s="16"/>
      <c r="K23" s="18" t="s">
        <v>4346</v>
      </c>
      <c r="L23" s="16"/>
      <c r="M23" s="18" t="s">
        <v>5021</v>
      </c>
      <c r="N23" s="16"/>
      <c r="O23" s="18" t="s">
        <v>5763</v>
      </c>
      <c r="P23" s="16"/>
      <c r="Q23" s="18" t="s">
        <v>6407</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233</v>
      </c>
      <c r="B25" s="16"/>
      <c r="C25" s="18" t="s">
        <v>2149</v>
      </c>
      <c r="D25" s="16"/>
      <c r="E25" s="18" t="s">
        <v>2868</v>
      </c>
      <c r="F25" s="16"/>
      <c r="G25" s="18" t="s">
        <v>1404</v>
      </c>
      <c r="H25" s="16"/>
      <c r="I25" s="18" t="s">
        <v>3609</v>
      </c>
      <c r="J25" s="16"/>
      <c r="K25" s="18" t="s">
        <v>4347</v>
      </c>
      <c r="L25" s="16"/>
      <c r="M25" s="18" t="s">
        <v>5022</v>
      </c>
      <c r="N25" s="16"/>
      <c r="O25" s="18" t="s">
        <v>5764</v>
      </c>
      <c r="P25" s="16"/>
      <c r="Q25" s="18" t="s">
        <v>6408</v>
      </c>
      <c r="R25" s="16"/>
      <c r="S25" s="18"/>
      <c r="T25" s="21"/>
    </row>
    <row r="26" spans="1:20" ht="15.95" customHeight="1" x14ac:dyDescent="0.25">
      <c r="A26" s="18" t="s">
        <v>234</v>
      </c>
      <c r="B26" s="16"/>
      <c r="C26" s="18" t="s">
        <v>2150</v>
      </c>
      <c r="D26" s="16"/>
      <c r="E26" s="18" t="s">
        <v>2869</v>
      </c>
      <c r="F26" s="16"/>
      <c r="G26" s="18" t="s">
        <v>1405</v>
      </c>
      <c r="H26" s="16"/>
      <c r="I26" s="18" t="s">
        <v>3610</v>
      </c>
      <c r="J26" s="16"/>
      <c r="K26" s="18" t="s">
        <v>4348</v>
      </c>
      <c r="L26" s="16"/>
      <c r="M26" s="18" t="s">
        <v>5023</v>
      </c>
      <c r="N26" s="16"/>
      <c r="O26" s="18" t="s">
        <v>5765</v>
      </c>
      <c r="P26" s="16"/>
      <c r="Q26" s="18" t="s">
        <v>6409</v>
      </c>
      <c r="R26" s="16"/>
      <c r="S26" s="18"/>
      <c r="T26" s="21"/>
    </row>
    <row r="27" spans="1:20" ht="15.95" customHeight="1" x14ac:dyDescent="0.25">
      <c r="A27" s="18" t="s">
        <v>235</v>
      </c>
      <c r="B27" s="16"/>
      <c r="C27" s="18" t="s">
        <v>2151</v>
      </c>
      <c r="D27" s="16"/>
      <c r="E27" s="18" t="s">
        <v>2870</v>
      </c>
      <c r="F27" s="16"/>
      <c r="G27" s="18" t="s">
        <v>1406</v>
      </c>
      <c r="H27" s="16"/>
      <c r="I27" s="18" t="s">
        <v>3611</v>
      </c>
      <c r="J27" s="16"/>
      <c r="K27" s="18" t="s">
        <v>4349</v>
      </c>
      <c r="L27" s="16"/>
      <c r="M27" s="18" t="s">
        <v>5024</v>
      </c>
      <c r="N27" s="16"/>
      <c r="O27" s="18" t="s">
        <v>5766</v>
      </c>
      <c r="P27" s="16"/>
      <c r="Q27" s="18" t="s">
        <v>6410</v>
      </c>
      <c r="R27" s="16"/>
      <c r="S27" s="18"/>
      <c r="T27" s="21"/>
    </row>
    <row r="28" spans="1:20" ht="15.95" customHeight="1" x14ac:dyDescent="0.25">
      <c r="A28" s="18" t="s">
        <v>236</v>
      </c>
      <c r="B28" s="16"/>
      <c r="C28" s="18" t="s">
        <v>2152</v>
      </c>
      <c r="D28" s="16"/>
      <c r="E28" s="18" t="s">
        <v>2871</v>
      </c>
      <c r="F28" s="16"/>
      <c r="G28" s="18" t="s">
        <v>1407</v>
      </c>
      <c r="H28" s="16"/>
      <c r="I28" s="18" t="s">
        <v>3612</v>
      </c>
      <c r="J28" s="16"/>
      <c r="K28" s="18" t="s">
        <v>4350</v>
      </c>
      <c r="L28" s="16"/>
      <c r="M28" s="18" t="s">
        <v>5025</v>
      </c>
      <c r="N28" s="16"/>
      <c r="O28" s="18" t="s">
        <v>5767</v>
      </c>
      <c r="P28" s="16"/>
      <c r="Q28" s="18" t="s">
        <v>6411</v>
      </c>
      <c r="R28" s="16"/>
      <c r="S28" s="18"/>
      <c r="T28" s="21"/>
    </row>
    <row r="29" spans="1:20" ht="15.95" customHeight="1" x14ac:dyDescent="0.25">
      <c r="A29" s="18" t="s">
        <v>237</v>
      </c>
      <c r="B29" s="16"/>
      <c r="C29" s="18" t="s">
        <v>1822</v>
      </c>
      <c r="D29" s="16"/>
      <c r="E29" s="18" t="s">
        <v>2540</v>
      </c>
      <c r="F29" s="16"/>
      <c r="G29" s="18" t="s">
        <v>1087</v>
      </c>
      <c r="H29" s="16"/>
      <c r="I29" s="18" t="s">
        <v>3263</v>
      </c>
      <c r="J29" s="16"/>
      <c r="K29" s="18" t="s">
        <v>4008</v>
      </c>
      <c r="L29" s="16"/>
      <c r="M29" s="18" t="s">
        <v>4731</v>
      </c>
      <c r="N29" s="16"/>
      <c r="O29" s="18" t="s">
        <v>5422</v>
      </c>
      <c r="P29" s="16"/>
      <c r="Q29" s="18" t="s">
        <v>6137</v>
      </c>
      <c r="R29" s="16"/>
      <c r="S29" s="18"/>
      <c r="T29" s="21"/>
    </row>
    <row r="30" spans="1:20" ht="15.95" customHeight="1" x14ac:dyDescent="0.25">
      <c r="A30" s="18" t="s">
        <v>238</v>
      </c>
      <c r="B30" s="16"/>
      <c r="C30" s="18" t="s">
        <v>2153</v>
      </c>
      <c r="D30" s="16"/>
      <c r="E30" s="18" t="s">
        <v>2872</v>
      </c>
      <c r="F30" s="16"/>
      <c r="G30" s="18" t="s">
        <v>1408</v>
      </c>
      <c r="H30" s="16"/>
      <c r="I30" s="18" t="s">
        <v>3613</v>
      </c>
      <c r="J30" s="16"/>
      <c r="K30" s="18" t="s">
        <v>4351</v>
      </c>
      <c r="L30" s="16"/>
      <c r="M30" s="18" t="s">
        <v>5026</v>
      </c>
      <c r="N30" s="16"/>
      <c r="O30" s="18" t="s">
        <v>5768</v>
      </c>
      <c r="P30" s="16"/>
      <c r="Q30" s="18" t="s">
        <v>6412</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239</v>
      </c>
      <c r="B32" s="16"/>
      <c r="C32" s="18" t="s">
        <v>2154</v>
      </c>
      <c r="D32" s="16"/>
      <c r="E32" s="18" t="s">
        <v>2873</v>
      </c>
      <c r="F32" s="16"/>
      <c r="G32" s="18" t="s">
        <v>1409</v>
      </c>
      <c r="H32" s="16"/>
      <c r="I32" s="18" t="s">
        <v>3614</v>
      </c>
      <c r="J32" s="16"/>
      <c r="K32" s="18" t="s">
        <v>4352</v>
      </c>
      <c r="L32" s="16"/>
      <c r="M32" s="18" t="s">
        <v>5027</v>
      </c>
      <c r="N32" s="16"/>
      <c r="O32" s="18" t="s">
        <v>5769</v>
      </c>
      <c r="P32" s="16"/>
      <c r="Q32" s="18" t="s">
        <v>6413</v>
      </c>
      <c r="R32" s="16"/>
      <c r="S32" s="18"/>
      <c r="T32" s="21"/>
    </row>
    <row r="33" spans="1:20" ht="15.95" customHeight="1" x14ac:dyDescent="0.25">
      <c r="A33" s="22" t="s">
        <v>240</v>
      </c>
      <c r="B33" s="16"/>
      <c r="C33" s="18" t="s">
        <v>2155</v>
      </c>
      <c r="D33" s="16"/>
      <c r="E33" s="18" t="s">
        <v>2874</v>
      </c>
      <c r="F33" s="16"/>
      <c r="G33" s="18" t="s">
        <v>1410</v>
      </c>
      <c r="H33" s="16"/>
      <c r="I33" s="18" t="s">
        <v>3615</v>
      </c>
      <c r="J33" s="16"/>
      <c r="K33" s="18" t="s">
        <v>4353</v>
      </c>
      <c r="L33" s="16"/>
      <c r="M33" s="18" t="s">
        <v>5028</v>
      </c>
      <c r="N33" s="16"/>
      <c r="O33" s="18" t="s">
        <v>5770</v>
      </c>
      <c r="P33" s="16"/>
      <c r="Q33" s="18" t="s">
        <v>6414</v>
      </c>
      <c r="R33" s="16"/>
      <c r="S33" s="18"/>
      <c r="T33" s="21"/>
    </row>
    <row r="34" spans="1:20" ht="15.95" customHeight="1" x14ac:dyDescent="0.25">
      <c r="A34" s="18" t="s">
        <v>241</v>
      </c>
      <c r="B34" s="16"/>
      <c r="C34" s="18" t="s">
        <v>2156</v>
      </c>
      <c r="D34" s="16"/>
      <c r="E34" s="18" t="s">
        <v>2875</v>
      </c>
      <c r="F34" s="16"/>
      <c r="G34" s="18" t="s">
        <v>1411</v>
      </c>
      <c r="H34" s="16"/>
      <c r="I34" s="18" t="s">
        <v>3616</v>
      </c>
      <c r="J34" s="16"/>
      <c r="K34" s="18" t="s">
        <v>4354</v>
      </c>
      <c r="L34" s="16"/>
      <c r="M34" s="18" t="s">
        <v>5029</v>
      </c>
      <c r="N34" s="16"/>
      <c r="O34" s="18" t="s">
        <v>5771</v>
      </c>
      <c r="P34" s="16"/>
      <c r="Q34" s="18" t="s">
        <v>6415</v>
      </c>
      <c r="R34" s="16"/>
      <c r="S34" s="18"/>
      <c r="T34" s="21"/>
    </row>
    <row r="35" spans="1:20" ht="15.95" customHeight="1" x14ac:dyDescent="0.25">
      <c r="A35" s="18" t="s">
        <v>242</v>
      </c>
      <c r="B35" s="16"/>
      <c r="C35" s="18" t="s">
        <v>2157</v>
      </c>
      <c r="D35" s="16"/>
      <c r="E35" s="18" t="s">
        <v>2876</v>
      </c>
      <c r="F35" s="16"/>
      <c r="G35" s="18" t="s">
        <v>1412</v>
      </c>
      <c r="H35" s="16"/>
      <c r="I35" s="18" t="s">
        <v>3617</v>
      </c>
      <c r="J35" s="16"/>
      <c r="K35" s="18" t="s">
        <v>4355</v>
      </c>
      <c r="L35" s="16"/>
      <c r="M35" s="18" t="s">
        <v>5030</v>
      </c>
      <c r="N35" s="16"/>
      <c r="O35" s="18" t="s">
        <v>5772</v>
      </c>
      <c r="P35" s="16"/>
      <c r="Q35" s="18" t="s">
        <v>6416</v>
      </c>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40" priority="2" stopIfTrue="1">
      <formula>NOT(ISERROR(A3))</formula>
    </cfRule>
  </conditionalFormatting>
  <conditionalFormatting sqref="A3:T51">
    <cfRule type="containsErrors" dxfId="239" priority="1" stopIfTrue="1">
      <formula>ISERROR(A3)</formula>
    </cfRule>
    <cfRule type="notContainsBlanks" dxfId="238" priority="3">
      <formula>LEN(TRIM(A3))&gt;0</formula>
    </cfRule>
  </conditionalFormatting>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6E900-CB5F-4FC1-8EAC-8448C686491F}">
  <sheetPr codeName="Sheet53"/>
  <dimension ref="A1:T51"/>
  <sheetViews>
    <sheetView workbookViewId="0">
      <selection activeCell="Q3" sqref="Q3:Q35"/>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9" t="s">
        <v>84</v>
      </c>
    </row>
    <row r="3" spans="1:20" ht="15.95" customHeight="1" x14ac:dyDescent="0.25">
      <c r="A3" s="17" t="s">
        <v>243</v>
      </c>
      <c r="B3" s="16" t="str">
        <f>TRIM(_xlfn.TEXTBEFORE(A3, ":"))</f>
        <v>Item Class</v>
      </c>
      <c r="C3" s="17" t="s">
        <v>2158</v>
      </c>
      <c r="D3" s="16" t="str">
        <f>TRIM(_xlfn.TEXTBEFORE(C3, ":"))</f>
        <v>Gegenstandsklasse</v>
      </c>
      <c r="E3" s="17" t="s">
        <v>2877</v>
      </c>
      <c r="F3" s="16" t="str">
        <f>TRIM(_xlfn.TEXTBEFORE(E3, ":"))</f>
        <v>Clase de objeto</v>
      </c>
      <c r="G3" s="17" t="s">
        <v>1413</v>
      </c>
      <c r="H3" s="16" t="str">
        <f>TRIM(_xlfn.TEXTBEFORE(G3, ":"))</f>
        <v>Classe d'objet</v>
      </c>
      <c r="I3" s="17" t="s">
        <v>3618</v>
      </c>
      <c r="J3" s="16" t="str">
        <f>TRIM(_xlfn.TEXTBEFORE(I3, ":"))</f>
        <v>アイテムクラス</v>
      </c>
      <c r="K3" s="17" t="s">
        <v>4356</v>
      </c>
      <c r="L3" s="16" t="str">
        <f>TRIM(_xlfn.TEXTBEFORE(K3, ":"))</f>
        <v>아이템 종류</v>
      </c>
      <c r="M3" s="17" t="s">
        <v>5031</v>
      </c>
      <c r="N3" s="16" t="str">
        <f>TRIM(_xlfn.TEXTBEFORE(M3, ":"))</f>
        <v>Classe do Item</v>
      </c>
      <c r="O3" s="17" t="s">
        <v>5773</v>
      </c>
      <c r="P3" s="16" t="str">
        <f>TRIM(_xlfn.TEXTBEFORE(O3, ":"))</f>
        <v>Класс предмета</v>
      </c>
      <c r="Q3" s="17" t="s">
        <v>6417</v>
      </c>
      <c r="R3" s="16" t="str">
        <f>TRIM(_xlfn.TEXTBEFORE(Q3, ":"))</f>
        <v>ชนิดไอเทม</v>
      </c>
      <c r="S3" s="17"/>
      <c r="T3" s="16" t="e">
        <f>TRIM(_xlfn.TEXTBEFORE(S3, ":"))</f>
        <v>#N/A</v>
      </c>
    </row>
    <row r="4" spans="1:20" ht="15.95" customHeight="1" x14ac:dyDescent="0.25">
      <c r="A4" s="18" t="s">
        <v>80</v>
      </c>
      <c r="B4" s="16" t="str">
        <f>TRIM(_xlfn.TEXTAFTER(A3, ":"))</f>
        <v>One Hand Axes</v>
      </c>
      <c r="C4" s="18" t="s">
        <v>1643</v>
      </c>
      <c r="D4" s="16" t="str">
        <f>TRIM(_xlfn.TEXTAFTER(C3, ":"))</f>
        <v>Einhandäxte</v>
      </c>
      <c r="E4" s="18" t="s">
        <v>2363</v>
      </c>
      <c r="F4" s="16" t="str">
        <f>TRIM(_xlfn.TEXTAFTER(E3, ":"))</f>
        <v>Hachas a una mano</v>
      </c>
      <c r="G4" s="18" t="s">
        <v>1</v>
      </c>
      <c r="H4" s="16" t="str">
        <f>TRIM(_xlfn.TEXTAFTER(G3, ":"))</f>
        <v>Haches à une main</v>
      </c>
      <c r="I4" s="18" t="s">
        <v>3078</v>
      </c>
      <c r="J4" s="16" t="str">
        <f>TRIM(_xlfn.TEXTAFTER(I3, ":"))</f>
        <v>片手斧</v>
      </c>
      <c r="K4" s="18" t="s">
        <v>3828</v>
      </c>
      <c r="L4" s="16" t="str">
        <f>TRIM(_xlfn.TEXTAFTER(K3, ":"))</f>
        <v>한손 도끼</v>
      </c>
      <c r="M4" s="18" t="s">
        <v>4557</v>
      </c>
      <c r="N4" s="16" t="str">
        <f>TRIM(_xlfn.TEXTAFTER(M3, ":"))</f>
        <v>Machados de Uma Mão</v>
      </c>
      <c r="O4" s="18" t="s">
        <v>5240</v>
      </c>
      <c r="P4" s="16" t="str">
        <f>TRIM(_xlfn.TEXTAFTER(O3, ":"))</f>
        <v>Одноручные топоры</v>
      </c>
      <c r="Q4" s="18" t="s">
        <v>5977</v>
      </c>
      <c r="R4" s="16" t="str">
        <f>TRIM(_xlfn.TEXTAFTER(Q3, ":"))</f>
        <v>ขวานมือเดียว</v>
      </c>
      <c r="S4" s="18"/>
      <c r="T4" s="16" t="e">
        <f>TRIM(_xlfn.TEXTAFTER(S3, ":"))</f>
        <v>#N/A</v>
      </c>
    </row>
    <row r="5" spans="1:20" ht="15.95" customHeight="1" x14ac:dyDescent="0.25">
      <c r="A5" s="18" t="s">
        <v>244</v>
      </c>
      <c r="B5" s="16" t="str">
        <f>TRIM(_xlfn.TEXTBEFORE(A4, ":"))</f>
        <v>Rarity</v>
      </c>
      <c r="C5" s="18" t="s">
        <v>244</v>
      </c>
      <c r="D5" s="16" t="str">
        <f>TRIM(_xlfn.TEXTBEFORE(C4, ":"))</f>
        <v>Seltenheit</v>
      </c>
      <c r="E5" s="18" t="s">
        <v>244</v>
      </c>
      <c r="F5" s="16" t="str">
        <f>TRIM(_xlfn.TEXTBEFORE(E4, ":"))</f>
        <v>Rareza</v>
      </c>
      <c r="G5" s="18" t="s">
        <v>244</v>
      </c>
      <c r="H5" s="16" t="str">
        <f>TRIM(_xlfn.TEXTBEFORE(G4, ":"))</f>
        <v>Rareté</v>
      </c>
      <c r="I5" s="18" t="s">
        <v>3619</v>
      </c>
      <c r="J5" s="16" t="str">
        <f>TRIM(_xlfn.TEXTBEFORE(I4, ":"))</f>
        <v>レアリティ</v>
      </c>
      <c r="K5" s="18" t="s">
        <v>4357</v>
      </c>
      <c r="L5" s="16" t="str">
        <f>TRIM(_xlfn.TEXTBEFORE(K4, ":"))</f>
        <v>아이템 희귀도</v>
      </c>
      <c r="M5" s="18" t="s">
        <v>244</v>
      </c>
      <c r="N5" s="16" t="str">
        <f>TRIM(_xlfn.TEXTBEFORE(M4, ":"))</f>
        <v>Raridade</v>
      </c>
      <c r="O5" s="18" t="s">
        <v>5774</v>
      </c>
      <c r="P5" s="16" t="str">
        <f>TRIM(_xlfn.TEXTBEFORE(O4, ":"))</f>
        <v>Редкость</v>
      </c>
      <c r="Q5" s="18" t="s">
        <v>244</v>
      </c>
      <c r="R5" s="16" t="str">
        <f>TRIM(_xlfn.TEXTBEFORE(Q4, ":"))</f>
        <v>ความหายาก</v>
      </c>
      <c r="S5" s="18"/>
      <c r="T5" s="16" t="e">
        <f>TRIM(_xlfn.TEXTBEFORE(S4, ":"))</f>
        <v>#N/A</v>
      </c>
    </row>
    <row r="6" spans="1:20" ht="15.95" customHeight="1" x14ac:dyDescent="0.25">
      <c r="A6" s="18" t="s">
        <v>245</v>
      </c>
      <c r="B6" s="16" t="str">
        <f>TRIM(_xlfn.TEXTAFTER(A4,":"))</f>
        <v>Unique</v>
      </c>
      <c r="C6" s="18" t="s">
        <v>2159</v>
      </c>
      <c r="D6" s="16" t="str">
        <f>TRIM(_xlfn.TEXTAFTER(C4,":"))</f>
        <v>Einzigartig</v>
      </c>
      <c r="E6" s="18" t="s">
        <v>2878</v>
      </c>
      <c r="F6" s="16" t="str">
        <f>TRIM(_xlfn.TEXTAFTER(E4,":"))</f>
        <v>Único</v>
      </c>
      <c r="G6" s="18" t="s">
        <v>1414</v>
      </c>
      <c r="H6" s="16" t="str">
        <f>TRIM(_xlfn.TEXTAFTER(G4,":"))</f>
        <v>Unique</v>
      </c>
      <c r="I6" s="18" t="s">
        <v>3620</v>
      </c>
      <c r="J6" s="16" t="str">
        <f>TRIM(_xlfn.TEXTAFTER(I4,":"))</f>
        <v>ユニーク</v>
      </c>
      <c r="K6" s="18" t="s">
        <v>4358</v>
      </c>
      <c r="L6" s="16" t="str">
        <f>TRIM(_xlfn.TEXTAFTER(K4,":"))</f>
        <v>고유</v>
      </c>
      <c r="M6" s="18" t="s">
        <v>5032</v>
      </c>
      <c r="N6" s="16" t="str">
        <f>TRIM(_xlfn.TEXTAFTER(M4,":"))</f>
        <v>Único</v>
      </c>
      <c r="O6" s="18" t="s">
        <v>5775</v>
      </c>
      <c r="P6" s="16" t="str">
        <f>TRIM(_xlfn.TEXTAFTER(O4,":"))</f>
        <v>Уникальный</v>
      </c>
      <c r="Q6" s="18" t="s">
        <v>245</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246</v>
      </c>
      <c r="B8" s="16"/>
      <c r="C8" s="18" t="s">
        <v>2160</v>
      </c>
      <c r="D8" s="16"/>
      <c r="E8" s="18" t="s">
        <v>2879</v>
      </c>
      <c r="F8" s="16"/>
      <c r="G8" s="18" t="s">
        <v>1415</v>
      </c>
      <c r="H8" s="16"/>
      <c r="I8" s="18" t="s">
        <v>3621</v>
      </c>
      <c r="J8" s="16"/>
      <c r="K8" s="18" t="s">
        <v>4359</v>
      </c>
      <c r="L8" s="16"/>
      <c r="M8" s="18" t="s">
        <v>5033</v>
      </c>
      <c r="N8" s="16"/>
      <c r="O8" s="18" t="s">
        <v>5776</v>
      </c>
      <c r="P8" s="16"/>
      <c r="Q8" s="18" t="s">
        <v>6418</v>
      </c>
      <c r="R8" s="16"/>
      <c r="S8" s="18"/>
      <c r="T8" s="16"/>
    </row>
    <row r="9" spans="1:20" ht="15.95" customHeight="1" x14ac:dyDescent="0.25">
      <c r="A9" s="18" t="s">
        <v>247</v>
      </c>
      <c r="B9" s="16"/>
      <c r="C9" s="18" t="s">
        <v>2161</v>
      </c>
      <c r="D9" s="16"/>
      <c r="E9" s="18" t="s">
        <v>2880</v>
      </c>
      <c r="F9" s="16"/>
      <c r="G9" s="18" t="s">
        <v>1416</v>
      </c>
      <c r="H9" s="16"/>
      <c r="I9" s="18" t="s">
        <v>3622</v>
      </c>
      <c r="J9" s="16"/>
      <c r="K9" s="18" t="s">
        <v>4360</v>
      </c>
      <c r="L9" s="16"/>
      <c r="M9" s="18" t="s">
        <v>5034</v>
      </c>
      <c r="N9" s="16"/>
      <c r="O9" s="18" t="s">
        <v>5777</v>
      </c>
      <c r="P9" s="16"/>
      <c r="Q9" s="18" t="s">
        <v>6419</v>
      </c>
      <c r="R9" s="16"/>
      <c r="S9" s="18"/>
      <c r="T9" s="16"/>
    </row>
    <row r="10" spans="1:20" ht="15.95" customHeight="1" x14ac:dyDescent="0.25">
      <c r="A10" s="18" t="s">
        <v>248</v>
      </c>
      <c r="B10" s="16"/>
      <c r="C10" s="18" t="s">
        <v>2162</v>
      </c>
      <c r="D10" s="16"/>
      <c r="E10" s="18" t="s">
        <v>2881</v>
      </c>
      <c r="F10" s="16"/>
      <c r="G10" s="18" t="s">
        <v>1417</v>
      </c>
      <c r="H10" s="16"/>
      <c r="I10" s="18" t="s">
        <v>3623</v>
      </c>
      <c r="J10" s="16"/>
      <c r="K10" s="18" t="s">
        <v>4361</v>
      </c>
      <c r="L10" s="16"/>
      <c r="M10" s="18" t="s">
        <v>5035</v>
      </c>
      <c r="N10" s="16"/>
      <c r="O10" s="18" t="s">
        <v>5778</v>
      </c>
      <c r="P10" s="16"/>
      <c r="Q10" s="18" t="s">
        <v>6420</v>
      </c>
      <c r="R10" s="16"/>
      <c r="S10" s="18"/>
      <c r="T10" s="16"/>
    </row>
    <row r="11" spans="1:20" ht="15.95" customHeight="1" x14ac:dyDescent="0.25">
      <c r="A11" s="18" t="s">
        <v>185</v>
      </c>
      <c r="B11" s="16"/>
      <c r="C11" s="18" t="s">
        <v>2108</v>
      </c>
      <c r="D11" s="16"/>
      <c r="E11" s="18" t="s">
        <v>2826</v>
      </c>
      <c r="F11" s="16"/>
      <c r="G11" s="18" t="s">
        <v>1364</v>
      </c>
      <c r="H11" s="16"/>
      <c r="I11" s="18" t="s">
        <v>3565</v>
      </c>
      <c r="J11" s="16"/>
      <c r="K11" s="18" t="s">
        <v>4303</v>
      </c>
      <c r="L11" s="16"/>
      <c r="M11" s="18" t="s">
        <v>4984</v>
      </c>
      <c r="N11" s="16"/>
      <c r="O11" s="18" t="s">
        <v>5720</v>
      </c>
      <c r="P11" s="16"/>
      <c r="Q11" s="18" t="s">
        <v>6372</v>
      </c>
      <c r="R11" s="16"/>
      <c r="S11" s="18"/>
      <c r="T11" s="16"/>
    </row>
    <row r="12" spans="1:20" ht="15.95" customHeight="1" x14ac:dyDescent="0.25">
      <c r="A12" s="18" t="s">
        <v>249</v>
      </c>
      <c r="B12" s="16"/>
      <c r="C12" s="18" t="s">
        <v>2163</v>
      </c>
      <c r="D12" s="16"/>
      <c r="E12" s="18" t="s">
        <v>2882</v>
      </c>
      <c r="F12" s="16"/>
      <c r="G12" s="18" t="s">
        <v>1418</v>
      </c>
      <c r="H12" s="16"/>
      <c r="I12" s="18" t="s">
        <v>3624</v>
      </c>
      <c r="J12" s="16"/>
      <c r="K12" s="18" t="s">
        <v>4362</v>
      </c>
      <c r="L12" s="16"/>
      <c r="M12" s="18" t="s">
        <v>5036</v>
      </c>
      <c r="N12" s="16"/>
      <c r="O12" s="18" t="s">
        <v>5779</v>
      </c>
      <c r="P12" s="16"/>
      <c r="Q12" s="18" t="s">
        <v>6421</v>
      </c>
      <c r="R12" s="16"/>
      <c r="S12" s="18"/>
      <c r="T12" s="21"/>
    </row>
    <row r="13" spans="1:20" ht="15.95" customHeight="1" x14ac:dyDescent="0.25">
      <c r="A13" s="18" t="s">
        <v>106</v>
      </c>
      <c r="B13" s="16"/>
      <c r="C13" s="18" t="s">
        <v>1983</v>
      </c>
      <c r="D13" s="16"/>
      <c r="E13" s="18" t="s">
        <v>2704</v>
      </c>
      <c r="F13" s="16"/>
      <c r="G13" s="18" t="s">
        <v>1239</v>
      </c>
      <c r="H13" s="16"/>
      <c r="I13" s="18" t="s">
        <v>3431</v>
      </c>
      <c r="J13" s="16"/>
      <c r="K13" s="18" t="s">
        <v>4175</v>
      </c>
      <c r="L13" s="16"/>
      <c r="M13" s="18" t="s">
        <v>4922</v>
      </c>
      <c r="N13" s="16"/>
      <c r="O13" s="18" t="s">
        <v>5589</v>
      </c>
      <c r="P13" s="16"/>
      <c r="Q13" s="18" t="s">
        <v>6269</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81</v>
      </c>
      <c r="B15" s="16"/>
      <c r="C15" s="18" t="s">
        <v>1589</v>
      </c>
      <c r="D15" s="16"/>
      <c r="E15" s="18" t="s">
        <v>2308</v>
      </c>
      <c r="F15" s="16"/>
      <c r="G15" s="18" t="s">
        <v>5</v>
      </c>
      <c r="H15" s="16"/>
      <c r="I15" s="18" t="s">
        <v>3018</v>
      </c>
      <c r="J15" s="16"/>
      <c r="K15" s="18" t="s">
        <v>3772</v>
      </c>
      <c r="L15" s="16"/>
      <c r="M15" s="18" t="s">
        <v>2308</v>
      </c>
      <c r="N15" s="16"/>
      <c r="O15" s="18" t="s">
        <v>5183</v>
      </c>
      <c r="P15" s="16"/>
      <c r="Q15" s="18" t="s">
        <v>5928</v>
      </c>
      <c r="R15" s="16"/>
      <c r="S15" s="18"/>
      <c r="T15" s="21"/>
    </row>
    <row r="16" spans="1:20" ht="15.95" customHeight="1" x14ac:dyDescent="0.25">
      <c r="A16" s="18" t="s">
        <v>250</v>
      </c>
      <c r="B16" s="16"/>
      <c r="C16" s="18" t="s">
        <v>2164</v>
      </c>
      <c r="D16" s="16"/>
      <c r="E16" s="18" t="s">
        <v>2883</v>
      </c>
      <c r="F16" s="16"/>
      <c r="G16" s="18" t="s">
        <v>1419</v>
      </c>
      <c r="H16" s="16"/>
      <c r="I16" s="18" t="s">
        <v>3625</v>
      </c>
      <c r="J16" s="16"/>
      <c r="K16" s="18" t="s">
        <v>4363</v>
      </c>
      <c r="L16" s="16"/>
      <c r="M16" s="18" t="s">
        <v>5037</v>
      </c>
      <c r="N16" s="16"/>
      <c r="O16" s="18" t="s">
        <v>5780</v>
      </c>
      <c r="P16" s="16"/>
      <c r="Q16" s="18" t="s">
        <v>6422</v>
      </c>
      <c r="R16" s="16"/>
      <c r="S16" s="18"/>
      <c r="T16" s="21"/>
    </row>
    <row r="17" spans="1:20" ht="15.95" customHeight="1" x14ac:dyDescent="0.25">
      <c r="A17" s="18" t="s">
        <v>251</v>
      </c>
      <c r="B17" s="16"/>
      <c r="C17" s="18" t="s">
        <v>251</v>
      </c>
      <c r="D17" s="16"/>
      <c r="E17" s="18" t="s">
        <v>2884</v>
      </c>
      <c r="F17" s="16"/>
      <c r="G17" s="18" t="s">
        <v>1420</v>
      </c>
      <c r="H17" s="16"/>
      <c r="I17" s="18" t="s">
        <v>3626</v>
      </c>
      <c r="J17" s="16"/>
      <c r="K17" s="18" t="s">
        <v>4364</v>
      </c>
      <c r="L17" s="16"/>
      <c r="M17" s="18" t="s">
        <v>1420</v>
      </c>
      <c r="N17" s="16"/>
      <c r="O17" s="18" t="s">
        <v>5781</v>
      </c>
      <c r="P17" s="16"/>
      <c r="Q17" s="18" t="s">
        <v>251</v>
      </c>
      <c r="R17" s="16"/>
      <c r="S17" s="18"/>
      <c r="T17" s="21"/>
    </row>
    <row r="18" spans="1:20" ht="15.95" customHeight="1" x14ac:dyDescent="0.25">
      <c r="A18" s="18" t="s">
        <v>252</v>
      </c>
      <c r="B18" s="16"/>
      <c r="C18" s="18" t="s">
        <v>2165</v>
      </c>
      <c r="D18" s="16"/>
      <c r="E18" s="18" t="s">
        <v>2885</v>
      </c>
      <c r="F18" s="16"/>
      <c r="G18" s="18" t="s">
        <v>252</v>
      </c>
      <c r="H18" s="16"/>
      <c r="I18" s="18" t="s">
        <v>3627</v>
      </c>
      <c r="J18" s="16"/>
      <c r="K18" s="18" t="s">
        <v>4365</v>
      </c>
      <c r="L18" s="16"/>
      <c r="M18" s="18" t="s">
        <v>2885</v>
      </c>
      <c r="N18" s="16"/>
      <c r="O18" s="18" t="s">
        <v>5782</v>
      </c>
      <c r="P18" s="16"/>
      <c r="Q18" s="18" t="s">
        <v>252</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253</v>
      </c>
      <c r="B20" s="16"/>
      <c r="C20" s="18" t="s">
        <v>2166</v>
      </c>
      <c r="D20" s="16"/>
      <c r="E20" s="18" t="s">
        <v>2886</v>
      </c>
      <c r="F20" s="16"/>
      <c r="G20" s="18" t="s">
        <v>1421</v>
      </c>
      <c r="H20" s="16"/>
      <c r="I20" s="18" t="s">
        <v>3628</v>
      </c>
      <c r="J20" s="16"/>
      <c r="K20" s="18" t="s">
        <v>4366</v>
      </c>
      <c r="L20" s="16"/>
      <c r="M20" s="18" t="s">
        <v>5038</v>
      </c>
      <c r="N20" s="16"/>
      <c r="O20" s="18" t="s">
        <v>5783</v>
      </c>
      <c r="P20" s="16"/>
      <c r="Q20" s="18" t="s">
        <v>6423</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254</v>
      </c>
      <c r="B22" s="16"/>
      <c r="C22" s="18" t="s">
        <v>1730</v>
      </c>
      <c r="D22" s="16"/>
      <c r="E22" s="18" t="s">
        <v>2449</v>
      </c>
      <c r="F22" s="16"/>
      <c r="G22" s="18" t="s">
        <v>998</v>
      </c>
      <c r="H22" s="16"/>
      <c r="I22" s="18" t="s">
        <v>3167</v>
      </c>
      <c r="J22" s="16"/>
      <c r="K22" s="18" t="s">
        <v>3914</v>
      </c>
      <c r="L22" s="16"/>
      <c r="M22" s="18" t="s">
        <v>4643</v>
      </c>
      <c r="N22" s="16"/>
      <c r="O22" s="18" t="s">
        <v>5328</v>
      </c>
      <c r="P22" s="16"/>
      <c r="Q22" s="18" t="s">
        <v>6060</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255</v>
      </c>
      <c r="B24" s="16"/>
      <c r="C24" s="18" t="s">
        <v>2167</v>
      </c>
      <c r="D24" s="16"/>
      <c r="E24" s="18" t="s">
        <v>2887</v>
      </c>
      <c r="F24" s="16"/>
      <c r="G24" s="18" t="s">
        <v>1422</v>
      </c>
      <c r="H24" s="16"/>
      <c r="I24" s="18" t="s">
        <v>3629</v>
      </c>
      <c r="J24" s="16"/>
      <c r="K24" s="18" t="s">
        <v>4367</v>
      </c>
      <c r="L24" s="16"/>
      <c r="M24" s="18" t="s">
        <v>5039</v>
      </c>
      <c r="N24" s="16"/>
      <c r="O24" s="18" t="s">
        <v>5784</v>
      </c>
      <c r="P24" s="16"/>
      <c r="Q24" s="18" t="s">
        <v>6424</v>
      </c>
      <c r="R24" s="16"/>
      <c r="S24" s="18"/>
      <c r="T24" s="21"/>
    </row>
    <row r="25" spans="1:20" ht="15.95" customHeight="1" x14ac:dyDescent="0.25">
      <c r="A25" s="18" t="s">
        <v>256</v>
      </c>
      <c r="B25" s="16"/>
      <c r="C25" s="18" t="s">
        <v>2168</v>
      </c>
      <c r="D25" s="16"/>
      <c r="E25" s="18" t="s">
        <v>2888</v>
      </c>
      <c r="F25" s="16"/>
      <c r="G25" s="18" t="s">
        <v>1423</v>
      </c>
      <c r="H25" s="16"/>
      <c r="I25" s="18" t="s">
        <v>3630</v>
      </c>
      <c r="J25" s="16"/>
      <c r="K25" s="18" t="s">
        <v>4368</v>
      </c>
      <c r="L25" s="16"/>
      <c r="M25" s="18" t="s">
        <v>5040</v>
      </c>
      <c r="N25" s="16"/>
      <c r="O25" s="18" t="s">
        <v>5785</v>
      </c>
      <c r="P25" s="16"/>
      <c r="Q25" s="18" t="s">
        <v>6425</v>
      </c>
      <c r="R25" s="16"/>
      <c r="S25" s="18"/>
      <c r="T25" s="21"/>
    </row>
    <row r="26" spans="1:20" ht="15.95" customHeight="1" x14ac:dyDescent="0.25">
      <c r="A26" s="18" t="s">
        <v>257</v>
      </c>
      <c r="B26" s="16"/>
      <c r="C26" s="18" t="s">
        <v>2169</v>
      </c>
      <c r="D26" s="16"/>
      <c r="E26" s="18" t="s">
        <v>2889</v>
      </c>
      <c r="F26" s="16"/>
      <c r="G26" s="18" t="s">
        <v>1424</v>
      </c>
      <c r="H26" s="16"/>
      <c r="I26" s="18" t="s">
        <v>3631</v>
      </c>
      <c r="J26" s="16"/>
      <c r="K26" s="18" t="s">
        <v>4369</v>
      </c>
      <c r="L26" s="16"/>
      <c r="M26" s="18" t="s">
        <v>5041</v>
      </c>
      <c r="N26" s="16"/>
      <c r="O26" s="18" t="s">
        <v>5786</v>
      </c>
      <c r="P26" s="16"/>
      <c r="Q26" s="18" t="s">
        <v>6426</v>
      </c>
      <c r="R26" s="16"/>
      <c r="S26" s="18"/>
      <c r="T26" s="21"/>
    </row>
    <row r="27" spans="1:20" ht="15.95" customHeight="1" x14ac:dyDescent="0.25">
      <c r="A27" s="18" t="s">
        <v>258</v>
      </c>
      <c r="B27" s="16"/>
      <c r="C27" s="18" t="s">
        <v>2170</v>
      </c>
      <c r="D27" s="16"/>
      <c r="E27" s="18" t="s">
        <v>2890</v>
      </c>
      <c r="F27" s="16"/>
      <c r="G27" s="18" t="s">
        <v>1425</v>
      </c>
      <c r="H27" s="16"/>
      <c r="I27" s="18" t="s">
        <v>3632</v>
      </c>
      <c r="J27" s="16"/>
      <c r="K27" s="18" t="s">
        <v>4370</v>
      </c>
      <c r="L27" s="16"/>
      <c r="M27" s="18" t="s">
        <v>5042</v>
      </c>
      <c r="N27" s="16"/>
      <c r="O27" s="18" t="s">
        <v>5787</v>
      </c>
      <c r="P27" s="16"/>
      <c r="Q27" s="18" t="s">
        <v>6427</v>
      </c>
      <c r="R27" s="16"/>
      <c r="S27" s="18"/>
      <c r="T27" s="21"/>
    </row>
    <row r="28" spans="1:20" ht="15.95" customHeight="1" x14ac:dyDescent="0.25">
      <c r="A28" s="18" t="s">
        <v>259</v>
      </c>
      <c r="B28" s="16"/>
      <c r="C28" s="18" t="s">
        <v>2171</v>
      </c>
      <c r="D28" s="16"/>
      <c r="E28" s="18" t="s">
        <v>2891</v>
      </c>
      <c r="F28" s="16"/>
      <c r="G28" s="18" t="s">
        <v>1426</v>
      </c>
      <c r="H28" s="16"/>
      <c r="I28" s="18" t="s">
        <v>3633</v>
      </c>
      <c r="J28" s="16"/>
      <c r="K28" s="18" t="s">
        <v>4371</v>
      </c>
      <c r="L28" s="16"/>
      <c r="M28" s="18" t="s">
        <v>5043</v>
      </c>
      <c r="N28" s="16"/>
      <c r="O28" s="18" t="s">
        <v>5788</v>
      </c>
      <c r="P28" s="16"/>
      <c r="Q28" s="18" t="s">
        <v>6428</v>
      </c>
      <c r="R28" s="16"/>
      <c r="S28" s="18"/>
      <c r="T28" s="21"/>
    </row>
    <row r="29" spans="1:20" ht="15.95" customHeight="1" x14ac:dyDescent="0.25">
      <c r="A29" s="18" t="s">
        <v>260</v>
      </c>
      <c r="B29" s="16"/>
      <c r="C29" s="18" t="s">
        <v>2172</v>
      </c>
      <c r="D29" s="16"/>
      <c r="E29" s="18" t="s">
        <v>2892</v>
      </c>
      <c r="F29" s="16"/>
      <c r="G29" s="18" t="s">
        <v>1427</v>
      </c>
      <c r="H29" s="16"/>
      <c r="I29" s="18" t="s">
        <v>3634</v>
      </c>
      <c r="J29" s="16"/>
      <c r="K29" s="18" t="s">
        <v>4372</v>
      </c>
      <c r="L29" s="16"/>
      <c r="M29" s="18" t="s">
        <v>5044</v>
      </c>
      <c r="N29" s="16"/>
      <c r="O29" s="18" t="s">
        <v>5789</v>
      </c>
      <c r="P29" s="16"/>
      <c r="Q29" s="18" t="s">
        <v>6429</v>
      </c>
      <c r="R29" s="16"/>
      <c r="S29" s="18"/>
      <c r="T29" s="21"/>
    </row>
    <row r="30" spans="1:20" ht="15.95" customHeight="1" x14ac:dyDescent="0.25">
      <c r="A30" s="18" t="s">
        <v>4</v>
      </c>
      <c r="B30" s="16"/>
      <c r="C30" s="18" t="s">
        <v>4</v>
      </c>
      <c r="D30" s="16"/>
      <c r="E30" s="18" t="s">
        <v>4</v>
      </c>
      <c r="F30" s="16"/>
      <c r="G30" s="18" t="s">
        <v>4</v>
      </c>
      <c r="H30" s="16"/>
      <c r="I30" s="18" t="s">
        <v>4</v>
      </c>
      <c r="J30" s="16"/>
      <c r="K30" s="18" t="s">
        <v>4</v>
      </c>
      <c r="L30" s="16"/>
      <c r="M30" s="18" t="s">
        <v>4</v>
      </c>
      <c r="N30" s="16"/>
      <c r="O30" s="18" t="s">
        <v>4</v>
      </c>
      <c r="P30" s="16"/>
      <c r="Q30" s="18" t="s">
        <v>4</v>
      </c>
      <c r="R30" s="16"/>
      <c r="S30" s="18"/>
      <c r="T30" s="21"/>
    </row>
    <row r="31" spans="1:20" ht="15.95" customHeight="1" x14ac:dyDescent="0.25">
      <c r="A31" s="18" t="s">
        <v>261</v>
      </c>
      <c r="B31" s="16"/>
      <c r="C31" s="18" t="s">
        <v>2173</v>
      </c>
      <c r="D31" s="16"/>
      <c r="E31" s="18" t="s">
        <v>2893</v>
      </c>
      <c r="F31" s="16"/>
      <c r="G31" s="18" t="s">
        <v>1428</v>
      </c>
      <c r="H31" s="16"/>
      <c r="I31" s="18" t="s">
        <v>3635</v>
      </c>
      <c r="J31" s="16"/>
      <c r="K31" s="18" t="s">
        <v>4373</v>
      </c>
      <c r="L31" s="16"/>
      <c r="M31" s="18" t="s">
        <v>5045</v>
      </c>
      <c r="N31" s="16"/>
      <c r="O31" s="18" t="s">
        <v>5790</v>
      </c>
      <c r="P31" s="16"/>
      <c r="Q31" s="18" t="s">
        <v>6430</v>
      </c>
      <c r="R31" s="16"/>
      <c r="S31" s="18"/>
      <c r="T31" s="21"/>
    </row>
    <row r="32" spans="1:20" ht="15.95" customHeight="1" x14ac:dyDescent="0.25">
      <c r="A32" s="18" t="s">
        <v>262</v>
      </c>
      <c r="B32" s="16"/>
      <c r="C32" s="18" t="s">
        <v>2174</v>
      </c>
      <c r="D32" s="16"/>
      <c r="E32" s="18" t="s">
        <v>2894</v>
      </c>
      <c r="F32" s="16"/>
      <c r="G32" s="18" t="s">
        <v>1429</v>
      </c>
      <c r="H32" s="16"/>
      <c r="I32" s="18" t="s">
        <v>3636</v>
      </c>
      <c r="J32" s="16"/>
      <c r="K32" s="18" t="s">
        <v>4374</v>
      </c>
      <c r="L32" s="16"/>
      <c r="M32" s="18" t="s">
        <v>5046</v>
      </c>
      <c r="N32" s="16"/>
      <c r="O32" s="18" t="s">
        <v>5791</v>
      </c>
      <c r="P32" s="16"/>
      <c r="Q32" s="18" t="s">
        <v>6431</v>
      </c>
      <c r="R32" s="16"/>
      <c r="S32" s="18"/>
      <c r="T32" s="21"/>
    </row>
    <row r="33" spans="1:20" ht="15.95" customHeight="1" x14ac:dyDescent="0.25">
      <c r="A33" s="22" t="s">
        <v>263</v>
      </c>
      <c r="B33" s="16"/>
      <c r="C33" s="18" t="s">
        <v>2175</v>
      </c>
      <c r="D33" s="16"/>
      <c r="E33" s="18" t="s">
        <v>2895</v>
      </c>
      <c r="F33" s="16"/>
      <c r="G33" s="18" t="s">
        <v>1430</v>
      </c>
      <c r="H33" s="16"/>
      <c r="I33" s="18" t="s">
        <v>3637</v>
      </c>
      <c r="J33" s="16"/>
      <c r="K33" s="18" t="s">
        <v>4375</v>
      </c>
      <c r="L33" s="16"/>
      <c r="M33" s="18" t="s">
        <v>5047</v>
      </c>
      <c r="N33" s="16"/>
      <c r="O33" s="18" t="s">
        <v>5792</v>
      </c>
      <c r="P33" s="16"/>
      <c r="Q33" s="18" t="s">
        <v>6432</v>
      </c>
      <c r="R33" s="16"/>
      <c r="S33" s="18"/>
      <c r="T33" s="21"/>
    </row>
    <row r="34" spans="1:20" ht="15.95" customHeight="1" x14ac:dyDescent="0.25">
      <c r="A34" s="18" t="s">
        <v>264</v>
      </c>
      <c r="B34" s="16"/>
      <c r="C34" s="18" t="s">
        <v>2176</v>
      </c>
      <c r="D34" s="16"/>
      <c r="E34" s="18" t="s">
        <v>2896</v>
      </c>
      <c r="F34" s="16"/>
      <c r="G34" s="18" t="s">
        <v>1431</v>
      </c>
      <c r="H34" s="16"/>
      <c r="I34" s="18" t="s">
        <v>3638</v>
      </c>
      <c r="J34" s="16"/>
      <c r="K34" s="18" t="s">
        <v>4376</v>
      </c>
      <c r="L34" s="16"/>
      <c r="M34" s="18" t="s">
        <v>5048</v>
      </c>
      <c r="N34" s="16"/>
      <c r="O34" s="18" t="s">
        <v>5793</v>
      </c>
      <c r="P34" s="16"/>
      <c r="Q34" s="18" t="s">
        <v>6433</v>
      </c>
      <c r="R34" s="16"/>
      <c r="S34" s="18"/>
      <c r="T34" s="21"/>
    </row>
    <row r="35" spans="1:20" ht="15.95" customHeight="1" x14ac:dyDescent="0.25">
      <c r="A35" s="18" t="s">
        <v>265</v>
      </c>
      <c r="B35" s="16"/>
      <c r="C35" s="18" t="s">
        <v>2177</v>
      </c>
      <c r="D35" s="16"/>
      <c r="E35" s="18" t="s">
        <v>2897</v>
      </c>
      <c r="F35" s="16"/>
      <c r="G35" s="18" t="s">
        <v>1432</v>
      </c>
      <c r="H35" s="16"/>
      <c r="I35" s="18" t="s">
        <v>3639</v>
      </c>
      <c r="J35" s="16"/>
      <c r="K35" s="18" t="s">
        <v>4377</v>
      </c>
      <c r="L35" s="16"/>
      <c r="M35" s="18" t="s">
        <v>5049</v>
      </c>
      <c r="N35" s="16"/>
      <c r="O35" s="18" t="s">
        <v>5794</v>
      </c>
      <c r="P35" s="16"/>
      <c r="Q35" s="18" t="s">
        <v>6434</v>
      </c>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37" priority="2" stopIfTrue="1">
      <formula>NOT(ISERROR(A3))</formula>
    </cfRule>
  </conditionalFormatting>
  <conditionalFormatting sqref="A3:T51">
    <cfRule type="containsErrors" dxfId="236" priority="1" stopIfTrue="1">
      <formula>ISERROR(A3)</formula>
    </cfRule>
    <cfRule type="notContainsBlanks" dxfId="235" priority="3">
      <formula>LEN(TRIM(A3))&gt;0</formula>
    </cfRule>
  </conditionalFormatting>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4AFE7-BFC4-4905-BE80-DE4EB4567521}">
  <sheetPr codeName="Sheet54"/>
  <dimension ref="A1:T51"/>
  <sheetViews>
    <sheetView workbookViewId="0">
      <selection activeCell="Q3" sqref="Q3:Q30"/>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9" t="s">
        <v>84</v>
      </c>
    </row>
    <row r="3" spans="1:20" ht="15.95" customHeight="1" x14ac:dyDescent="0.25">
      <c r="A3" s="17" t="s">
        <v>266</v>
      </c>
      <c r="B3" s="16" t="str">
        <f>TRIM(_xlfn.TEXTBEFORE(A3, ":"))</f>
        <v>Item Class</v>
      </c>
      <c r="C3" s="17" t="s">
        <v>2178</v>
      </c>
      <c r="D3" s="16" t="str">
        <f>TRIM(_xlfn.TEXTBEFORE(C3, ":"))</f>
        <v>Gegenstandsklasse</v>
      </c>
      <c r="E3" s="17" t="s">
        <v>2898</v>
      </c>
      <c r="F3" s="16" t="str">
        <f>TRIM(_xlfn.TEXTBEFORE(E3, ":"))</f>
        <v>Clase de objeto</v>
      </c>
      <c r="G3" s="17" t="s">
        <v>1433</v>
      </c>
      <c r="H3" s="16" t="str">
        <f>TRIM(_xlfn.TEXTBEFORE(G3, ":"))</f>
        <v>Classe d'objet</v>
      </c>
      <c r="I3" s="17" t="s">
        <v>3640</v>
      </c>
      <c r="J3" s="16" t="str">
        <f>TRIM(_xlfn.TEXTBEFORE(I3, ":"))</f>
        <v>アイテムクラス</v>
      </c>
      <c r="K3" s="17" t="s">
        <v>4378</v>
      </c>
      <c r="L3" s="16" t="str">
        <f>TRIM(_xlfn.TEXTBEFORE(K3, ":"))</f>
        <v>아이템 종류</v>
      </c>
      <c r="M3" s="17" t="s">
        <v>5050</v>
      </c>
      <c r="N3" s="16" t="str">
        <f>TRIM(_xlfn.TEXTBEFORE(M3, ":"))</f>
        <v>Classe do Item</v>
      </c>
      <c r="O3" s="17" t="s">
        <v>5795</v>
      </c>
      <c r="P3" s="16" t="str">
        <f>TRIM(_xlfn.TEXTBEFORE(O3, ":"))</f>
        <v>Класс предмета</v>
      </c>
      <c r="Q3" s="17" t="s">
        <v>6435</v>
      </c>
      <c r="R3" s="16" t="str">
        <f>TRIM(_xlfn.TEXTBEFORE(Q3, ":"))</f>
        <v>ชนิดไอเทม</v>
      </c>
      <c r="S3" s="17"/>
      <c r="T3" s="16" t="e">
        <f>TRIM(_xlfn.TEXTBEFORE(S3, ":"))</f>
        <v>#N/A</v>
      </c>
    </row>
    <row r="4" spans="1:20" ht="15.95" customHeight="1" x14ac:dyDescent="0.25">
      <c r="A4" s="18" t="s">
        <v>80</v>
      </c>
      <c r="B4" s="16" t="str">
        <f>TRIM(_xlfn.TEXTAFTER(A3, ":"))</f>
        <v>Two Hand Axes</v>
      </c>
      <c r="C4" s="18" t="s">
        <v>1643</v>
      </c>
      <c r="D4" s="16" t="str">
        <f>TRIM(_xlfn.TEXTAFTER(C3, ":"))</f>
        <v>Zweihandäxte</v>
      </c>
      <c r="E4" s="18" t="s">
        <v>2363</v>
      </c>
      <c r="F4" s="16" t="str">
        <f>TRIM(_xlfn.TEXTAFTER(E3, ":"))</f>
        <v>Hachas a dos manos</v>
      </c>
      <c r="G4" s="18" t="s">
        <v>1</v>
      </c>
      <c r="H4" s="16" t="str">
        <f>TRIM(_xlfn.TEXTAFTER(G3, ":"))</f>
        <v>Haches à deux mains</v>
      </c>
      <c r="I4" s="18" t="s">
        <v>3078</v>
      </c>
      <c r="J4" s="16" t="str">
        <f>TRIM(_xlfn.TEXTAFTER(I3, ":"))</f>
        <v>両手斧</v>
      </c>
      <c r="K4" s="18" t="s">
        <v>3828</v>
      </c>
      <c r="L4" s="16" t="str">
        <f>TRIM(_xlfn.TEXTAFTER(K3, ":"))</f>
        <v>양손 도끼</v>
      </c>
      <c r="M4" s="18" t="s">
        <v>4557</v>
      </c>
      <c r="N4" s="16" t="str">
        <f>TRIM(_xlfn.TEXTAFTER(M3, ":"))</f>
        <v>Machados de Duas Mãos</v>
      </c>
      <c r="O4" s="18" t="s">
        <v>5240</v>
      </c>
      <c r="P4" s="16" t="str">
        <f>TRIM(_xlfn.TEXTAFTER(O3, ":"))</f>
        <v>Двуручные топоры</v>
      </c>
      <c r="Q4" s="18" t="s">
        <v>5977</v>
      </c>
      <c r="R4" s="16" t="str">
        <f>TRIM(_xlfn.TEXTAFTER(Q3, ":"))</f>
        <v>ขวานสองมือ</v>
      </c>
      <c r="S4" s="18"/>
      <c r="T4" s="16" t="e">
        <f>TRIM(_xlfn.TEXTAFTER(S3, ":"))</f>
        <v>#N/A</v>
      </c>
    </row>
    <row r="5" spans="1:20" ht="15.95" customHeight="1" x14ac:dyDescent="0.25">
      <c r="A5" s="18" t="s">
        <v>267</v>
      </c>
      <c r="B5" s="16" t="str">
        <f>TRIM(_xlfn.TEXTBEFORE(A4, ":"))</f>
        <v>Rarity</v>
      </c>
      <c r="C5" s="18" t="s">
        <v>2179</v>
      </c>
      <c r="D5" s="16" t="str">
        <f>TRIM(_xlfn.TEXTBEFORE(C4, ":"))</f>
        <v>Seltenheit</v>
      </c>
      <c r="E5" s="18" t="s">
        <v>2899</v>
      </c>
      <c r="F5" s="16" t="str">
        <f>TRIM(_xlfn.TEXTBEFORE(E4, ":"))</f>
        <v>Rareza</v>
      </c>
      <c r="G5" s="18" t="s">
        <v>1434</v>
      </c>
      <c r="H5" s="16" t="str">
        <f>TRIM(_xlfn.TEXTBEFORE(G4, ":"))</f>
        <v>Rareté</v>
      </c>
      <c r="I5" s="18" t="s">
        <v>3641</v>
      </c>
      <c r="J5" s="16" t="str">
        <f>TRIM(_xlfn.TEXTBEFORE(I4, ":"))</f>
        <v>レアリティ</v>
      </c>
      <c r="K5" s="18" t="s">
        <v>4379</v>
      </c>
      <c r="L5" s="16" t="str">
        <f>TRIM(_xlfn.TEXTBEFORE(K4, ":"))</f>
        <v>아이템 희귀도</v>
      </c>
      <c r="M5" s="18" t="s">
        <v>5051</v>
      </c>
      <c r="N5" s="16" t="str">
        <f>TRIM(_xlfn.TEXTBEFORE(M4, ":"))</f>
        <v>Raridade</v>
      </c>
      <c r="O5" s="18" t="s">
        <v>5796</v>
      </c>
      <c r="P5" s="16" t="str">
        <f>TRIM(_xlfn.TEXTBEFORE(O4, ":"))</f>
        <v>Редкость</v>
      </c>
      <c r="Q5" s="18" t="s">
        <v>267</v>
      </c>
      <c r="R5" s="16" t="str">
        <f>TRIM(_xlfn.TEXTBEFORE(Q4, ":"))</f>
        <v>ความหายาก</v>
      </c>
      <c r="S5" s="18"/>
      <c r="T5" s="16" t="e">
        <f>TRIM(_xlfn.TEXTBEFORE(S4, ":"))</f>
        <v>#N/A</v>
      </c>
    </row>
    <row r="6" spans="1:20" ht="15.95" customHeight="1" x14ac:dyDescent="0.25">
      <c r="A6" s="18" t="s">
        <v>268</v>
      </c>
      <c r="B6" s="16" t="str">
        <f>TRIM(_xlfn.TEXTAFTER(A4,":"))</f>
        <v>Unique</v>
      </c>
      <c r="C6" s="18" t="s">
        <v>2180</v>
      </c>
      <c r="D6" s="16" t="str">
        <f>TRIM(_xlfn.TEXTAFTER(C4,":"))</f>
        <v>Einzigartig</v>
      </c>
      <c r="E6" s="18" t="s">
        <v>2900</v>
      </c>
      <c r="F6" s="16" t="str">
        <f>TRIM(_xlfn.TEXTAFTER(E4,":"))</f>
        <v>Único</v>
      </c>
      <c r="G6" s="18" t="s">
        <v>1435</v>
      </c>
      <c r="H6" s="16" t="str">
        <f>TRIM(_xlfn.TEXTAFTER(G4,":"))</f>
        <v>Unique</v>
      </c>
      <c r="I6" s="18" t="s">
        <v>3642</v>
      </c>
      <c r="J6" s="16" t="str">
        <f>TRIM(_xlfn.TEXTAFTER(I4,":"))</f>
        <v>ユニーク</v>
      </c>
      <c r="K6" s="18" t="s">
        <v>4380</v>
      </c>
      <c r="L6" s="16" t="str">
        <f>TRIM(_xlfn.TEXTAFTER(K4,":"))</f>
        <v>고유</v>
      </c>
      <c r="M6" s="18" t="s">
        <v>5052</v>
      </c>
      <c r="N6" s="16" t="str">
        <f>TRIM(_xlfn.TEXTAFTER(M4,":"))</f>
        <v>Único</v>
      </c>
      <c r="O6" s="18" t="s">
        <v>5797</v>
      </c>
      <c r="P6" s="16" t="str">
        <f>TRIM(_xlfn.TEXTAFTER(O4,":"))</f>
        <v>Уникальный</v>
      </c>
      <c r="Q6" s="18" t="s">
        <v>268</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269</v>
      </c>
      <c r="B8" s="16"/>
      <c r="C8" s="18" t="s">
        <v>2181</v>
      </c>
      <c r="D8" s="16"/>
      <c r="E8" s="18" t="s">
        <v>2901</v>
      </c>
      <c r="F8" s="16"/>
      <c r="G8" s="18" t="s">
        <v>1436</v>
      </c>
      <c r="H8" s="16"/>
      <c r="I8" s="18" t="s">
        <v>3643</v>
      </c>
      <c r="J8" s="16"/>
      <c r="K8" s="18" t="s">
        <v>4381</v>
      </c>
      <c r="L8" s="16"/>
      <c r="M8" s="18" t="s">
        <v>5053</v>
      </c>
      <c r="N8" s="16"/>
      <c r="O8" s="18" t="s">
        <v>5798</v>
      </c>
      <c r="P8" s="16"/>
      <c r="Q8" s="18" t="s">
        <v>6436</v>
      </c>
      <c r="R8" s="16"/>
      <c r="S8" s="18"/>
      <c r="T8" s="16"/>
    </row>
    <row r="9" spans="1:20" ht="15.95" customHeight="1" x14ac:dyDescent="0.25">
      <c r="A9" s="18" t="s">
        <v>270</v>
      </c>
      <c r="B9" s="16"/>
      <c r="C9" s="18" t="s">
        <v>2182</v>
      </c>
      <c r="D9" s="16"/>
      <c r="E9" s="18" t="s">
        <v>2902</v>
      </c>
      <c r="F9" s="16"/>
      <c r="G9" s="18" t="s">
        <v>1437</v>
      </c>
      <c r="H9" s="16"/>
      <c r="I9" s="18" t="s">
        <v>3644</v>
      </c>
      <c r="J9" s="16"/>
      <c r="K9" s="18" t="s">
        <v>4382</v>
      </c>
      <c r="L9" s="16"/>
      <c r="M9" s="18" t="s">
        <v>5054</v>
      </c>
      <c r="N9" s="16"/>
      <c r="O9" s="18" t="s">
        <v>5799</v>
      </c>
      <c r="P9" s="16"/>
      <c r="Q9" s="18" t="s">
        <v>6437</v>
      </c>
      <c r="R9" s="16"/>
      <c r="S9" s="18"/>
      <c r="T9" s="16"/>
    </row>
    <row r="10" spans="1:20" ht="15.95" customHeight="1" x14ac:dyDescent="0.25">
      <c r="A10" s="18" t="s">
        <v>185</v>
      </c>
      <c r="B10" s="16"/>
      <c r="C10" s="18" t="s">
        <v>2108</v>
      </c>
      <c r="D10" s="16"/>
      <c r="E10" s="18" t="s">
        <v>2826</v>
      </c>
      <c r="F10" s="16"/>
      <c r="G10" s="18" t="s">
        <v>1364</v>
      </c>
      <c r="H10" s="16"/>
      <c r="I10" s="18" t="s">
        <v>3565</v>
      </c>
      <c r="J10" s="16"/>
      <c r="K10" s="18" t="s">
        <v>4303</v>
      </c>
      <c r="L10" s="16"/>
      <c r="M10" s="18" t="s">
        <v>4984</v>
      </c>
      <c r="N10" s="16"/>
      <c r="O10" s="18" t="s">
        <v>5720</v>
      </c>
      <c r="P10" s="16"/>
      <c r="Q10" s="18" t="s">
        <v>6372</v>
      </c>
      <c r="R10" s="16"/>
      <c r="S10" s="18"/>
      <c r="T10" s="16"/>
    </row>
    <row r="11" spans="1:20" ht="15.95" customHeight="1" x14ac:dyDescent="0.25">
      <c r="A11" s="18" t="s">
        <v>271</v>
      </c>
      <c r="B11" s="16"/>
      <c r="C11" s="18" t="s">
        <v>2062</v>
      </c>
      <c r="D11" s="16"/>
      <c r="E11" s="18" t="s">
        <v>2781</v>
      </c>
      <c r="F11" s="16"/>
      <c r="G11" s="18" t="s">
        <v>1316</v>
      </c>
      <c r="H11" s="16"/>
      <c r="I11" s="18" t="s">
        <v>3515</v>
      </c>
      <c r="J11" s="16"/>
      <c r="K11" s="18" t="s">
        <v>4255</v>
      </c>
      <c r="L11" s="16"/>
      <c r="M11" s="18" t="s">
        <v>4940</v>
      </c>
      <c r="N11" s="16"/>
      <c r="O11" s="18" t="s">
        <v>5670</v>
      </c>
      <c r="P11" s="16"/>
      <c r="Q11" s="18" t="s">
        <v>6333</v>
      </c>
      <c r="R11" s="16"/>
      <c r="S11" s="18"/>
      <c r="T11" s="16"/>
    </row>
    <row r="12" spans="1:20" ht="15.95" customHeight="1" x14ac:dyDescent="0.25">
      <c r="A12" s="18" t="s">
        <v>226</v>
      </c>
      <c r="B12" s="16"/>
      <c r="C12" s="18" t="s">
        <v>2063</v>
      </c>
      <c r="D12" s="16"/>
      <c r="E12" s="18" t="s">
        <v>2782</v>
      </c>
      <c r="F12" s="16"/>
      <c r="G12" s="18" t="s">
        <v>1317</v>
      </c>
      <c r="H12" s="16"/>
      <c r="I12" s="18" t="s">
        <v>3516</v>
      </c>
      <c r="J12" s="16"/>
      <c r="K12" s="18" t="s">
        <v>4256</v>
      </c>
      <c r="L12" s="16"/>
      <c r="M12" s="18" t="s">
        <v>4941</v>
      </c>
      <c r="N12" s="16"/>
      <c r="O12" s="18" t="s">
        <v>5671</v>
      </c>
      <c r="P12" s="16"/>
      <c r="Q12" s="18" t="s">
        <v>6334</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81</v>
      </c>
      <c r="B14" s="16"/>
      <c r="C14" s="18" t="s">
        <v>1589</v>
      </c>
      <c r="D14" s="16"/>
      <c r="E14" s="18" t="s">
        <v>2308</v>
      </c>
      <c r="F14" s="16"/>
      <c r="G14" s="18" t="s">
        <v>5</v>
      </c>
      <c r="H14" s="16"/>
      <c r="I14" s="18" t="s">
        <v>3018</v>
      </c>
      <c r="J14" s="16"/>
      <c r="K14" s="18" t="s">
        <v>3772</v>
      </c>
      <c r="L14" s="16"/>
      <c r="M14" s="18" t="s">
        <v>2308</v>
      </c>
      <c r="N14" s="16"/>
      <c r="O14" s="18" t="s">
        <v>5183</v>
      </c>
      <c r="P14" s="16"/>
      <c r="Q14" s="18" t="s">
        <v>5928</v>
      </c>
      <c r="R14" s="16"/>
      <c r="S14" s="18"/>
      <c r="T14" s="21"/>
    </row>
    <row r="15" spans="1:20" ht="15.95" customHeight="1" x14ac:dyDescent="0.25">
      <c r="A15" s="18" t="s">
        <v>272</v>
      </c>
      <c r="B15" s="16"/>
      <c r="C15" s="18" t="s">
        <v>2095</v>
      </c>
      <c r="D15" s="16"/>
      <c r="E15" s="18" t="s">
        <v>2813</v>
      </c>
      <c r="F15" s="16"/>
      <c r="G15" s="18" t="s">
        <v>1348</v>
      </c>
      <c r="H15" s="16"/>
      <c r="I15" s="18" t="s">
        <v>3548</v>
      </c>
      <c r="J15" s="16"/>
      <c r="K15" s="18" t="s">
        <v>4288</v>
      </c>
      <c r="L15" s="16"/>
      <c r="M15" s="18" t="s">
        <v>4972</v>
      </c>
      <c r="N15" s="16"/>
      <c r="O15" s="18" t="s">
        <v>5702</v>
      </c>
      <c r="P15" s="16"/>
      <c r="Q15" s="18" t="s">
        <v>6361</v>
      </c>
      <c r="R15" s="16"/>
      <c r="S15" s="18"/>
      <c r="T15" s="21"/>
    </row>
    <row r="16" spans="1:20" ht="15.95" customHeight="1" x14ac:dyDescent="0.25">
      <c r="A16" s="18" t="s">
        <v>273</v>
      </c>
      <c r="B16" s="16"/>
      <c r="C16" s="18" t="s">
        <v>273</v>
      </c>
      <c r="D16" s="16"/>
      <c r="E16" s="18" t="s">
        <v>2903</v>
      </c>
      <c r="F16" s="16"/>
      <c r="G16" s="18" t="s">
        <v>1438</v>
      </c>
      <c r="H16" s="16"/>
      <c r="I16" s="18" t="s">
        <v>3645</v>
      </c>
      <c r="J16" s="16"/>
      <c r="K16" s="18" t="s">
        <v>4383</v>
      </c>
      <c r="L16" s="16"/>
      <c r="M16" s="18" t="s">
        <v>1438</v>
      </c>
      <c r="N16" s="16"/>
      <c r="O16" s="18" t="s">
        <v>5800</v>
      </c>
      <c r="P16" s="16"/>
      <c r="Q16" s="18" t="s">
        <v>273</v>
      </c>
      <c r="R16" s="16"/>
      <c r="S16" s="18"/>
      <c r="T16" s="21"/>
    </row>
    <row r="17" spans="1:20" ht="15.95" customHeight="1" x14ac:dyDescent="0.25">
      <c r="A17" s="18" t="s">
        <v>274</v>
      </c>
      <c r="B17" s="16"/>
      <c r="C17" s="18" t="s">
        <v>2183</v>
      </c>
      <c r="D17" s="16"/>
      <c r="E17" s="18" t="s">
        <v>2904</v>
      </c>
      <c r="F17" s="16"/>
      <c r="G17" s="18" t="s">
        <v>274</v>
      </c>
      <c r="H17" s="16"/>
      <c r="I17" s="18" t="s">
        <v>3646</v>
      </c>
      <c r="J17" s="16"/>
      <c r="K17" s="18" t="s">
        <v>4384</v>
      </c>
      <c r="L17" s="16"/>
      <c r="M17" s="18" t="s">
        <v>2904</v>
      </c>
      <c r="N17" s="16"/>
      <c r="O17" s="18" t="s">
        <v>5801</v>
      </c>
      <c r="P17" s="16"/>
      <c r="Q17" s="18" t="s">
        <v>274</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230</v>
      </c>
      <c r="B19" s="16"/>
      <c r="C19" s="18" t="s">
        <v>2147</v>
      </c>
      <c r="D19" s="16"/>
      <c r="E19" s="18" t="s">
        <v>2866</v>
      </c>
      <c r="F19" s="16"/>
      <c r="G19" s="18" t="s">
        <v>1402</v>
      </c>
      <c r="H19" s="16"/>
      <c r="I19" s="18" t="s">
        <v>3607</v>
      </c>
      <c r="J19" s="16"/>
      <c r="K19" s="18" t="s">
        <v>4345</v>
      </c>
      <c r="L19" s="16"/>
      <c r="M19" s="18" t="s">
        <v>5020</v>
      </c>
      <c r="N19" s="16"/>
      <c r="O19" s="18" t="s">
        <v>5762</v>
      </c>
      <c r="P19" s="16"/>
      <c r="Q19" s="18" t="s">
        <v>6406</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169</v>
      </c>
      <c r="B21" s="16"/>
      <c r="C21" s="18" t="s">
        <v>1646</v>
      </c>
      <c r="D21" s="16"/>
      <c r="E21" s="18" t="s">
        <v>2366</v>
      </c>
      <c r="F21" s="16"/>
      <c r="G21" s="18" t="s">
        <v>913</v>
      </c>
      <c r="H21" s="16"/>
      <c r="I21" s="18" t="s">
        <v>3081</v>
      </c>
      <c r="J21" s="16"/>
      <c r="K21" s="18" t="s">
        <v>3831</v>
      </c>
      <c r="L21" s="16"/>
      <c r="M21" s="18" t="s">
        <v>4560</v>
      </c>
      <c r="N21" s="16"/>
      <c r="O21" s="18" t="s">
        <v>5243</v>
      </c>
      <c r="P21" s="16"/>
      <c r="Q21" s="18" t="s">
        <v>5980</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275</v>
      </c>
      <c r="B23" s="16"/>
      <c r="C23" s="18" t="s">
        <v>2184</v>
      </c>
      <c r="D23" s="16"/>
      <c r="E23" s="18" t="s">
        <v>2905</v>
      </c>
      <c r="F23" s="16"/>
      <c r="G23" s="18" t="s">
        <v>1439</v>
      </c>
      <c r="H23" s="16"/>
      <c r="I23" s="18" t="s">
        <v>3647</v>
      </c>
      <c r="J23" s="16"/>
      <c r="K23" s="18" t="s">
        <v>4385</v>
      </c>
      <c r="L23" s="16"/>
      <c r="M23" s="18" t="s">
        <v>5055</v>
      </c>
      <c r="N23" s="16"/>
      <c r="O23" s="18" t="s">
        <v>5802</v>
      </c>
      <c r="P23" s="16"/>
      <c r="Q23" s="18" t="s">
        <v>6438</v>
      </c>
      <c r="R23" s="16"/>
      <c r="S23" s="18"/>
      <c r="T23" s="21"/>
    </row>
    <row r="24" spans="1:20" ht="15.95" customHeight="1" x14ac:dyDescent="0.25">
      <c r="A24" s="18" t="s">
        <v>276</v>
      </c>
      <c r="B24" s="16"/>
      <c r="C24" s="18" t="s">
        <v>2185</v>
      </c>
      <c r="D24" s="16"/>
      <c r="E24" s="18" t="s">
        <v>2906</v>
      </c>
      <c r="F24" s="16"/>
      <c r="G24" s="18" t="s">
        <v>1440</v>
      </c>
      <c r="H24" s="16"/>
      <c r="I24" s="18" t="s">
        <v>3648</v>
      </c>
      <c r="J24" s="16"/>
      <c r="K24" s="18" t="s">
        <v>4386</v>
      </c>
      <c r="L24" s="16"/>
      <c r="M24" s="18" t="s">
        <v>5056</v>
      </c>
      <c r="N24" s="16"/>
      <c r="O24" s="18" t="s">
        <v>5803</v>
      </c>
      <c r="P24" s="16"/>
      <c r="Q24" s="18" t="s">
        <v>6439</v>
      </c>
      <c r="R24" s="16"/>
      <c r="S24" s="18"/>
      <c r="T24" s="21"/>
    </row>
    <row r="25" spans="1:20" ht="15.95" customHeight="1" x14ac:dyDescent="0.25">
      <c r="A25" s="18" t="s">
        <v>277</v>
      </c>
      <c r="B25" s="16"/>
      <c r="C25" s="18" t="s">
        <v>2186</v>
      </c>
      <c r="D25" s="16"/>
      <c r="E25" s="18" t="s">
        <v>2907</v>
      </c>
      <c r="F25" s="16"/>
      <c r="G25" s="18" t="s">
        <v>1441</v>
      </c>
      <c r="H25" s="16"/>
      <c r="I25" s="18" t="s">
        <v>3649</v>
      </c>
      <c r="J25" s="16"/>
      <c r="K25" s="18" t="s">
        <v>4387</v>
      </c>
      <c r="L25" s="16"/>
      <c r="M25" s="18" t="s">
        <v>5057</v>
      </c>
      <c r="N25" s="16"/>
      <c r="O25" s="18" t="s">
        <v>5804</v>
      </c>
      <c r="P25" s="16"/>
      <c r="Q25" s="18" t="s">
        <v>6440</v>
      </c>
      <c r="R25" s="16"/>
      <c r="S25" s="18"/>
      <c r="T25" s="21"/>
    </row>
    <row r="26" spans="1:20" ht="15.95" customHeight="1" x14ac:dyDescent="0.25">
      <c r="A26" s="18" t="s">
        <v>278</v>
      </c>
      <c r="B26" s="16"/>
      <c r="C26" s="18" t="s">
        <v>2187</v>
      </c>
      <c r="D26" s="16"/>
      <c r="E26" s="18" t="s">
        <v>2908</v>
      </c>
      <c r="F26" s="16"/>
      <c r="G26" s="18" t="s">
        <v>1442</v>
      </c>
      <c r="H26" s="16"/>
      <c r="I26" s="18" t="s">
        <v>3650</v>
      </c>
      <c r="J26" s="16"/>
      <c r="K26" s="18" t="s">
        <v>4388</v>
      </c>
      <c r="L26" s="16"/>
      <c r="M26" s="18" t="s">
        <v>5058</v>
      </c>
      <c r="N26" s="16"/>
      <c r="O26" s="18" t="s">
        <v>5805</v>
      </c>
      <c r="P26" s="16"/>
      <c r="Q26" s="18" t="s">
        <v>6441</v>
      </c>
      <c r="R26" s="16"/>
      <c r="S26" s="18"/>
      <c r="T26" s="21"/>
    </row>
    <row r="27" spans="1:20" ht="15.95" customHeight="1" x14ac:dyDescent="0.25">
      <c r="A27" s="18" t="s">
        <v>279</v>
      </c>
      <c r="B27" s="16"/>
      <c r="C27" s="18" t="s">
        <v>2188</v>
      </c>
      <c r="D27" s="16"/>
      <c r="E27" s="18" t="s">
        <v>2909</v>
      </c>
      <c r="F27" s="16"/>
      <c r="G27" s="18" t="s">
        <v>1443</v>
      </c>
      <c r="H27" s="16"/>
      <c r="I27" s="18" t="s">
        <v>3651</v>
      </c>
      <c r="J27" s="16"/>
      <c r="K27" s="18" t="s">
        <v>4389</v>
      </c>
      <c r="L27" s="16"/>
      <c r="M27" s="18" t="s">
        <v>5059</v>
      </c>
      <c r="N27" s="16"/>
      <c r="O27" s="18" t="s">
        <v>5806</v>
      </c>
      <c r="P27" s="16"/>
      <c r="Q27" s="18" t="s">
        <v>6442</v>
      </c>
      <c r="R27" s="16"/>
      <c r="S27" s="18"/>
      <c r="T27" s="21"/>
    </row>
    <row r="28" spans="1:20" ht="15.95" customHeight="1" x14ac:dyDescent="0.25">
      <c r="A28" s="18" t="s">
        <v>4</v>
      </c>
      <c r="B28" s="16"/>
      <c r="C28" s="18" t="s">
        <v>4</v>
      </c>
      <c r="D28" s="16"/>
      <c r="E28" s="18" t="s">
        <v>4</v>
      </c>
      <c r="F28" s="16"/>
      <c r="G28" s="18" t="s">
        <v>4</v>
      </c>
      <c r="H28" s="16"/>
      <c r="I28" s="18" t="s">
        <v>4</v>
      </c>
      <c r="J28" s="16"/>
      <c r="K28" s="18" t="s">
        <v>4</v>
      </c>
      <c r="L28" s="16"/>
      <c r="M28" s="18" t="s">
        <v>4</v>
      </c>
      <c r="N28" s="16"/>
      <c r="O28" s="18" t="s">
        <v>4</v>
      </c>
      <c r="P28" s="16"/>
      <c r="Q28" s="18" t="s">
        <v>4</v>
      </c>
      <c r="R28" s="16"/>
      <c r="S28" s="18"/>
      <c r="T28" s="21"/>
    </row>
    <row r="29" spans="1:20" ht="15.95" customHeight="1" x14ac:dyDescent="0.25">
      <c r="A29" s="18" t="s">
        <v>280</v>
      </c>
      <c r="B29" s="16"/>
      <c r="C29" s="18" t="s">
        <v>2189</v>
      </c>
      <c r="D29" s="16"/>
      <c r="E29" s="18" t="s">
        <v>2910</v>
      </c>
      <c r="F29" s="16"/>
      <c r="G29" s="18" t="s">
        <v>1444</v>
      </c>
      <c r="H29" s="16"/>
      <c r="I29" s="18" t="s">
        <v>3652</v>
      </c>
      <c r="J29" s="16"/>
      <c r="K29" s="18" t="s">
        <v>4390</v>
      </c>
      <c r="L29" s="16"/>
      <c r="M29" s="18" t="s">
        <v>5060</v>
      </c>
      <c r="N29" s="16"/>
      <c r="O29" s="18" t="s">
        <v>5807</v>
      </c>
      <c r="P29" s="16"/>
      <c r="Q29" s="18" t="s">
        <v>6443</v>
      </c>
      <c r="R29" s="16"/>
      <c r="S29" s="18"/>
      <c r="T29" s="21"/>
    </row>
    <row r="30" spans="1:20" ht="15.95" customHeight="1" x14ac:dyDescent="0.25">
      <c r="A30" s="18" t="s">
        <v>281</v>
      </c>
      <c r="B30" s="16"/>
      <c r="C30" s="18" t="s">
        <v>2190</v>
      </c>
      <c r="D30" s="16"/>
      <c r="E30" s="18" t="s">
        <v>2911</v>
      </c>
      <c r="F30" s="16"/>
      <c r="G30" s="18" t="s">
        <v>1445</v>
      </c>
      <c r="H30" s="16"/>
      <c r="I30" s="18" t="s">
        <v>3653</v>
      </c>
      <c r="J30" s="16"/>
      <c r="K30" s="18" t="s">
        <v>4391</v>
      </c>
      <c r="L30" s="16"/>
      <c r="M30" s="18" t="s">
        <v>5061</v>
      </c>
      <c r="N30" s="16"/>
      <c r="O30" s="18" t="s">
        <v>5808</v>
      </c>
      <c r="P30" s="16"/>
      <c r="Q30" s="18" t="s">
        <v>6444</v>
      </c>
      <c r="R30" s="16"/>
      <c r="S30" s="18"/>
      <c r="T30" s="21"/>
    </row>
    <row r="31" spans="1:20" ht="15.95" customHeight="1" x14ac:dyDescent="0.25">
      <c r="A31" s="18"/>
      <c r="B31" s="16"/>
      <c r="C31" s="18" t="s">
        <v>2191</v>
      </c>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t="s">
        <v>2192</v>
      </c>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34" priority="2" stopIfTrue="1">
      <formula>NOT(ISERROR(A3))</formula>
    </cfRule>
  </conditionalFormatting>
  <conditionalFormatting sqref="A3:T51">
    <cfRule type="containsErrors" dxfId="233" priority="1" stopIfTrue="1">
      <formula>ISERROR(A3)</formula>
    </cfRule>
    <cfRule type="notContainsBlanks" dxfId="232" priority="3">
      <formula>LEN(TRIM(A3))&gt;0</formula>
    </cfRule>
  </conditionalFormatting>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85C4A5-A798-4A8A-ADB5-2E40A061BDCC}">
  <sheetPr codeName="Sheet55"/>
  <dimension ref="A1:T51"/>
  <sheetViews>
    <sheetView workbookViewId="0">
      <selection activeCell="Q3" sqref="Q3:Q33"/>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9" t="s">
        <v>84</v>
      </c>
    </row>
    <row r="3" spans="1:20" ht="15.95" customHeight="1" x14ac:dyDescent="0.25">
      <c r="A3" s="17" t="s">
        <v>282</v>
      </c>
      <c r="B3" s="16" t="str">
        <f>TRIM(_xlfn.TEXTBEFORE(A3, ":"))</f>
        <v>Item Class</v>
      </c>
      <c r="C3" s="17" t="s">
        <v>2193</v>
      </c>
      <c r="D3" s="16" t="str">
        <f>TRIM(_xlfn.TEXTBEFORE(C3, ":"))</f>
        <v>Gegenstandsklasse</v>
      </c>
      <c r="E3" s="17" t="s">
        <v>2912</v>
      </c>
      <c r="F3" s="16" t="str">
        <f>TRIM(_xlfn.TEXTBEFORE(E3, ":"))</f>
        <v>Clase de objeto</v>
      </c>
      <c r="G3" s="17" t="s">
        <v>1446</v>
      </c>
      <c r="H3" s="16" t="str">
        <f>TRIM(_xlfn.TEXTBEFORE(G3, ":"))</f>
        <v>Classe d'objet</v>
      </c>
      <c r="I3" s="17" t="s">
        <v>3654</v>
      </c>
      <c r="J3" s="16" t="str">
        <f>TRIM(_xlfn.TEXTBEFORE(I3, ":"))</f>
        <v>アイテムクラス</v>
      </c>
      <c r="K3" s="17" t="s">
        <v>4392</v>
      </c>
      <c r="L3" s="16" t="str">
        <f>TRIM(_xlfn.TEXTBEFORE(K3, ":"))</f>
        <v>아이템 종류</v>
      </c>
      <c r="M3" s="17" t="s">
        <v>5062</v>
      </c>
      <c r="N3" s="16" t="str">
        <f>TRIM(_xlfn.TEXTBEFORE(M3, ":"))</f>
        <v>Classe do Item</v>
      </c>
      <c r="O3" s="17" t="s">
        <v>5809</v>
      </c>
      <c r="P3" s="16" t="str">
        <f>TRIM(_xlfn.TEXTBEFORE(O3, ":"))</f>
        <v>Класс предмета</v>
      </c>
      <c r="Q3" s="17" t="s">
        <v>6445</v>
      </c>
      <c r="R3" s="16" t="str">
        <f>TRIM(_xlfn.TEXTBEFORE(Q3, ":"))</f>
        <v>ชนิดไอเทม</v>
      </c>
      <c r="S3" s="17"/>
      <c r="T3" s="16" t="e">
        <f>TRIM(_xlfn.TEXTBEFORE(S3, ":"))</f>
        <v>#N/A</v>
      </c>
    </row>
    <row r="4" spans="1:20" ht="15.95" customHeight="1" x14ac:dyDescent="0.25">
      <c r="A4" s="18" t="s">
        <v>80</v>
      </c>
      <c r="B4" s="16" t="str">
        <f>TRIM(_xlfn.TEXTAFTER(A3, ":"))</f>
        <v>One Hand Maces</v>
      </c>
      <c r="C4" s="18" t="s">
        <v>1643</v>
      </c>
      <c r="D4" s="16" t="str">
        <f>TRIM(_xlfn.TEXTAFTER(C3, ":"))</f>
        <v>Einhandstreitkolben</v>
      </c>
      <c r="E4" s="18" t="s">
        <v>2363</v>
      </c>
      <c r="F4" s="16" t="str">
        <f>TRIM(_xlfn.TEXTAFTER(E3, ":"))</f>
        <v>Mazas a una mano</v>
      </c>
      <c r="G4" s="18" t="s">
        <v>1</v>
      </c>
      <c r="H4" s="16" t="str">
        <f>TRIM(_xlfn.TEXTAFTER(G3, ":"))</f>
        <v>Masses à une main</v>
      </c>
      <c r="I4" s="18" t="s">
        <v>3078</v>
      </c>
      <c r="J4" s="16" t="str">
        <f>TRIM(_xlfn.TEXTAFTER(I3, ":"))</f>
        <v>片手メイス</v>
      </c>
      <c r="K4" s="18" t="s">
        <v>3828</v>
      </c>
      <c r="L4" s="16" t="str">
        <f>TRIM(_xlfn.TEXTAFTER(K3, ":"))</f>
        <v>한손 철퇴</v>
      </c>
      <c r="M4" s="18" t="s">
        <v>4557</v>
      </c>
      <c r="N4" s="16" t="str">
        <f>TRIM(_xlfn.TEXTAFTER(M3, ":"))</f>
        <v>Maças de Uma Mão</v>
      </c>
      <c r="O4" s="18" t="s">
        <v>5240</v>
      </c>
      <c r="P4" s="16" t="str">
        <f>TRIM(_xlfn.TEXTAFTER(O3, ":"))</f>
        <v>Одноручные булавы</v>
      </c>
      <c r="Q4" s="18" t="s">
        <v>5977</v>
      </c>
      <c r="R4" s="16" t="str">
        <f>TRIM(_xlfn.TEXTAFTER(Q3, ":"))</f>
        <v>กระบองมือเดียว</v>
      </c>
      <c r="S4" s="18"/>
      <c r="T4" s="16" t="e">
        <f>TRIM(_xlfn.TEXTAFTER(S3, ":"))</f>
        <v>#N/A</v>
      </c>
    </row>
    <row r="5" spans="1:20" ht="15.95" customHeight="1" x14ac:dyDescent="0.25">
      <c r="A5" s="18" t="s">
        <v>283</v>
      </c>
      <c r="B5" s="16" t="str">
        <f>TRIM(_xlfn.TEXTBEFORE(A4, ":"))</f>
        <v>Rarity</v>
      </c>
      <c r="C5" s="18" t="s">
        <v>2194</v>
      </c>
      <c r="D5" s="16" t="str">
        <f>TRIM(_xlfn.TEXTBEFORE(C4, ":"))</f>
        <v>Seltenheit</v>
      </c>
      <c r="E5" s="18" t="s">
        <v>2913</v>
      </c>
      <c r="F5" s="16" t="str">
        <f>TRIM(_xlfn.TEXTBEFORE(E4, ":"))</f>
        <v>Rareza</v>
      </c>
      <c r="G5" s="18" t="s">
        <v>1447</v>
      </c>
      <c r="H5" s="16" t="str">
        <f>TRIM(_xlfn.TEXTBEFORE(G4, ":"))</f>
        <v>Rareté</v>
      </c>
      <c r="I5" s="18" t="s">
        <v>3655</v>
      </c>
      <c r="J5" s="16" t="str">
        <f>TRIM(_xlfn.TEXTBEFORE(I4, ":"))</f>
        <v>レアリティ</v>
      </c>
      <c r="K5" s="18" t="s">
        <v>4393</v>
      </c>
      <c r="L5" s="16" t="str">
        <f>TRIM(_xlfn.TEXTBEFORE(K4, ":"))</f>
        <v>아이템 희귀도</v>
      </c>
      <c r="M5" s="18" t="s">
        <v>5063</v>
      </c>
      <c r="N5" s="16" t="str">
        <f>TRIM(_xlfn.TEXTBEFORE(M4, ":"))</f>
        <v>Raridade</v>
      </c>
      <c r="O5" s="18" t="s">
        <v>5810</v>
      </c>
      <c r="P5" s="16" t="str">
        <f>TRIM(_xlfn.TEXTBEFORE(O4, ":"))</f>
        <v>Редкость</v>
      </c>
      <c r="Q5" s="18" t="s">
        <v>283</v>
      </c>
      <c r="R5" s="16" t="str">
        <f>TRIM(_xlfn.TEXTBEFORE(Q4, ":"))</f>
        <v>ความหายาก</v>
      </c>
      <c r="S5" s="18"/>
      <c r="T5" s="16" t="e">
        <f>TRIM(_xlfn.TEXTBEFORE(S4, ":"))</f>
        <v>#N/A</v>
      </c>
    </row>
    <row r="6" spans="1:20" ht="15.95" customHeight="1" x14ac:dyDescent="0.25">
      <c r="A6" s="18" t="s">
        <v>284</v>
      </c>
      <c r="B6" s="16" t="str">
        <f>TRIM(_xlfn.TEXTAFTER(A4,":"))</f>
        <v>Unique</v>
      </c>
      <c r="C6" s="18" t="s">
        <v>2195</v>
      </c>
      <c r="D6" s="16" t="str">
        <f>TRIM(_xlfn.TEXTAFTER(C4,":"))</f>
        <v>Einzigartig</v>
      </c>
      <c r="E6" s="18" t="s">
        <v>2914</v>
      </c>
      <c r="F6" s="16" t="str">
        <f>TRIM(_xlfn.TEXTAFTER(E4,":"))</f>
        <v>Único</v>
      </c>
      <c r="G6" s="18" t="s">
        <v>1448</v>
      </c>
      <c r="H6" s="16" t="str">
        <f>TRIM(_xlfn.TEXTAFTER(G4,":"))</f>
        <v>Unique</v>
      </c>
      <c r="I6" s="18" t="s">
        <v>3656</v>
      </c>
      <c r="J6" s="16" t="str">
        <f>TRIM(_xlfn.TEXTAFTER(I4,":"))</f>
        <v>ユニーク</v>
      </c>
      <c r="K6" s="18" t="s">
        <v>4394</v>
      </c>
      <c r="L6" s="16" t="str">
        <f>TRIM(_xlfn.TEXTAFTER(K4,":"))</f>
        <v>고유</v>
      </c>
      <c r="M6" s="18" t="s">
        <v>5064</v>
      </c>
      <c r="N6" s="16" t="str">
        <f>TRIM(_xlfn.TEXTAFTER(M4,":"))</f>
        <v>Único</v>
      </c>
      <c r="O6" s="18" t="s">
        <v>5811</v>
      </c>
      <c r="P6" s="16" t="str">
        <f>TRIM(_xlfn.TEXTAFTER(O4,":"))</f>
        <v>Уникальный</v>
      </c>
      <c r="Q6" s="18" t="s">
        <v>284</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285</v>
      </c>
      <c r="B8" s="16"/>
      <c r="C8" s="18" t="s">
        <v>2196</v>
      </c>
      <c r="D8" s="16"/>
      <c r="E8" s="18" t="s">
        <v>2915</v>
      </c>
      <c r="F8" s="16"/>
      <c r="G8" s="18" t="s">
        <v>1449</v>
      </c>
      <c r="H8" s="16"/>
      <c r="I8" s="18" t="s">
        <v>3657</v>
      </c>
      <c r="J8" s="16"/>
      <c r="K8" s="18" t="s">
        <v>4395</v>
      </c>
      <c r="L8" s="16"/>
      <c r="M8" s="18" t="s">
        <v>5065</v>
      </c>
      <c r="N8" s="16"/>
      <c r="O8" s="18" t="s">
        <v>5812</v>
      </c>
      <c r="P8" s="16"/>
      <c r="Q8" s="18" t="s">
        <v>6446</v>
      </c>
      <c r="R8" s="16"/>
      <c r="S8" s="18"/>
      <c r="T8" s="16"/>
    </row>
    <row r="9" spans="1:20" ht="15.95" customHeight="1" x14ac:dyDescent="0.25">
      <c r="A9" s="18" t="s">
        <v>286</v>
      </c>
      <c r="B9" s="16"/>
      <c r="C9" s="18" t="s">
        <v>2197</v>
      </c>
      <c r="D9" s="16"/>
      <c r="E9" s="18" t="s">
        <v>2916</v>
      </c>
      <c r="F9" s="16"/>
      <c r="G9" s="18" t="s">
        <v>1450</v>
      </c>
      <c r="H9" s="16"/>
      <c r="I9" s="18" t="s">
        <v>3658</v>
      </c>
      <c r="J9" s="16"/>
      <c r="K9" s="18" t="s">
        <v>4396</v>
      </c>
      <c r="L9" s="16"/>
      <c r="M9" s="18" t="s">
        <v>5066</v>
      </c>
      <c r="N9" s="16"/>
      <c r="O9" s="18" t="s">
        <v>5813</v>
      </c>
      <c r="P9" s="16"/>
      <c r="Q9" s="18" t="s">
        <v>6447</v>
      </c>
      <c r="R9" s="16"/>
      <c r="S9" s="18"/>
      <c r="T9" s="16"/>
    </row>
    <row r="10" spans="1:20" ht="15.95" customHeight="1" x14ac:dyDescent="0.25">
      <c r="A10" s="18" t="s">
        <v>287</v>
      </c>
      <c r="B10" s="16"/>
      <c r="C10" s="18" t="s">
        <v>2198</v>
      </c>
      <c r="D10" s="16"/>
      <c r="E10" s="18" t="s">
        <v>2917</v>
      </c>
      <c r="F10" s="16"/>
      <c r="G10" s="18" t="s">
        <v>1451</v>
      </c>
      <c r="H10" s="16"/>
      <c r="I10" s="18" t="s">
        <v>3659</v>
      </c>
      <c r="J10" s="16"/>
      <c r="K10" s="18" t="s">
        <v>4397</v>
      </c>
      <c r="L10" s="16"/>
      <c r="M10" s="18" t="s">
        <v>5067</v>
      </c>
      <c r="N10" s="16"/>
      <c r="O10" s="18" t="s">
        <v>5814</v>
      </c>
      <c r="P10" s="16"/>
      <c r="Q10" s="18" t="s">
        <v>6448</v>
      </c>
      <c r="R10" s="16"/>
      <c r="S10" s="18"/>
      <c r="T10" s="16"/>
    </row>
    <row r="11" spans="1:20" ht="15.95" customHeight="1" x14ac:dyDescent="0.25">
      <c r="A11" s="18" t="s">
        <v>185</v>
      </c>
      <c r="B11" s="16"/>
      <c r="C11" s="18" t="s">
        <v>2108</v>
      </c>
      <c r="D11" s="16"/>
      <c r="E11" s="18" t="s">
        <v>2826</v>
      </c>
      <c r="F11" s="16"/>
      <c r="G11" s="18" t="s">
        <v>1364</v>
      </c>
      <c r="H11" s="16"/>
      <c r="I11" s="18" t="s">
        <v>3565</v>
      </c>
      <c r="J11" s="16"/>
      <c r="K11" s="18" t="s">
        <v>4303</v>
      </c>
      <c r="L11" s="16"/>
      <c r="M11" s="18" t="s">
        <v>4984</v>
      </c>
      <c r="N11" s="16"/>
      <c r="O11" s="18" t="s">
        <v>5720</v>
      </c>
      <c r="P11" s="16"/>
      <c r="Q11" s="18" t="s">
        <v>6372</v>
      </c>
      <c r="R11" s="16"/>
      <c r="S11" s="18"/>
      <c r="T11" s="16"/>
    </row>
    <row r="12" spans="1:20" ht="15.95" customHeight="1" x14ac:dyDescent="0.25">
      <c r="A12" s="18" t="s">
        <v>288</v>
      </c>
      <c r="B12" s="16"/>
      <c r="C12" s="18" t="s">
        <v>2199</v>
      </c>
      <c r="D12" s="16"/>
      <c r="E12" s="18" t="s">
        <v>2918</v>
      </c>
      <c r="F12" s="16"/>
      <c r="G12" s="18" t="s">
        <v>1452</v>
      </c>
      <c r="H12" s="16"/>
      <c r="I12" s="18" t="s">
        <v>3660</v>
      </c>
      <c r="J12" s="16"/>
      <c r="K12" s="18" t="s">
        <v>4398</v>
      </c>
      <c r="L12" s="16"/>
      <c r="M12" s="18" t="s">
        <v>5068</v>
      </c>
      <c r="N12" s="16"/>
      <c r="O12" s="18" t="s">
        <v>5815</v>
      </c>
      <c r="P12" s="16"/>
      <c r="Q12" s="18" t="s">
        <v>6449</v>
      </c>
      <c r="R12" s="16"/>
      <c r="S12" s="18"/>
      <c r="T12" s="21"/>
    </row>
    <row r="13" spans="1:20" ht="15.95" customHeight="1" x14ac:dyDescent="0.25">
      <c r="A13" s="18" t="s">
        <v>106</v>
      </c>
      <c r="B13" s="16"/>
      <c r="C13" s="18" t="s">
        <v>1983</v>
      </c>
      <c r="D13" s="16"/>
      <c r="E13" s="18" t="s">
        <v>2704</v>
      </c>
      <c r="F13" s="16"/>
      <c r="G13" s="18" t="s">
        <v>1239</v>
      </c>
      <c r="H13" s="16"/>
      <c r="I13" s="18" t="s">
        <v>3431</v>
      </c>
      <c r="J13" s="16"/>
      <c r="K13" s="18" t="s">
        <v>4175</v>
      </c>
      <c r="L13" s="16"/>
      <c r="M13" s="18" t="s">
        <v>4922</v>
      </c>
      <c r="N13" s="16"/>
      <c r="O13" s="18" t="s">
        <v>5589</v>
      </c>
      <c r="P13" s="16"/>
      <c r="Q13" s="18" t="s">
        <v>6269</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81</v>
      </c>
      <c r="B15" s="16"/>
      <c r="C15" s="18" t="s">
        <v>1589</v>
      </c>
      <c r="D15" s="16"/>
      <c r="E15" s="18" t="s">
        <v>2308</v>
      </c>
      <c r="F15" s="16"/>
      <c r="G15" s="18" t="s">
        <v>5</v>
      </c>
      <c r="H15" s="16"/>
      <c r="I15" s="18" t="s">
        <v>3018</v>
      </c>
      <c r="J15" s="16"/>
      <c r="K15" s="18" t="s">
        <v>3772</v>
      </c>
      <c r="L15" s="16"/>
      <c r="M15" s="18" t="s">
        <v>2308</v>
      </c>
      <c r="N15" s="16"/>
      <c r="O15" s="18" t="s">
        <v>5183</v>
      </c>
      <c r="P15" s="16"/>
      <c r="Q15" s="18" t="s">
        <v>5928</v>
      </c>
      <c r="R15" s="16"/>
      <c r="S15" s="18"/>
      <c r="T15" s="21"/>
    </row>
    <row r="16" spans="1:20" ht="15.95" customHeight="1" x14ac:dyDescent="0.25">
      <c r="A16" s="18" t="s">
        <v>289</v>
      </c>
      <c r="B16" s="16"/>
      <c r="C16" s="18" t="s">
        <v>1742</v>
      </c>
      <c r="D16" s="16"/>
      <c r="E16" s="18" t="s">
        <v>2461</v>
      </c>
      <c r="F16" s="16"/>
      <c r="G16" s="18" t="s">
        <v>1010</v>
      </c>
      <c r="H16" s="16"/>
      <c r="I16" s="18" t="s">
        <v>3179</v>
      </c>
      <c r="J16" s="16"/>
      <c r="K16" s="18" t="s">
        <v>3926</v>
      </c>
      <c r="L16" s="16"/>
      <c r="M16" s="18" t="s">
        <v>4655</v>
      </c>
      <c r="N16" s="16"/>
      <c r="O16" s="18" t="s">
        <v>5340</v>
      </c>
      <c r="P16" s="16"/>
      <c r="Q16" s="18" t="s">
        <v>6071</v>
      </c>
      <c r="R16" s="16"/>
      <c r="S16" s="18"/>
      <c r="T16" s="21"/>
    </row>
    <row r="17" spans="1:20" ht="15.95" customHeight="1" x14ac:dyDescent="0.25">
      <c r="A17" s="18" t="s">
        <v>290</v>
      </c>
      <c r="B17" s="16"/>
      <c r="C17" s="18" t="s">
        <v>290</v>
      </c>
      <c r="D17" s="16"/>
      <c r="E17" s="18" t="s">
        <v>2919</v>
      </c>
      <c r="F17" s="16"/>
      <c r="G17" s="18" t="s">
        <v>1453</v>
      </c>
      <c r="H17" s="16"/>
      <c r="I17" s="18" t="s">
        <v>3661</v>
      </c>
      <c r="J17" s="16"/>
      <c r="K17" s="18" t="s">
        <v>4399</v>
      </c>
      <c r="L17" s="16"/>
      <c r="M17" s="18" t="s">
        <v>1453</v>
      </c>
      <c r="N17" s="16"/>
      <c r="O17" s="18" t="s">
        <v>5816</v>
      </c>
      <c r="P17" s="16"/>
      <c r="Q17" s="18" t="s">
        <v>290</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291</v>
      </c>
      <c r="B19" s="16"/>
      <c r="C19" s="18" t="s">
        <v>1819</v>
      </c>
      <c r="D19" s="16"/>
      <c r="E19" s="18" t="s">
        <v>2537</v>
      </c>
      <c r="F19" s="16"/>
      <c r="G19" s="18" t="s">
        <v>1084</v>
      </c>
      <c r="H19" s="16"/>
      <c r="I19" s="18" t="s">
        <v>3260</v>
      </c>
      <c r="J19" s="16"/>
      <c r="K19" s="18" t="s">
        <v>4005</v>
      </c>
      <c r="L19" s="16"/>
      <c r="M19" s="18" t="s">
        <v>4728</v>
      </c>
      <c r="N19" s="16"/>
      <c r="O19" s="18" t="s">
        <v>5419</v>
      </c>
      <c r="P19" s="16"/>
      <c r="Q19" s="18" t="s">
        <v>6134</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292</v>
      </c>
      <c r="B21" s="16"/>
      <c r="C21" s="18" t="s">
        <v>1743</v>
      </c>
      <c r="D21" s="16"/>
      <c r="E21" s="18" t="s">
        <v>2462</v>
      </c>
      <c r="F21" s="16"/>
      <c r="G21" s="18" t="s">
        <v>1011</v>
      </c>
      <c r="H21" s="16"/>
      <c r="I21" s="18" t="s">
        <v>3180</v>
      </c>
      <c r="J21" s="16"/>
      <c r="K21" s="18" t="s">
        <v>3927</v>
      </c>
      <c r="L21" s="16"/>
      <c r="M21" s="18" t="s">
        <v>4656</v>
      </c>
      <c r="N21" s="16"/>
      <c r="O21" s="18" t="s">
        <v>5341</v>
      </c>
      <c r="P21" s="16"/>
      <c r="Q21" s="18" t="s">
        <v>6072</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293</v>
      </c>
      <c r="B23" s="16"/>
      <c r="C23" s="18" t="s">
        <v>2200</v>
      </c>
      <c r="D23" s="16"/>
      <c r="E23" s="18" t="s">
        <v>2920</v>
      </c>
      <c r="F23" s="16"/>
      <c r="G23" s="18" t="s">
        <v>1454</v>
      </c>
      <c r="H23" s="16"/>
      <c r="I23" s="18" t="s">
        <v>3662</v>
      </c>
      <c r="J23" s="16"/>
      <c r="K23" s="18" t="s">
        <v>4400</v>
      </c>
      <c r="L23" s="16"/>
      <c r="M23" s="18" t="s">
        <v>5069</v>
      </c>
      <c r="N23" s="16"/>
      <c r="O23" s="18" t="s">
        <v>5817</v>
      </c>
      <c r="P23" s="16"/>
      <c r="Q23" s="18" t="s">
        <v>6450</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294</v>
      </c>
      <c r="B25" s="16"/>
      <c r="C25" s="18" t="s">
        <v>2201</v>
      </c>
      <c r="D25" s="16"/>
      <c r="E25" s="18" t="s">
        <v>2921</v>
      </c>
      <c r="F25" s="16"/>
      <c r="G25" s="18" t="s">
        <v>1455</v>
      </c>
      <c r="H25" s="16"/>
      <c r="I25" s="18" t="s">
        <v>3663</v>
      </c>
      <c r="J25" s="16"/>
      <c r="K25" s="18" t="s">
        <v>4401</v>
      </c>
      <c r="L25" s="16"/>
      <c r="M25" s="18" t="s">
        <v>5070</v>
      </c>
      <c r="N25" s="16"/>
      <c r="O25" s="18" t="s">
        <v>5818</v>
      </c>
      <c r="P25" s="16"/>
      <c r="Q25" s="18" t="s">
        <v>6451</v>
      </c>
      <c r="R25" s="16"/>
      <c r="S25" s="18"/>
      <c r="T25" s="21"/>
    </row>
    <row r="26" spans="1:20" ht="15.95" customHeight="1" x14ac:dyDescent="0.25">
      <c r="A26" s="18" t="s">
        <v>295</v>
      </c>
      <c r="B26" s="16"/>
      <c r="C26" s="18" t="s">
        <v>2202</v>
      </c>
      <c r="D26" s="16"/>
      <c r="E26" s="18" t="s">
        <v>2922</v>
      </c>
      <c r="F26" s="16"/>
      <c r="G26" s="18" t="s">
        <v>1456</v>
      </c>
      <c r="H26" s="16"/>
      <c r="I26" s="18" t="s">
        <v>3664</v>
      </c>
      <c r="J26" s="16"/>
      <c r="K26" s="18" t="s">
        <v>4402</v>
      </c>
      <c r="L26" s="16"/>
      <c r="M26" s="18" t="s">
        <v>5071</v>
      </c>
      <c r="N26" s="16"/>
      <c r="O26" s="18" t="s">
        <v>5819</v>
      </c>
      <c r="P26" s="16"/>
      <c r="Q26" s="18" t="s">
        <v>6452</v>
      </c>
      <c r="R26" s="16"/>
      <c r="S26" s="18"/>
      <c r="T26" s="21"/>
    </row>
    <row r="27" spans="1:20" ht="15.95" customHeight="1" x14ac:dyDescent="0.25">
      <c r="A27" s="18" t="s">
        <v>296</v>
      </c>
      <c r="B27" s="16"/>
      <c r="C27" s="18" t="s">
        <v>2203</v>
      </c>
      <c r="D27" s="16"/>
      <c r="E27" s="18" t="s">
        <v>2923</v>
      </c>
      <c r="F27" s="16"/>
      <c r="G27" s="18" t="s">
        <v>1457</v>
      </c>
      <c r="H27" s="16"/>
      <c r="I27" s="18" t="s">
        <v>3665</v>
      </c>
      <c r="J27" s="16"/>
      <c r="K27" s="18" t="s">
        <v>4403</v>
      </c>
      <c r="L27" s="16"/>
      <c r="M27" s="18" t="s">
        <v>5072</v>
      </c>
      <c r="N27" s="16"/>
      <c r="O27" s="18" t="s">
        <v>5820</v>
      </c>
      <c r="P27" s="16"/>
      <c r="Q27" s="18" t="s">
        <v>6453</v>
      </c>
      <c r="R27" s="16"/>
      <c r="S27" s="18"/>
      <c r="T27" s="21"/>
    </row>
    <row r="28" spans="1:20" ht="15.95" customHeight="1" x14ac:dyDescent="0.25">
      <c r="A28" s="18" t="s">
        <v>297</v>
      </c>
      <c r="B28" s="16"/>
      <c r="C28" s="18" t="s">
        <v>2204</v>
      </c>
      <c r="D28" s="16"/>
      <c r="E28" s="18" t="s">
        <v>2924</v>
      </c>
      <c r="F28" s="16"/>
      <c r="G28" s="18" t="s">
        <v>1458</v>
      </c>
      <c r="H28" s="16"/>
      <c r="I28" s="18" t="s">
        <v>3666</v>
      </c>
      <c r="J28" s="16"/>
      <c r="K28" s="18" t="s">
        <v>4404</v>
      </c>
      <c r="L28" s="16"/>
      <c r="M28" s="18" t="s">
        <v>5073</v>
      </c>
      <c r="N28" s="16"/>
      <c r="O28" s="18" t="s">
        <v>5821</v>
      </c>
      <c r="P28" s="16"/>
      <c r="Q28" s="18" t="s">
        <v>6454</v>
      </c>
      <c r="R28" s="16"/>
      <c r="S28" s="18"/>
      <c r="T28" s="21"/>
    </row>
    <row r="29" spans="1:20" ht="15.95" customHeight="1" x14ac:dyDescent="0.25">
      <c r="A29" s="18" t="s">
        <v>298</v>
      </c>
      <c r="B29" s="16"/>
      <c r="C29" s="18" t="s">
        <v>2205</v>
      </c>
      <c r="D29" s="16"/>
      <c r="E29" s="18" t="s">
        <v>2925</v>
      </c>
      <c r="F29" s="16"/>
      <c r="G29" s="18" t="s">
        <v>1459</v>
      </c>
      <c r="H29" s="16"/>
      <c r="I29" s="18" t="s">
        <v>3667</v>
      </c>
      <c r="J29" s="16"/>
      <c r="K29" s="18" t="s">
        <v>4405</v>
      </c>
      <c r="L29" s="16"/>
      <c r="M29" s="18" t="s">
        <v>5074</v>
      </c>
      <c r="N29" s="16"/>
      <c r="O29" s="18" t="s">
        <v>5822</v>
      </c>
      <c r="P29" s="16"/>
      <c r="Q29" s="18" t="s">
        <v>6455</v>
      </c>
      <c r="R29" s="16"/>
      <c r="S29" s="18"/>
      <c r="T29" s="21"/>
    </row>
    <row r="30" spans="1:20" ht="15.95" customHeight="1" x14ac:dyDescent="0.25">
      <c r="A30" s="18" t="s">
        <v>299</v>
      </c>
      <c r="B30" s="16"/>
      <c r="C30" s="18" t="s">
        <v>2206</v>
      </c>
      <c r="D30" s="16"/>
      <c r="E30" s="18" t="s">
        <v>2926</v>
      </c>
      <c r="F30" s="16"/>
      <c r="G30" s="18" t="s">
        <v>1460</v>
      </c>
      <c r="H30" s="16"/>
      <c r="I30" s="18" t="s">
        <v>3668</v>
      </c>
      <c r="J30" s="16"/>
      <c r="K30" s="18" t="s">
        <v>4406</v>
      </c>
      <c r="L30" s="16"/>
      <c r="M30" s="18" t="s">
        <v>5075</v>
      </c>
      <c r="N30" s="16"/>
      <c r="O30" s="18" t="s">
        <v>5823</v>
      </c>
      <c r="P30" s="16"/>
      <c r="Q30" s="18" t="s">
        <v>6456</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300</v>
      </c>
      <c r="B32" s="16"/>
      <c r="C32" s="18" t="s">
        <v>2207</v>
      </c>
      <c r="D32" s="16"/>
      <c r="E32" s="18" t="s">
        <v>2927</v>
      </c>
      <c r="F32" s="16"/>
      <c r="G32" s="18" t="s">
        <v>1461</v>
      </c>
      <c r="H32" s="16"/>
      <c r="I32" s="18" t="s">
        <v>3669</v>
      </c>
      <c r="J32" s="16"/>
      <c r="K32" s="18" t="s">
        <v>4407</v>
      </c>
      <c r="L32" s="16"/>
      <c r="M32" s="18" t="s">
        <v>5076</v>
      </c>
      <c r="N32" s="16"/>
      <c r="O32" s="18" t="s">
        <v>5824</v>
      </c>
      <c r="P32" s="16"/>
      <c r="Q32" s="18" t="s">
        <v>6457</v>
      </c>
      <c r="R32" s="16"/>
      <c r="S32" s="18"/>
      <c r="T32" s="21"/>
    </row>
    <row r="33" spans="1:20" ht="15.95" customHeight="1" x14ac:dyDescent="0.25">
      <c r="A33" s="22" t="s">
        <v>301</v>
      </c>
      <c r="B33" s="16"/>
      <c r="C33" s="18" t="s">
        <v>2208</v>
      </c>
      <c r="D33" s="16"/>
      <c r="E33" s="18" t="s">
        <v>2928</v>
      </c>
      <c r="F33" s="16"/>
      <c r="G33" s="18" t="s">
        <v>1462</v>
      </c>
      <c r="H33" s="16"/>
      <c r="I33" s="18" t="s">
        <v>3670</v>
      </c>
      <c r="J33" s="16"/>
      <c r="K33" s="18" t="s">
        <v>4408</v>
      </c>
      <c r="L33" s="16"/>
      <c r="M33" s="18" t="s">
        <v>5077</v>
      </c>
      <c r="N33" s="16"/>
      <c r="O33" s="18" t="s">
        <v>5825</v>
      </c>
      <c r="P33" s="16"/>
      <c r="Q33" s="18" t="s">
        <v>6458</v>
      </c>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31" priority="2" stopIfTrue="1">
      <formula>NOT(ISERROR(A3))</formula>
    </cfRule>
  </conditionalFormatting>
  <conditionalFormatting sqref="A3:T51">
    <cfRule type="containsErrors" dxfId="230" priority="1" stopIfTrue="1">
      <formula>ISERROR(A3)</formula>
    </cfRule>
    <cfRule type="notContainsBlanks" dxfId="229" priority="3">
      <formula>LEN(TRIM(A3))&gt;0</formula>
    </cfRule>
  </conditionalFormatting>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0BE522-9CFC-4DB1-A288-B5565EE6757E}">
  <sheetPr codeName="Sheet56"/>
  <dimension ref="A1:T51"/>
  <sheetViews>
    <sheetView workbookViewId="0">
      <selection activeCell="Q3" sqref="Q3:Q30"/>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9" t="s">
        <v>84</v>
      </c>
    </row>
    <row r="3" spans="1:20" ht="15.95" customHeight="1" x14ac:dyDescent="0.25">
      <c r="A3" s="17" t="s">
        <v>302</v>
      </c>
      <c r="B3" s="16" t="str">
        <f>TRIM(_xlfn.TEXTBEFORE(A3, ":"))</f>
        <v>Item Class</v>
      </c>
      <c r="C3" s="17" t="s">
        <v>2209</v>
      </c>
      <c r="D3" s="16" t="str">
        <f>TRIM(_xlfn.TEXTBEFORE(C3, ":"))</f>
        <v>Gegenstandsklasse</v>
      </c>
      <c r="E3" s="17" t="s">
        <v>2929</v>
      </c>
      <c r="F3" s="16" t="str">
        <f>TRIM(_xlfn.TEXTBEFORE(E3, ":"))</f>
        <v>Clase de objeto</v>
      </c>
      <c r="G3" s="17" t="s">
        <v>1463</v>
      </c>
      <c r="H3" s="16" t="str">
        <f>TRIM(_xlfn.TEXTBEFORE(G3, ":"))</f>
        <v>Classe d'objet</v>
      </c>
      <c r="I3" s="17" t="s">
        <v>3671</v>
      </c>
      <c r="J3" s="16" t="str">
        <f>TRIM(_xlfn.TEXTBEFORE(I3, ":"))</f>
        <v>アイテムクラス</v>
      </c>
      <c r="K3" s="17" t="s">
        <v>4409</v>
      </c>
      <c r="L3" s="16" t="str">
        <f>TRIM(_xlfn.TEXTBEFORE(K3, ":"))</f>
        <v>아이템 종류</v>
      </c>
      <c r="M3" s="17" t="s">
        <v>5078</v>
      </c>
      <c r="N3" s="16" t="str">
        <f>TRIM(_xlfn.TEXTBEFORE(M3, ":"))</f>
        <v>Classe do Item</v>
      </c>
      <c r="O3" s="17" t="s">
        <v>5826</v>
      </c>
      <c r="P3" s="16" t="str">
        <f>TRIM(_xlfn.TEXTBEFORE(O3, ":"))</f>
        <v>Класс предмета</v>
      </c>
      <c r="Q3" s="17" t="s">
        <v>6459</v>
      </c>
      <c r="R3" s="16" t="str">
        <f>TRIM(_xlfn.TEXTBEFORE(Q3, ":"))</f>
        <v>ชนิดไอเทม</v>
      </c>
      <c r="S3" s="17"/>
      <c r="T3" s="16" t="e">
        <f>TRIM(_xlfn.TEXTBEFORE(S3, ":"))</f>
        <v>#N/A</v>
      </c>
    </row>
    <row r="4" spans="1:20" ht="15.95" customHeight="1" x14ac:dyDescent="0.25">
      <c r="A4" s="18" t="s">
        <v>80</v>
      </c>
      <c r="B4" s="16" t="str">
        <f>TRIM(_xlfn.TEXTAFTER(A3, ":"))</f>
        <v>Two Hand Maces</v>
      </c>
      <c r="C4" s="18" t="s">
        <v>1643</v>
      </c>
      <c r="D4" s="16" t="str">
        <f>TRIM(_xlfn.TEXTAFTER(C3, ":"))</f>
        <v>Zweihandstreitkolben</v>
      </c>
      <c r="E4" s="18" t="s">
        <v>2363</v>
      </c>
      <c r="F4" s="16" t="str">
        <f>TRIM(_xlfn.TEXTAFTER(E3, ":"))</f>
        <v>Mazas a dos manos</v>
      </c>
      <c r="G4" s="18" t="s">
        <v>1</v>
      </c>
      <c r="H4" s="16" t="str">
        <f>TRIM(_xlfn.TEXTAFTER(G3, ":"))</f>
        <v>Masses à deux mains</v>
      </c>
      <c r="I4" s="18" t="s">
        <v>3078</v>
      </c>
      <c r="J4" s="16" t="str">
        <f>TRIM(_xlfn.TEXTAFTER(I3, ":"))</f>
        <v>両手メイス</v>
      </c>
      <c r="K4" s="18" t="s">
        <v>3828</v>
      </c>
      <c r="L4" s="16" t="str">
        <f>TRIM(_xlfn.TEXTAFTER(K3, ":"))</f>
        <v>양손 철퇴</v>
      </c>
      <c r="M4" s="18" t="s">
        <v>4557</v>
      </c>
      <c r="N4" s="16" t="str">
        <f>TRIM(_xlfn.TEXTAFTER(M3, ":"))</f>
        <v>Maças de Duas Mãos</v>
      </c>
      <c r="O4" s="18" t="s">
        <v>5240</v>
      </c>
      <c r="P4" s="16" t="str">
        <f>TRIM(_xlfn.TEXTAFTER(O3, ":"))</f>
        <v>Двуручные булавы</v>
      </c>
      <c r="Q4" s="18" t="s">
        <v>5977</v>
      </c>
      <c r="R4" s="16" t="str">
        <f>TRIM(_xlfn.TEXTAFTER(Q3, ":"))</f>
        <v>กระบองสองมือ</v>
      </c>
      <c r="S4" s="18"/>
      <c r="T4" s="16" t="e">
        <f>TRIM(_xlfn.TEXTAFTER(S3, ":"))</f>
        <v>#N/A</v>
      </c>
    </row>
    <row r="5" spans="1:20" ht="15.95" customHeight="1" x14ac:dyDescent="0.25">
      <c r="A5" s="18" t="s">
        <v>303</v>
      </c>
      <c r="B5" s="16" t="str">
        <f>TRIM(_xlfn.TEXTBEFORE(A4, ":"))</f>
        <v>Rarity</v>
      </c>
      <c r="C5" s="18" t="s">
        <v>2210</v>
      </c>
      <c r="D5" s="16" t="str">
        <f>TRIM(_xlfn.TEXTBEFORE(C4, ":"))</f>
        <v>Seltenheit</v>
      </c>
      <c r="E5" s="18" t="s">
        <v>2930</v>
      </c>
      <c r="F5" s="16" t="str">
        <f>TRIM(_xlfn.TEXTBEFORE(E4, ":"))</f>
        <v>Rareza</v>
      </c>
      <c r="G5" s="18" t="s">
        <v>1464</v>
      </c>
      <c r="H5" s="16" t="str">
        <f>TRIM(_xlfn.TEXTBEFORE(G4, ":"))</f>
        <v>Rareté</v>
      </c>
      <c r="I5" s="18" t="s">
        <v>3672</v>
      </c>
      <c r="J5" s="16" t="str">
        <f>TRIM(_xlfn.TEXTBEFORE(I4, ":"))</f>
        <v>レアリティ</v>
      </c>
      <c r="K5" s="18" t="s">
        <v>4410</v>
      </c>
      <c r="L5" s="16" t="str">
        <f>TRIM(_xlfn.TEXTBEFORE(K4, ":"))</f>
        <v>아이템 희귀도</v>
      </c>
      <c r="M5" s="18" t="s">
        <v>5079</v>
      </c>
      <c r="N5" s="16" t="str">
        <f>TRIM(_xlfn.TEXTBEFORE(M4, ":"))</f>
        <v>Raridade</v>
      </c>
      <c r="O5" s="18" t="s">
        <v>5827</v>
      </c>
      <c r="P5" s="16" t="str">
        <f>TRIM(_xlfn.TEXTBEFORE(O4, ":"))</f>
        <v>Редкость</v>
      </c>
      <c r="Q5" s="18" t="s">
        <v>303</v>
      </c>
      <c r="R5" s="16" t="str">
        <f>TRIM(_xlfn.TEXTBEFORE(Q4, ":"))</f>
        <v>ความหายาก</v>
      </c>
      <c r="S5" s="18"/>
      <c r="T5" s="16" t="e">
        <f>TRIM(_xlfn.TEXTBEFORE(S4, ":"))</f>
        <v>#N/A</v>
      </c>
    </row>
    <row r="6" spans="1:20" ht="15.95" customHeight="1" x14ac:dyDescent="0.25">
      <c r="A6" s="18" t="s">
        <v>304</v>
      </c>
      <c r="B6" s="16" t="str">
        <f>TRIM(_xlfn.TEXTAFTER(A4,":"))</f>
        <v>Unique</v>
      </c>
      <c r="C6" s="18" t="s">
        <v>2211</v>
      </c>
      <c r="D6" s="16" t="str">
        <f>TRIM(_xlfn.TEXTAFTER(C4,":"))</f>
        <v>Einzigartig</v>
      </c>
      <c r="E6" s="18" t="s">
        <v>2931</v>
      </c>
      <c r="F6" s="16" t="str">
        <f>TRIM(_xlfn.TEXTAFTER(E4,":"))</f>
        <v>Único</v>
      </c>
      <c r="G6" s="18" t="s">
        <v>1465</v>
      </c>
      <c r="H6" s="16" t="str">
        <f>TRIM(_xlfn.TEXTAFTER(G4,":"))</f>
        <v>Unique</v>
      </c>
      <c r="I6" s="18" t="s">
        <v>3673</v>
      </c>
      <c r="J6" s="16" t="str">
        <f>TRIM(_xlfn.TEXTAFTER(I4,":"))</f>
        <v>ユニーク</v>
      </c>
      <c r="K6" s="18" t="s">
        <v>4411</v>
      </c>
      <c r="L6" s="16" t="str">
        <f>TRIM(_xlfn.TEXTAFTER(K4,":"))</f>
        <v>고유</v>
      </c>
      <c r="M6" s="18" t="s">
        <v>5080</v>
      </c>
      <c r="N6" s="16" t="str">
        <f>TRIM(_xlfn.TEXTAFTER(M4,":"))</f>
        <v>Único</v>
      </c>
      <c r="O6" s="18" t="s">
        <v>5828</v>
      </c>
      <c r="P6" s="16" t="str">
        <f>TRIM(_xlfn.TEXTAFTER(O4,":"))</f>
        <v>Уникальный</v>
      </c>
      <c r="Q6" s="18" t="s">
        <v>304</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305</v>
      </c>
      <c r="B8" s="16"/>
      <c r="C8" s="18" t="s">
        <v>2212</v>
      </c>
      <c r="D8" s="16"/>
      <c r="E8" s="18" t="s">
        <v>2932</v>
      </c>
      <c r="F8" s="16"/>
      <c r="G8" s="18" t="s">
        <v>1466</v>
      </c>
      <c r="H8" s="16"/>
      <c r="I8" s="18" t="s">
        <v>3674</v>
      </c>
      <c r="J8" s="16"/>
      <c r="K8" s="18" t="s">
        <v>4412</v>
      </c>
      <c r="L8" s="16"/>
      <c r="M8" s="18" t="s">
        <v>5081</v>
      </c>
      <c r="N8" s="16"/>
      <c r="O8" s="18" t="s">
        <v>5829</v>
      </c>
      <c r="P8" s="16"/>
      <c r="Q8" s="18" t="s">
        <v>6460</v>
      </c>
      <c r="R8" s="16"/>
      <c r="S8" s="18"/>
      <c r="T8" s="16"/>
    </row>
    <row r="9" spans="1:20" ht="15.95" customHeight="1" x14ac:dyDescent="0.25">
      <c r="A9" s="18" t="s">
        <v>306</v>
      </c>
      <c r="B9" s="16"/>
      <c r="C9" s="18" t="s">
        <v>2213</v>
      </c>
      <c r="D9" s="16"/>
      <c r="E9" s="18" t="s">
        <v>2933</v>
      </c>
      <c r="F9" s="16"/>
      <c r="G9" s="18" t="s">
        <v>1467</v>
      </c>
      <c r="H9" s="16"/>
      <c r="I9" s="18" t="s">
        <v>3675</v>
      </c>
      <c r="J9" s="16"/>
      <c r="K9" s="18" t="s">
        <v>4413</v>
      </c>
      <c r="L9" s="16"/>
      <c r="M9" s="18" t="s">
        <v>5082</v>
      </c>
      <c r="N9" s="16"/>
      <c r="O9" s="18" t="s">
        <v>5830</v>
      </c>
      <c r="P9" s="16"/>
      <c r="Q9" s="18" t="s">
        <v>6461</v>
      </c>
      <c r="R9" s="16"/>
      <c r="S9" s="18"/>
      <c r="T9" s="16"/>
    </row>
    <row r="10" spans="1:20" ht="15.95" customHeight="1" x14ac:dyDescent="0.25">
      <c r="A10" s="18" t="s">
        <v>185</v>
      </c>
      <c r="B10" s="16"/>
      <c r="C10" s="18" t="s">
        <v>2108</v>
      </c>
      <c r="D10" s="16"/>
      <c r="E10" s="18" t="s">
        <v>2826</v>
      </c>
      <c r="F10" s="16"/>
      <c r="G10" s="18" t="s">
        <v>1364</v>
      </c>
      <c r="H10" s="16"/>
      <c r="I10" s="18" t="s">
        <v>3565</v>
      </c>
      <c r="J10" s="16"/>
      <c r="K10" s="18" t="s">
        <v>4303</v>
      </c>
      <c r="L10" s="16"/>
      <c r="M10" s="18" t="s">
        <v>4984</v>
      </c>
      <c r="N10" s="16"/>
      <c r="O10" s="18" t="s">
        <v>5720</v>
      </c>
      <c r="P10" s="16"/>
      <c r="Q10" s="18" t="s">
        <v>6372</v>
      </c>
      <c r="R10" s="16"/>
      <c r="S10" s="18"/>
      <c r="T10" s="16"/>
    </row>
    <row r="11" spans="1:20" ht="15.95" customHeight="1" x14ac:dyDescent="0.25">
      <c r="A11" s="18" t="s">
        <v>307</v>
      </c>
      <c r="B11" s="16"/>
      <c r="C11" s="18" t="s">
        <v>2214</v>
      </c>
      <c r="D11" s="16"/>
      <c r="E11" s="18" t="s">
        <v>2934</v>
      </c>
      <c r="F11" s="16"/>
      <c r="G11" s="18" t="s">
        <v>1468</v>
      </c>
      <c r="H11" s="16"/>
      <c r="I11" s="18" t="s">
        <v>3676</v>
      </c>
      <c r="J11" s="16"/>
      <c r="K11" s="18" t="s">
        <v>4414</v>
      </c>
      <c r="L11" s="16"/>
      <c r="M11" s="18" t="s">
        <v>5083</v>
      </c>
      <c r="N11" s="16"/>
      <c r="O11" s="18" t="s">
        <v>5831</v>
      </c>
      <c r="P11" s="16"/>
      <c r="Q11" s="18" t="s">
        <v>6462</v>
      </c>
      <c r="R11" s="16"/>
      <c r="S11" s="18"/>
      <c r="T11" s="16"/>
    </row>
    <row r="12" spans="1:20" ht="15.95" customHeight="1" x14ac:dyDescent="0.25">
      <c r="A12" s="18" t="s">
        <v>226</v>
      </c>
      <c r="B12" s="16"/>
      <c r="C12" s="18" t="s">
        <v>2063</v>
      </c>
      <c r="D12" s="16"/>
      <c r="E12" s="18" t="s">
        <v>2782</v>
      </c>
      <c r="F12" s="16"/>
      <c r="G12" s="18" t="s">
        <v>1317</v>
      </c>
      <c r="H12" s="16"/>
      <c r="I12" s="18" t="s">
        <v>3516</v>
      </c>
      <c r="J12" s="16"/>
      <c r="K12" s="18" t="s">
        <v>4256</v>
      </c>
      <c r="L12" s="16"/>
      <c r="M12" s="18" t="s">
        <v>4941</v>
      </c>
      <c r="N12" s="16"/>
      <c r="O12" s="18" t="s">
        <v>5671</v>
      </c>
      <c r="P12" s="16"/>
      <c r="Q12" s="18" t="s">
        <v>6334</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81</v>
      </c>
      <c r="B14" s="16"/>
      <c r="C14" s="18" t="s">
        <v>1589</v>
      </c>
      <c r="D14" s="16"/>
      <c r="E14" s="18" t="s">
        <v>2308</v>
      </c>
      <c r="F14" s="16"/>
      <c r="G14" s="18" t="s">
        <v>5</v>
      </c>
      <c r="H14" s="16"/>
      <c r="I14" s="18" t="s">
        <v>3018</v>
      </c>
      <c r="J14" s="16"/>
      <c r="K14" s="18" t="s">
        <v>3772</v>
      </c>
      <c r="L14" s="16"/>
      <c r="M14" s="18" t="s">
        <v>2308</v>
      </c>
      <c r="N14" s="16"/>
      <c r="O14" s="18" t="s">
        <v>5183</v>
      </c>
      <c r="P14" s="16"/>
      <c r="Q14" s="18" t="s">
        <v>5928</v>
      </c>
      <c r="R14" s="16"/>
      <c r="S14" s="18"/>
      <c r="T14" s="21"/>
    </row>
    <row r="15" spans="1:20" ht="15.95" customHeight="1" x14ac:dyDescent="0.25">
      <c r="A15" s="18" t="s">
        <v>308</v>
      </c>
      <c r="B15" s="16"/>
      <c r="C15" s="18" t="s">
        <v>1853</v>
      </c>
      <c r="D15" s="16"/>
      <c r="E15" s="18" t="s">
        <v>2571</v>
      </c>
      <c r="F15" s="16"/>
      <c r="G15" s="18" t="s">
        <v>1116</v>
      </c>
      <c r="H15" s="16"/>
      <c r="I15" s="18" t="s">
        <v>3295</v>
      </c>
      <c r="J15" s="16"/>
      <c r="K15" s="18" t="s">
        <v>4040</v>
      </c>
      <c r="L15" s="16"/>
      <c r="M15" s="18" t="s">
        <v>4761</v>
      </c>
      <c r="N15" s="16"/>
      <c r="O15" s="18" t="s">
        <v>5454</v>
      </c>
      <c r="P15" s="16"/>
      <c r="Q15" s="18" t="s">
        <v>6163</v>
      </c>
      <c r="R15" s="16"/>
      <c r="S15" s="18"/>
      <c r="T15" s="21"/>
    </row>
    <row r="16" spans="1:20" ht="15.95" customHeight="1" x14ac:dyDescent="0.25">
      <c r="A16" s="18" t="s">
        <v>309</v>
      </c>
      <c r="B16" s="16"/>
      <c r="C16" s="18" t="s">
        <v>309</v>
      </c>
      <c r="D16" s="16"/>
      <c r="E16" s="18" t="s">
        <v>2935</v>
      </c>
      <c r="F16" s="16"/>
      <c r="G16" s="18" t="s">
        <v>1469</v>
      </c>
      <c r="H16" s="16"/>
      <c r="I16" s="18" t="s">
        <v>3677</v>
      </c>
      <c r="J16" s="16"/>
      <c r="K16" s="18" t="s">
        <v>4415</v>
      </c>
      <c r="L16" s="16"/>
      <c r="M16" s="18" t="s">
        <v>1469</v>
      </c>
      <c r="N16" s="16"/>
      <c r="O16" s="18" t="s">
        <v>5832</v>
      </c>
      <c r="P16" s="16"/>
      <c r="Q16" s="18" t="s">
        <v>309</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310</v>
      </c>
      <c r="B18" s="16"/>
      <c r="C18" s="18" t="s">
        <v>2215</v>
      </c>
      <c r="D18" s="16"/>
      <c r="E18" s="18" t="s">
        <v>2936</v>
      </c>
      <c r="F18" s="16"/>
      <c r="G18" s="18" t="s">
        <v>1470</v>
      </c>
      <c r="H18" s="16"/>
      <c r="I18" s="18" t="s">
        <v>3678</v>
      </c>
      <c r="J18" s="16"/>
      <c r="K18" s="18" t="s">
        <v>4416</v>
      </c>
      <c r="L18" s="16"/>
      <c r="M18" s="18" t="s">
        <v>5084</v>
      </c>
      <c r="N18" s="16"/>
      <c r="O18" s="18" t="s">
        <v>5833</v>
      </c>
      <c r="P18" s="16"/>
      <c r="Q18" s="18" t="s">
        <v>6463</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311</v>
      </c>
      <c r="B20" s="16"/>
      <c r="C20" s="18" t="s">
        <v>1880</v>
      </c>
      <c r="D20" s="16"/>
      <c r="E20" s="18" t="s">
        <v>2598</v>
      </c>
      <c r="F20" s="16"/>
      <c r="G20" s="18" t="s">
        <v>1141</v>
      </c>
      <c r="H20" s="16"/>
      <c r="I20" s="18" t="s">
        <v>3323</v>
      </c>
      <c r="J20" s="16"/>
      <c r="K20" s="18" t="s">
        <v>4068</v>
      </c>
      <c r="L20" s="16"/>
      <c r="M20" s="18" t="s">
        <v>4786</v>
      </c>
      <c r="N20" s="16"/>
      <c r="O20" s="18" t="s">
        <v>5482</v>
      </c>
      <c r="P20" s="16"/>
      <c r="Q20" s="18" t="s">
        <v>6184</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312</v>
      </c>
      <c r="B22" s="16"/>
      <c r="C22" s="18" t="s">
        <v>2216</v>
      </c>
      <c r="D22" s="16"/>
      <c r="E22" s="18" t="s">
        <v>2937</v>
      </c>
      <c r="F22" s="16"/>
      <c r="G22" s="18" t="s">
        <v>1471</v>
      </c>
      <c r="H22" s="16"/>
      <c r="I22" s="18" t="s">
        <v>3679</v>
      </c>
      <c r="J22" s="16"/>
      <c r="K22" s="18" t="s">
        <v>4417</v>
      </c>
      <c r="L22" s="16"/>
      <c r="M22" s="18" t="s">
        <v>5085</v>
      </c>
      <c r="N22" s="16"/>
      <c r="O22" s="18" t="s">
        <v>5834</v>
      </c>
      <c r="P22" s="16"/>
      <c r="Q22" s="18" t="s">
        <v>6464</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313</v>
      </c>
      <c r="B24" s="16"/>
      <c r="C24" s="18" t="s">
        <v>2217</v>
      </c>
      <c r="D24" s="16"/>
      <c r="E24" s="18" t="s">
        <v>2938</v>
      </c>
      <c r="F24" s="16"/>
      <c r="G24" s="18" t="s">
        <v>1472</v>
      </c>
      <c r="H24" s="16"/>
      <c r="I24" s="18" t="s">
        <v>3680</v>
      </c>
      <c r="J24" s="16"/>
      <c r="K24" s="18" t="s">
        <v>4418</v>
      </c>
      <c r="L24" s="16"/>
      <c r="M24" s="18" t="s">
        <v>5086</v>
      </c>
      <c r="N24" s="16"/>
      <c r="O24" s="18" t="s">
        <v>5835</v>
      </c>
      <c r="P24" s="16"/>
      <c r="Q24" s="18" t="s">
        <v>6465</v>
      </c>
      <c r="R24" s="16"/>
      <c r="S24" s="18"/>
      <c r="T24" s="21"/>
    </row>
    <row r="25" spans="1:20" ht="15.95" customHeight="1" x14ac:dyDescent="0.25">
      <c r="A25" s="18" t="s">
        <v>314</v>
      </c>
      <c r="B25" s="16"/>
      <c r="C25" s="18" t="s">
        <v>2218</v>
      </c>
      <c r="D25" s="16"/>
      <c r="E25" s="18" t="s">
        <v>2939</v>
      </c>
      <c r="F25" s="16"/>
      <c r="G25" s="18" t="s">
        <v>1473</v>
      </c>
      <c r="H25" s="16"/>
      <c r="I25" s="18" t="s">
        <v>3681</v>
      </c>
      <c r="J25" s="16"/>
      <c r="K25" s="18" t="s">
        <v>4419</v>
      </c>
      <c r="L25" s="16"/>
      <c r="M25" s="18" t="s">
        <v>5087</v>
      </c>
      <c r="N25" s="16"/>
      <c r="O25" s="18" t="s">
        <v>5836</v>
      </c>
      <c r="P25" s="16"/>
      <c r="Q25" s="18" t="s">
        <v>6466</v>
      </c>
      <c r="R25" s="16"/>
      <c r="S25" s="18"/>
      <c r="T25" s="21"/>
    </row>
    <row r="26" spans="1:20" ht="15.95" customHeight="1" x14ac:dyDescent="0.25">
      <c r="A26" s="18" t="s">
        <v>315</v>
      </c>
      <c r="B26" s="16"/>
      <c r="C26" s="18" t="s">
        <v>2219</v>
      </c>
      <c r="D26" s="16"/>
      <c r="E26" s="18" t="s">
        <v>2940</v>
      </c>
      <c r="F26" s="16"/>
      <c r="G26" s="18" t="s">
        <v>1474</v>
      </c>
      <c r="H26" s="16"/>
      <c r="I26" s="18" t="s">
        <v>3682</v>
      </c>
      <c r="J26" s="16"/>
      <c r="K26" s="18" t="s">
        <v>4420</v>
      </c>
      <c r="L26" s="16"/>
      <c r="M26" s="18" t="s">
        <v>5088</v>
      </c>
      <c r="N26" s="16"/>
      <c r="O26" s="18" t="s">
        <v>5837</v>
      </c>
      <c r="P26" s="16"/>
      <c r="Q26" s="18" t="s">
        <v>6467</v>
      </c>
      <c r="R26" s="16"/>
      <c r="S26" s="18"/>
      <c r="T26" s="21"/>
    </row>
    <row r="27" spans="1:20" ht="15.95" customHeight="1" x14ac:dyDescent="0.25">
      <c r="A27" s="18" t="s">
        <v>316</v>
      </c>
      <c r="B27" s="16"/>
      <c r="C27" s="18" t="s">
        <v>2220</v>
      </c>
      <c r="D27" s="16"/>
      <c r="E27" s="18" t="s">
        <v>2941</v>
      </c>
      <c r="F27" s="16"/>
      <c r="G27" s="18" t="s">
        <v>1475</v>
      </c>
      <c r="H27" s="16"/>
      <c r="I27" s="18" t="s">
        <v>3683</v>
      </c>
      <c r="J27" s="16"/>
      <c r="K27" s="18" t="s">
        <v>4421</v>
      </c>
      <c r="L27" s="16"/>
      <c r="M27" s="18" t="s">
        <v>5089</v>
      </c>
      <c r="N27" s="16"/>
      <c r="O27" s="18" t="s">
        <v>5838</v>
      </c>
      <c r="P27" s="16"/>
      <c r="Q27" s="18" t="s">
        <v>6468</v>
      </c>
      <c r="R27" s="16"/>
      <c r="S27" s="18"/>
      <c r="T27" s="21"/>
    </row>
    <row r="28" spans="1:20" ht="15.95" customHeight="1" x14ac:dyDescent="0.25">
      <c r="A28" s="18" t="s">
        <v>83</v>
      </c>
      <c r="B28" s="16"/>
      <c r="C28" s="18" t="s">
        <v>2221</v>
      </c>
      <c r="D28" s="16"/>
      <c r="E28" s="18" t="s">
        <v>2942</v>
      </c>
      <c r="F28" s="16"/>
      <c r="G28" s="18" t="s">
        <v>1476</v>
      </c>
      <c r="H28" s="16"/>
      <c r="I28" s="18" t="s">
        <v>3684</v>
      </c>
      <c r="J28" s="16"/>
      <c r="K28" s="18" t="s">
        <v>4422</v>
      </c>
      <c r="L28" s="16"/>
      <c r="M28" s="18" t="s">
        <v>5090</v>
      </c>
      <c r="N28" s="16"/>
      <c r="O28" s="18" t="s">
        <v>5839</v>
      </c>
      <c r="P28" s="16"/>
      <c r="Q28" s="18" t="s">
        <v>6469</v>
      </c>
      <c r="R28" s="16"/>
      <c r="S28" s="18"/>
      <c r="T28" s="21"/>
    </row>
    <row r="29" spans="1:20" ht="15.95" customHeight="1" x14ac:dyDescent="0.25">
      <c r="A29" s="18" t="s">
        <v>4</v>
      </c>
      <c r="B29" s="16"/>
      <c r="C29" s="18" t="s">
        <v>4</v>
      </c>
      <c r="D29" s="16"/>
      <c r="E29" s="18" t="s">
        <v>4</v>
      </c>
      <c r="F29" s="16"/>
      <c r="G29" s="18" t="s">
        <v>4</v>
      </c>
      <c r="H29" s="16"/>
      <c r="I29" s="18" t="s">
        <v>4</v>
      </c>
      <c r="J29" s="16"/>
      <c r="K29" s="18" t="s">
        <v>4</v>
      </c>
      <c r="L29" s="16"/>
      <c r="M29" s="18" t="s">
        <v>4</v>
      </c>
      <c r="N29" s="16"/>
      <c r="O29" s="18" t="s">
        <v>4</v>
      </c>
      <c r="P29" s="16"/>
      <c r="Q29" s="18" t="s">
        <v>4</v>
      </c>
      <c r="R29" s="16"/>
      <c r="S29" s="18"/>
      <c r="T29" s="21"/>
    </row>
    <row r="30" spans="1:20" ht="15.95" customHeight="1" x14ac:dyDescent="0.25">
      <c r="A30" s="18" t="s">
        <v>317</v>
      </c>
      <c r="B30" s="16"/>
      <c r="C30" s="18" t="s">
        <v>2222</v>
      </c>
      <c r="D30" s="16"/>
      <c r="E30" s="18" t="s">
        <v>2943</v>
      </c>
      <c r="F30" s="16"/>
      <c r="G30" s="18" t="s">
        <v>1477</v>
      </c>
      <c r="H30" s="16"/>
      <c r="I30" s="18" t="s">
        <v>3685</v>
      </c>
      <c r="J30" s="16"/>
      <c r="K30" s="18" t="s">
        <v>4423</v>
      </c>
      <c r="L30" s="16"/>
      <c r="M30" s="18" t="s">
        <v>5091</v>
      </c>
      <c r="N30" s="16"/>
      <c r="O30" s="18" t="s">
        <v>5840</v>
      </c>
      <c r="P30" s="16"/>
      <c r="Q30" s="18" t="s">
        <v>6470</v>
      </c>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28" priority="2" stopIfTrue="1">
      <formula>NOT(ISERROR(A3))</formula>
    </cfRule>
  </conditionalFormatting>
  <conditionalFormatting sqref="A3:T51">
    <cfRule type="containsErrors" dxfId="227" priority="1" stopIfTrue="1">
      <formula>ISERROR(A3)</formula>
    </cfRule>
    <cfRule type="notContainsBlanks" dxfId="226" priority="3">
      <formula>LEN(TRIM(A3))&gt;0</formula>
    </cfRule>
  </conditionalFormatting>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5DCA0C-F3E8-4052-861D-F1E2ED598701}">
  <sheetPr codeName="Sheet57"/>
  <dimension ref="A1:T51"/>
  <sheetViews>
    <sheetView workbookViewId="0">
      <selection activeCell="Q3" sqref="Q3:Q22"/>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9" t="s">
        <v>84</v>
      </c>
    </row>
    <row r="3" spans="1:20" ht="15.95" customHeight="1" x14ac:dyDescent="0.25">
      <c r="A3" s="17" t="s">
        <v>483</v>
      </c>
      <c r="B3" s="16" t="str">
        <f>TRIM(_xlfn.TEXTBEFORE(A3, ":"))</f>
        <v>Item Class</v>
      </c>
      <c r="C3" s="17" t="s">
        <v>2223</v>
      </c>
      <c r="D3" s="16" t="str">
        <f>TRIM(_xlfn.TEXTBEFORE(C3, ":"))</f>
        <v>Gegenstandsklasse</v>
      </c>
      <c r="E3" s="17" t="s">
        <v>2944</v>
      </c>
      <c r="F3" s="16" t="str">
        <f>TRIM(_xlfn.TEXTBEFORE(E3, ":"))</f>
        <v>Clase de objeto</v>
      </c>
      <c r="G3" s="17" t="s">
        <v>1478</v>
      </c>
      <c r="H3" s="16" t="str">
        <f>TRIM(_xlfn.TEXTBEFORE(G3, ":"))</f>
        <v>Classe d'objet</v>
      </c>
      <c r="I3" s="17" t="s">
        <v>3686</v>
      </c>
      <c r="J3" s="16" t="str">
        <f>TRIM(_xlfn.TEXTBEFORE(I3, ":"))</f>
        <v>アイテムクラス</v>
      </c>
      <c r="K3" s="17" t="s">
        <v>4424</v>
      </c>
      <c r="L3" s="16" t="str">
        <f>TRIM(_xlfn.TEXTBEFORE(K3, ":"))</f>
        <v>아이템 종류</v>
      </c>
      <c r="M3" s="17" t="s">
        <v>5092</v>
      </c>
      <c r="N3" s="16" t="str">
        <f>TRIM(_xlfn.TEXTBEFORE(M3, ":"))</f>
        <v>Classe do Item</v>
      </c>
      <c r="O3" s="17" t="s">
        <v>5841</v>
      </c>
      <c r="P3" s="16" t="str">
        <f>TRIM(_xlfn.TEXTBEFORE(O3, ":"))</f>
        <v>Класс предмета</v>
      </c>
      <c r="Q3" s="17" t="s">
        <v>6471</v>
      </c>
      <c r="R3" s="16" t="str">
        <f>TRIM(_xlfn.TEXTBEFORE(Q3, ":"))</f>
        <v>ชนิดไอเทม</v>
      </c>
      <c r="S3" s="17"/>
      <c r="T3" s="16" t="e">
        <f>TRIM(_xlfn.TEXTBEFORE(S3, ":"))</f>
        <v>#N/A</v>
      </c>
    </row>
    <row r="4" spans="1:20" ht="15.95" customHeight="1" x14ac:dyDescent="0.25">
      <c r="A4" s="18" t="s">
        <v>484</v>
      </c>
      <c r="B4" s="16" t="str">
        <f>TRIM(_xlfn.TEXTAFTER(A3, ":"))</f>
        <v>Heist Brooches</v>
      </c>
      <c r="C4" s="18" t="s">
        <v>1850</v>
      </c>
      <c r="D4" s="16" t="str">
        <f>TRIM(_xlfn.TEXTAFTER(C3, ":"))</f>
        <v>Heist-Broschen</v>
      </c>
      <c r="E4" s="18" t="s">
        <v>2568</v>
      </c>
      <c r="F4" s="16" t="str">
        <f>TRIM(_xlfn.TEXTAFTER(E3, ":"))</f>
        <v>Broches de Heist</v>
      </c>
      <c r="G4" s="18" t="s">
        <v>1113</v>
      </c>
      <c r="H4" s="16" t="str">
        <f>TRIM(_xlfn.TEXTAFTER(G3, ":"))</f>
        <v>Broches de Malfaiteur</v>
      </c>
      <c r="I4" s="18" t="s">
        <v>3292</v>
      </c>
      <c r="J4" s="16" t="str">
        <f>TRIM(_xlfn.TEXTAFTER(I3, ":"))</f>
        <v>ハイストブローチ</v>
      </c>
      <c r="K4" s="18" t="s">
        <v>4037</v>
      </c>
      <c r="L4" s="16" t="str">
        <f>TRIM(_xlfn.TEXTAFTER(K3, ":"))</f>
        <v>강탈 브로치</v>
      </c>
      <c r="M4" s="18" t="s">
        <v>4758</v>
      </c>
      <c r="N4" s="16" t="str">
        <f>TRIM(_xlfn.TEXTAFTER(M3, ":"))</f>
        <v>Broches Heist</v>
      </c>
      <c r="O4" s="18" t="s">
        <v>5451</v>
      </c>
      <c r="P4" s="16" t="str">
        <f>TRIM(_xlfn.TEXTAFTER(O3, ":"))</f>
        <v>Разбойничьи броши</v>
      </c>
      <c r="Q4" s="18" t="s">
        <v>6162</v>
      </c>
      <c r="R4" s="16" t="str">
        <f>TRIM(_xlfn.TEXTAFTER(Q3, ":"))</f>
        <v>เข็มกลัดกองโจร</v>
      </c>
      <c r="S4" s="18"/>
      <c r="T4" s="16" t="e">
        <f>TRIM(_xlfn.TEXTAFTER(S3, ":"))</f>
        <v>#N/A</v>
      </c>
    </row>
    <row r="5" spans="1:20" ht="15.95" customHeight="1" x14ac:dyDescent="0.25">
      <c r="A5" s="18" t="s">
        <v>485</v>
      </c>
      <c r="B5" s="16" t="str">
        <f>TRIM(_xlfn.TEXTBEFORE(A4, ":"))</f>
        <v>Rarity</v>
      </c>
      <c r="C5" s="18" t="s">
        <v>2224</v>
      </c>
      <c r="D5" s="16" t="str">
        <f>TRIM(_xlfn.TEXTBEFORE(C4, ":"))</f>
        <v>Seltenheit</v>
      </c>
      <c r="E5" s="18" t="s">
        <v>2945</v>
      </c>
      <c r="F5" s="16" t="str">
        <f>TRIM(_xlfn.TEXTBEFORE(E4, ":"))</f>
        <v>Rareza</v>
      </c>
      <c r="G5" s="18" t="s">
        <v>1479</v>
      </c>
      <c r="H5" s="16" t="str">
        <f>TRIM(_xlfn.TEXTBEFORE(G4, ":"))</f>
        <v>Rareté</v>
      </c>
      <c r="I5" s="18" t="s">
        <v>3687</v>
      </c>
      <c r="J5" s="16" t="str">
        <f>TRIM(_xlfn.TEXTBEFORE(I4, ":"))</f>
        <v>レアリティ</v>
      </c>
      <c r="K5" s="18" t="s">
        <v>4425</v>
      </c>
      <c r="L5" s="16" t="str">
        <f>TRIM(_xlfn.TEXTBEFORE(K4, ":"))</f>
        <v>아이템 희귀도</v>
      </c>
      <c r="M5" s="18" t="s">
        <v>5093</v>
      </c>
      <c r="N5" s="16" t="str">
        <f>TRIM(_xlfn.TEXTBEFORE(M4, ":"))</f>
        <v>Raridade</v>
      </c>
      <c r="O5" s="18" t="s">
        <v>5842</v>
      </c>
      <c r="P5" s="16" t="str">
        <f>TRIM(_xlfn.TEXTBEFORE(O4, ":"))</f>
        <v>Редкость</v>
      </c>
      <c r="Q5" s="18" t="s">
        <v>485</v>
      </c>
      <c r="R5" s="16" t="str">
        <f>TRIM(_xlfn.TEXTBEFORE(Q4, ":"))</f>
        <v>ความหายาก</v>
      </c>
      <c r="S5" s="18"/>
      <c r="T5" s="16" t="e">
        <f>TRIM(_xlfn.TEXTBEFORE(S4, ":"))</f>
        <v>#N/A</v>
      </c>
    </row>
    <row r="6" spans="1:20" ht="15.95" customHeight="1" x14ac:dyDescent="0.25">
      <c r="A6" s="18" t="s">
        <v>486</v>
      </c>
      <c r="B6" s="16" t="str">
        <f>TRIM(_xlfn.TEXTAFTER(A4,":"))</f>
        <v>Rare</v>
      </c>
      <c r="C6" s="18" t="s">
        <v>2225</v>
      </c>
      <c r="D6" s="16" t="str">
        <f>TRIM(_xlfn.TEXTAFTER(C4,":"))</f>
        <v>Selten</v>
      </c>
      <c r="E6" s="18" t="s">
        <v>2946</v>
      </c>
      <c r="F6" s="16" t="str">
        <f>TRIM(_xlfn.TEXTAFTER(E4,":"))</f>
        <v>Raro</v>
      </c>
      <c r="G6" s="18" t="s">
        <v>1480</v>
      </c>
      <c r="H6" s="16" t="str">
        <f>TRIM(_xlfn.TEXTAFTER(G4,":"))</f>
        <v>Rare</v>
      </c>
      <c r="I6" s="18" t="s">
        <v>3688</v>
      </c>
      <c r="J6" s="16" t="str">
        <f>TRIM(_xlfn.TEXTAFTER(I4,":"))</f>
        <v>レア</v>
      </c>
      <c r="K6" s="18" t="s">
        <v>4426</v>
      </c>
      <c r="L6" s="16" t="str">
        <f>TRIM(_xlfn.TEXTAFTER(K4,":"))</f>
        <v>희귀</v>
      </c>
      <c r="M6" s="18" t="s">
        <v>5094</v>
      </c>
      <c r="N6" s="16" t="str">
        <f>TRIM(_xlfn.TEXTAFTER(M4,":"))</f>
        <v>Raro</v>
      </c>
      <c r="O6" s="18" t="s">
        <v>5843</v>
      </c>
      <c r="P6" s="16" t="str">
        <f>TRIM(_xlfn.TEXTAFTER(O4,":"))</f>
        <v>Редкий</v>
      </c>
      <c r="Q6" s="18" t="s">
        <v>6472</v>
      </c>
      <c r="R6" s="16" t="str">
        <f>TRIM(_xlfn.TEXTAFTER(Q4,":"))</f>
        <v>แรร์</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487</v>
      </c>
      <c r="B8" s="16"/>
      <c r="C8" s="18" t="s">
        <v>2226</v>
      </c>
      <c r="D8" s="16"/>
      <c r="E8" s="18" t="s">
        <v>2947</v>
      </c>
      <c r="F8" s="16"/>
      <c r="G8" s="18" t="s">
        <v>1481</v>
      </c>
      <c r="H8" s="16"/>
      <c r="I8" s="18" t="s">
        <v>3689</v>
      </c>
      <c r="J8" s="16"/>
      <c r="K8" s="18" t="s">
        <v>4427</v>
      </c>
      <c r="L8" s="16"/>
      <c r="M8" s="18" t="s">
        <v>5095</v>
      </c>
      <c r="N8" s="16"/>
      <c r="O8" s="18" t="s">
        <v>5844</v>
      </c>
      <c r="P8" s="16"/>
      <c r="Q8" s="18" t="s">
        <v>6473</v>
      </c>
      <c r="R8" s="16"/>
      <c r="S8" s="18"/>
      <c r="T8" s="16"/>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81</v>
      </c>
      <c r="B10" s="16"/>
      <c r="C10" s="18" t="s">
        <v>1589</v>
      </c>
      <c r="D10" s="16"/>
      <c r="E10" s="18" t="s">
        <v>2308</v>
      </c>
      <c r="F10" s="16"/>
      <c r="G10" s="18" t="s">
        <v>5</v>
      </c>
      <c r="H10" s="16"/>
      <c r="I10" s="18" t="s">
        <v>3018</v>
      </c>
      <c r="J10" s="16"/>
      <c r="K10" s="18" t="s">
        <v>3772</v>
      </c>
      <c r="L10" s="16"/>
      <c r="M10" s="18" t="s">
        <v>2308</v>
      </c>
      <c r="N10" s="16"/>
      <c r="O10" s="18" t="s">
        <v>5183</v>
      </c>
      <c r="P10" s="16"/>
      <c r="Q10" s="18" t="s">
        <v>5928</v>
      </c>
      <c r="R10" s="16"/>
      <c r="S10" s="18"/>
      <c r="T10" s="16"/>
    </row>
    <row r="11" spans="1:20" ht="15.95" customHeight="1" x14ac:dyDescent="0.25">
      <c r="A11" s="18" t="s">
        <v>488</v>
      </c>
      <c r="B11" s="16"/>
      <c r="C11" s="18" t="s">
        <v>2227</v>
      </c>
      <c r="D11" s="16"/>
      <c r="E11" s="18" t="s">
        <v>2948</v>
      </c>
      <c r="F11" s="16"/>
      <c r="G11" s="18" t="s">
        <v>1482</v>
      </c>
      <c r="H11" s="16"/>
      <c r="I11" s="18" t="s">
        <v>3690</v>
      </c>
      <c r="J11" s="16"/>
      <c r="K11" s="18" t="s">
        <v>4428</v>
      </c>
      <c r="L11" s="16"/>
      <c r="M11" s="18" t="s">
        <v>5096</v>
      </c>
      <c r="N11" s="16"/>
      <c r="O11" s="18" t="s">
        <v>5845</v>
      </c>
      <c r="P11" s="16"/>
      <c r="Q11" s="18" t="s">
        <v>6474</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433</v>
      </c>
      <c r="B13" s="16"/>
      <c r="C13" s="18" t="s">
        <v>1699</v>
      </c>
      <c r="D13" s="16"/>
      <c r="E13" s="18" t="s">
        <v>2418</v>
      </c>
      <c r="F13" s="16"/>
      <c r="G13" s="18" t="s">
        <v>967</v>
      </c>
      <c r="H13" s="16"/>
      <c r="I13" s="18" t="s">
        <v>3136</v>
      </c>
      <c r="J13" s="16"/>
      <c r="K13" s="18" t="s">
        <v>3883</v>
      </c>
      <c r="L13" s="16"/>
      <c r="M13" s="18" t="s">
        <v>4612</v>
      </c>
      <c r="N13" s="16"/>
      <c r="O13" s="18" t="s">
        <v>5297</v>
      </c>
      <c r="P13" s="16"/>
      <c r="Q13" s="18" t="s">
        <v>6030</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489</v>
      </c>
      <c r="B15" s="16"/>
      <c r="C15" s="18" t="s">
        <v>2228</v>
      </c>
      <c r="D15" s="16"/>
      <c r="E15" s="18" t="s">
        <v>2949</v>
      </c>
      <c r="F15" s="16"/>
      <c r="G15" s="18" t="s">
        <v>1483</v>
      </c>
      <c r="H15" s="16"/>
      <c r="I15" s="18" t="s">
        <v>3691</v>
      </c>
      <c r="J15" s="16"/>
      <c r="K15" s="18" t="s">
        <v>4429</v>
      </c>
      <c r="L15" s="16"/>
      <c r="M15" s="18" t="s">
        <v>5097</v>
      </c>
      <c r="N15" s="16"/>
      <c r="O15" s="18" t="s">
        <v>5846</v>
      </c>
      <c r="P15" s="16"/>
      <c r="Q15" s="18" t="s">
        <v>6475</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490</v>
      </c>
      <c r="B17" s="16"/>
      <c r="C17" s="18" t="s">
        <v>2229</v>
      </c>
      <c r="D17" s="16"/>
      <c r="E17" s="18" t="s">
        <v>2950</v>
      </c>
      <c r="F17" s="16"/>
      <c r="G17" s="18" t="s">
        <v>1484</v>
      </c>
      <c r="H17" s="16"/>
      <c r="I17" s="18" t="s">
        <v>3692</v>
      </c>
      <c r="J17" s="16"/>
      <c r="K17" s="18" t="s">
        <v>4430</v>
      </c>
      <c r="L17" s="16"/>
      <c r="M17" s="18" t="s">
        <v>5098</v>
      </c>
      <c r="N17" s="16"/>
      <c r="O17" s="18" t="s">
        <v>5847</v>
      </c>
      <c r="P17" s="16"/>
      <c r="Q17" s="18" t="s">
        <v>6476</v>
      </c>
      <c r="R17" s="16"/>
      <c r="S17" s="18"/>
      <c r="T17" s="21"/>
    </row>
    <row r="18" spans="1:20" ht="15.95" customHeight="1" x14ac:dyDescent="0.25">
      <c r="A18" s="18" t="s">
        <v>491</v>
      </c>
      <c r="B18" s="16"/>
      <c r="C18" s="18" t="s">
        <v>2230</v>
      </c>
      <c r="D18" s="16"/>
      <c r="E18" s="18" t="s">
        <v>2951</v>
      </c>
      <c r="F18" s="16"/>
      <c r="G18" s="18" t="s">
        <v>1485</v>
      </c>
      <c r="H18" s="16"/>
      <c r="I18" s="18" t="s">
        <v>3693</v>
      </c>
      <c r="J18" s="16"/>
      <c r="K18" s="18" t="s">
        <v>4431</v>
      </c>
      <c r="L18" s="16"/>
      <c r="M18" s="18" t="s">
        <v>5099</v>
      </c>
      <c r="N18" s="16"/>
      <c r="O18" s="18" t="s">
        <v>5848</v>
      </c>
      <c r="P18" s="16"/>
      <c r="Q18" s="18" t="s">
        <v>6477</v>
      </c>
      <c r="R18" s="16"/>
      <c r="S18" s="18"/>
      <c r="T18" s="21"/>
    </row>
    <row r="19" spans="1:20" ht="15.95" customHeight="1" x14ac:dyDescent="0.25">
      <c r="A19" s="18" t="s">
        <v>492</v>
      </c>
      <c r="B19" s="16"/>
      <c r="C19" s="18" t="s">
        <v>2231</v>
      </c>
      <c r="D19" s="16"/>
      <c r="E19" s="18" t="s">
        <v>2952</v>
      </c>
      <c r="F19" s="16"/>
      <c r="G19" s="18" t="s">
        <v>1486</v>
      </c>
      <c r="H19" s="16"/>
      <c r="I19" s="18" t="s">
        <v>3694</v>
      </c>
      <c r="J19" s="16"/>
      <c r="K19" s="18" t="s">
        <v>4432</v>
      </c>
      <c r="L19" s="16"/>
      <c r="M19" s="18" t="s">
        <v>5100</v>
      </c>
      <c r="N19" s="16"/>
      <c r="O19" s="18" t="s">
        <v>5849</v>
      </c>
      <c r="P19" s="16"/>
      <c r="Q19" s="18" t="s">
        <v>6478</v>
      </c>
      <c r="R19" s="16"/>
      <c r="S19" s="18"/>
      <c r="T19" s="21"/>
    </row>
    <row r="20" spans="1:20" ht="15.95" customHeight="1" x14ac:dyDescent="0.25">
      <c r="A20" s="18" t="s">
        <v>493</v>
      </c>
      <c r="B20" s="16"/>
      <c r="C20" s="18" t="s">
        <v>2232</v>
      </c>
      <c r="D20" s="16"/>
      <c r="E20" s="18" t="s">
        <v>2953</v>
      </c>
      <c r="F20" s="16"/>
      <c r="G20" s="18" t="s">
        <v>1487</v>
      </c>
      <c r="H20" s="16"/>
      <c r="I20" s="18" t="s">
        <v>3695</v>
      </c>
      <c r="J20" s="16"/>
      <c r="K20" s="18" t="s">
        <v>4433</v>
      </c>
      <c r="L20" s="16"/>
      <c r="M20" s="18" t="s">
        <v>5101</v>
      </c>
      <c r="N20" s="16"/>
      <c r="O20" s="18" t="s">
        <v>5850</v>
      </c>
      <c r="P20" s="16"/>
      <c r="Q20" s="18" t="s">
        <v>6479</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494</v>
      </c>
      <c r="B22" s="16"/>
      <c r="C22" s="18" t="s">
        <v>2233</v>
      </c>
      <c r="D22" s="16"/>
      <c r="E22" s="18" t="s">
        <v>2954</v>
      </c>
      <c r="F22" s="16"/>
      <c r="G22" s="18" t="s">
        <v>1488</v>
      </c>
      <c r="H22" s="16"/>
      <c r="I22" s="18" t="s">
        <v>3696</v>
      </c>
      <c r="J22" s="16"/>
      <c r="K22" s="18" t="s">
        <v>4434</v>
      </c>
      <c r="L22" s="16"/>
      <c r="M22" s="18" t="s">
        <v>5102</v>
      </c>
      <c r="N22" s="16"/>
      <c r="O22" s="18" t="s">
        <v>5851</v>
      </c>
      <c r="P22" s="16"/>
      <c r="Q22" s="18" t="s">
        <v>6480</v>
      </c>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25" priority="2" stopIfTrue="1">
      <formula>NOT(ISERROR(A3))</formula>
    </cfRule>
  </conditionalFormatting>
  <conditionalFormatting sqref="A3:T51">
    <cfRule type="containsErrors" dxfId="224" priority="1" stopIfTrue="1">
      <formula>ISERROR(A3)</formula>
    </cfRule>
    <cfRule type="notContainsBlanks" dxfId="223" priority="3">
      <formula>LEN(TRIM(A3))&gt;0</formula>
    </cfRule>
  </conditionalFormatting>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C14B7B-F715-4189-99F6-6BA1E4728FF8}">
  <sheetPr codeName="Sheet58"/>
  <dimension ref="A1:T51"/>
  <sheetViews>
    <sheetView workbookViewId="0">
      <selection activeCell="Q3" sqref="Q3:Q22"/>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8" t="s">
        <v>84</v>
      </c>
    </row>
    <row r="3" spans="1:20" ht="15.95" customHeight="1" x14ac:dyDescent="0.25">
      <c r="A3" s="17" t="s">
        <v>726</v>
      </c>
      <c r="B3" s="16" t="str">
        <f>TRIM(_xlfn.TEXTBEFORE(A3, ":"))</f>
        <v>Item Class</v>
      </c>
      <c r="C3" s="17" t="s">
        <v>2234</v>
      </c>
      <c r="D3" s="16" t="str">
        <f>TRIM(_xlfn.TEXTBEFORE(C3, ":"))</f>
        <v>Gegenstandsklasse</v>
      </c>
      <c r="E3" s="17" t="s">
        <v>2955</v>
      </c>
      <c r="F3" s="16" t="str">
        <f>TRIM(_xlfn.TEXTBEFORE(E3, ":"))</f>
        <v>Clase de objeto</v>
      </c>
      <c r="G3" s="17" t="s">
        <v>1489</v>
      </c>
      <c r="H3" s="16" t="str">
        <f>TRIM(_xlfn.TEXTBEFORE(G3, ":"))</f>
        <v>Classe d'objet</v>
      </c>
      <c r="I3" s="17" t="s">
        <v>3697</v>
      </c>
      <c r="J3" s="16" t="str">
        <f>TRIM(_xlfn.TEXTBEFORE(I3, ":"))</f>
        <v>アイテムクラス</v>
      </c>
      <c r="K3" s="17" t="s">
        <v>4435</v>
      </c>
      <c r="L3" s="16" t="str">
        <f>TRIM(_xlfn.TEXTBEFORE(K3, ":"))</f>
        <v>아이템 종류</v>
      </c>
      <c r="M3" s="17" t="s">
        <v>5103</v>
      </c>
      <c r="N3" s="16" t="str">
        <f>TRIM(_xlfn.TEXTBEFORE(M3, ":"))</f>
        <v>Classe do Item</v>
      </c>
      <c r="O3" s="17" t="s">
        <v>5852</v>
      </c>
      <c r="P3" s="16" t="str">
        <f>TRIM(_xlfn.TEXTBEFORE(O3, ":"))</f>
        <v>Класс предмета</v>
      </c>
      <c r="Q3" s="17" t="s">
        <v>6481</v>
      </c>
      <c r="R3" s="16" t="str">
        <f>TRIM(_xlfn.TEXTBEFORE(Q3, ":"))</f>
        <v>ชนิดไอเทม</v>
      </c>
      <c r="S3" s="17"/>
      <c r="T3" s="20" t="e">
        <f>TRIM(_xlfn.TEXTBEFORE(S3, ":"))</f>
        <v>#N/A</v>
      </c>
    </row>
    <row r="4" spans="1:20" ht="15.95" customHeight="1" x14ac:dyDescent="0.25">
      <c r="A4" s="18" t="s">
        <v>484</v>
      </c>
      <c r="B4" s="16" t="str">
        <f>TRIM(_xlfn.TEXTAFTER(A3, ":"))</f>
        <v>Heist Cloaks</v>
      </c>
      <c r="C4" s="18" t="s">
        <v>1850</v>
      </c>
      <c r="D4" s="16" t="str">
        <f>TRIM(_xlfn.TEXTAFTER(C3, ":"))</f>
        <v>Heist-Umhänge</v>
      </c>
      <c r="E4" s="18" t="s">
        <v>2568</v>
      </c>
      <c r="F4" s="16" t="str">
        <f>TRIM(_xlfn.TEXTAFTER(E3, ":"))</f>
        <v>Capas de Heist</v>
      </c>
      <c r="G4" s="18" t="s">
        <v>1113</v>
      </c>
      <c r="H4" s="16" t="str">
        <f>TRIM(_xlfn.TEXTAFTER(G3, ":"))</f>
        <v>Capes de Malfaiteur</v>
      </c>
      <c r="I4" s="18" t="s">
        <v>3292</v>
      </c>
      <c r="J4" s="16" t="str">
        <f>TRIM(_xlfn.TEXTAFTER(I3, ":"))</f>
        <v>ハイストクローク</v>
      </c>
      <c r="K4" s="18" t="s">
        <v>4037</v>
      </c>
      <c r="L4" s="16" t="str">
        <f>TRIM(_xlfn.TEXTAFTER(K3, ":"))</f>
        <v>강탈 망토</v>
      </c>
      <c r="M4" s="18" t="s">
        <v>4758</v>
      </c>
      <c r="N4" s="16" t="str">
        <f>TRIM(_xlfn.TEXTAFTER(M3, ":"))</f>
        <v>Capas Heist</v>
      </c>
      <c r="O4" s="18" t="s">
        <v>5451</v>
      </c>
      <c r="P4" s="16" t="str">
        <f>TRIM(_xlfn.TEXTAFTER(O3, ":"))</f>
        <v>Разбойничьи накидки</v>
      </c>
      <c r="Q4" s="18" t="s">
        <v>6162</v>
      </c>
      <c r="R4" s="16" t="str">
        <f>TRIM(_xlfn.TEXTAFTER(Q3, ":"))</f>
        <v>ผ้าคลุมกองโจร</v>
      </c>
      <c r="S4" s="18"/>
      <c r="T4" s="20" t="e">
        <f>TRIM(_xlfn.TEXTAFTER(S3, ":"))</f>
        <v>#N/A</v>
      </c>
    </row>
    <row r="5" spans="1:20" ht="15.95" customHeight="1" x14ac:dyDescent="0.25">
      <c r="A5" s="18" t="s">
        <v>727</v>
      </c>
      <c r="B5" s="16" t="str">
        <f>TRIM(_xlfn.TEXTBEFORE(A4, ":"))</f>
        <v>Rarity</v>
      </c>
      <c r="C5" s="18" t="s">
        <v>2235</v>
      </c>
      <c r="D5" s="16" t="str">
        <f>TRIM(_xlfn.TEXTBEFORE(C4, ":"))</f>
        <v>Seltenheit</v>
      </c>
      <c r="E5" s="18" t="s">
        <v>2956</v>
      </c>
      <c r="F5" s="16" t="str">
        <f>TRIM(_xlfn.TEXTBEFORE(E4, ":"))</f>
        <v>Rareza</v>
      </c>
      <c r="G5" s="18" t="s">
        <v>1490</v>
      </c>
      <c r="H5" s="16" t="str">
        <f>TRIM(_xlfn.TEXTBEFORE(G4, ":"))</f>
        <v>Rareté</v>
      </c>
      <c r="I5" s="18" t="s">
        <v>3698</v>
      </c>
      <c r="J5" s="16" t="str">
        <f>TRIM(_xlfn.TEXTBEFORE(I4, ":"))</f>
        <v>レアリティ</v>
      </c>
      <c r="K5" s="18" t="s">
        <v>4436</v>
      </c>
      <c r="L5" s="16" t="str">
        <f>TRIM(_xlfn.TEXTBEFORE(K4, ":"))</f>
        <v>아이템 희귀도</v>
      </c>
      <c r="M5" s="18" t="s">
        <v>5104</v>
      </c>
      <c r="N5" s="16" t="str">
        <f>TRIM(_xlfn.TEXTBEFORE(M4, ":"))</f>
        <v>Raridade</v>
      </c>
      <c r="O5" s="18" t="s">
        <v>5853</v>
      </c>
      <c r="P5" s="16" t="str">
        <f>TRIM(_xlfn.TEXTBEFORE(O4, ":"))</f>
        <v>Редкость</v>
      </c>
      <c r="Q5" s="18" t="s">
        <v>727</v>
      </c>
      <c r="R5" s="16" t="str">
        <f>TRIM(_xlfn.TEXTBEFORE(Q4, ":"))</f>
        <v>ความหายาก</v>
      </c>
      <c r="S5" s="18"/>
      <c r="T5" s="20" t="e">
        <f>TRIM(_xlfn.TEXTBEFORE(S4, ":"))</f>
        <v>#N/A</v>
      </c>
    </row>
    <row r="6" spans="1:20" ht="15.95" customHeight="1" x14ac:dyDescent="0.25">
      <c r="A6" s="18" t="s">
        <v>728</v>
      </c>
      <c r="B6" s="16" t="str">
        <f>TRIM(_xlfn.TEXTAFTER(A4,":"))</f>
        <v>Rare</v>
      </c>
      <c r="C6" s="18" t="s">
        <v>2236</v>
      </c>
      <c r="D6" s="16" t="str">
        <f>TRIM(_xlfn.TEXTAFTER(C4,":"))</f>
        <v>Selten</v>
      </c>
      <c r="E6" s="18" t="s">
        <v>2957</v>
      </c>
      <c r="F6" s="16" t="str">
        <f>TRIM(_xlfn.TEXTAFTER(E4,":"))</f>
        <v>Raro</v>
      </c>
      <c r="G6" s="18" t="s">
        <v>1491</v>
      </c>
      <c r="H6" s="16" t="str">
        <f>TRIM(_xlfn.TEXTAFTER(G4,":"))</f>
        <v>Rare</v>
      </c>
      <c r="I6" s="18" t="s">
        <v>3699</v>
      </c>
      <c r="J6" s="16" t="str">
        <f>TRIM(_xlfn.TEXTAFTER(I4,":"))</f>
        <v>レア</v>
      </c>
      <c r="K6" s="18" t="s">
        <v>4437</v>
      </c>
      <c r="L6" s="16" t="str">
        <f>TRIM(_xlfn.TEXTAFTER(K4,":"))</f>
        <v>희귀</v>
      </c>
      <c r="M6" s="18" t="s">
        <v>5105</v>
      </c>
      <c r="N6" s="16" t="str">
        <f>TRIM(_xlfn.TEXTAFTER(M4,":"))</f>
        <v>Raro</v>
      </c>
      <c r="O6" s="18" t="s">
        <v>5854</v>
      </c>
      <c r="P6" s="16" t="str">
        <f>TRIM(_xlfn.TEXTAFTER(O4,":"))</f>
        <v>Редкий</v>
      </c>
      <c r="Q6" s="18" t="s">
        <v>6482</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487</v>
      </c>
      <c r="B8" s="16"/>
      <c r="C8" s="18" t="s">
        <v>2226</v>
      </c>
      <c r="D8" s="16"/>
      <c r="E8" s="18" t="s">
        <v>2947</v>
      </c>
      <c r="F8" s="16"/>
      <c r="G8" s="18" t="s">
        <v>1481</v>
      </c>
      <c r="H8" s="16"/>
      <c r="I8" s="18" t="s">
        <v>3689</v>
      </c>
      <c r="J8" s="16"/>
      <c r="K8" s="18" t="s">
        <v>4427</v>
      </c>
      <c r="L8" s="16"/>
      <c r="M8" s="18" t="s">
        <v>5095</v>
      </c>
      <c r="N8" s="16"/>
      <c r="O8" s="18" t="s">
        <v>5844</v>
      </c>
      <c r="P8" s="16"/>
      <c r="Q8" s="18" t="s">
        <v>6473</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81</v>
      </c>
      <c r="B10" s="16"/>
      <c r="C10" s="18" t="s">
        <v>1589</v>
      </c>
      <c r="D10" s="16"/>
      <c r="E10" s="18" t="s">
        <v>2308</v>
      </c>
      <c r="F10" s="16"/>
      <c r="G10" s="18" t="s">
        <v>5</v>
      </c>
      <c r="H10" s="16"/>
      <c r="I10" s="18" t="s">
        <v>3018</v>
      </c>
      <c r="J10" s="16"/>
      <c r="K10" s="18" t="s">
        <v>3772</v>
      </c>
      <c r="L10" s="16"/>
      <c r="M10" s="18" t="s">
        <v>2308</v>
      </c>
      <c r="N10" s="16"/>
      <c r="O10" s="18" t="s">
        <v>5183</v>
      </c>
      <c r="P10" s="16"/>
      <c r="Q10" s="18" t="s">
        <v>5928</v>
      </c>
      <c r="R10" s="16"/>
      <c r="S10" s="18"/>
      <c r="T10" s="20"/>
    </row>
    <row r="11" spans="1:20" ht="15.95" customHeight="1" x14ac:dyDescent="0.25">
      <c r="A11" s="18" t="s">
        <v>729</v>
      </c>
      <c r="B11" s="16"/>
      <c r="C11" s="18" t="s">
        <v>2237</v>
      </c>
      <c r="D11" s="16"/>
      <c r="E11" s="18" t="s">
        <v>2958</v>
      </c>
      <c r="F11" s="16"/>
      <c r="G11" s="18" t="s">
        <v>1492</v>
      </c>
      <c r="H11" s="16"/>
      <c r="I11" s="18" t="s">
        <v>3700</v>
      </c>
      <c r="J11" s="16"/>
      <c r="K11" s="18" t="s">
        <v>4438</v>
      </c>
      <c r="L11" s="16"/>
      <c r="M11" s="18" t="s">
        <v>5106</v>
      </c>
      <c r="N11" s="16"/>
      <c r="O11" s="18" t="s">
        <v>5855</v>
      </c>
      <c r="P11" s="16"/>
      <c r="Q11" s="18" t="s">
        <v>6483</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88</v>
      </c>
      <c r="B13" s="16"/>
      <c r="C13" s="18" t="s">
        <v>1713</v>
      </c>
      <c r="D13" s="16"/>
      <c r="E13" s="18" t="s">
        <v>2432</v>
      </c>
      <c r="F13" s="16"/>
      <c r="G13" s="18" t="s">
        <v>981</v>
      </c>
      <c r="H13" s="16"/>
      <c r="I13" s="18" t="s">
        <v>3150</v>
      </c>
      <c r="J13" s="16"/>
      <c r="K13" s="18" t="s">
        <v>3897</v>
      </c>
      <c r="L13" s="16"/>
      <c r="M13" s="18" t="s">
        <v>4626</v>
      </c>
      <c r="N13" s="16"/>
      <c r="O13" s="18" t="s">
        <v>5311</v>
      </c>
      <c r="P13" s="16"/>
      <c r="Q13" s="18" t="s">
        <v>6043</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730</v>
      </c>
      <c r="B15" s="16"/>
      <c r="C15" s="18" t="s">
        <v>2238</v>
      </c>
      <c r="D15" s="16"/>
      <c r="E15" s="18" t="s">
        <v>2959</v>
      </c>
      <c r="F15" s="16"/>
      <c r="G15" s="18" t="s">
        <v>1493</v>
      </c>
      <c r="H15" s="16"/>
      <c r="I15" s="18" t="s">
        <v>3701</v>
      </c>
      <c r="J15" s="16"/>
      <c r="K15" s="18" t="s">
        <v>4439</v>
      </c>
      <c r="L15" s="16"/>
      <c r="M15" s="18" t="s">
        <v>5107</v>
      </c>
      <c r="N15" s="16"/>
      <c r="O15" s="18" t="s">
        <v>5856</v>
      </c>
      <c r="P15" s="16"/>
      <c r="Q15" s="18" t="s">
        <v>6484</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731</v>
      </c>
      <c r="B17" s="16"/>
      <c r="C17" s="18" t="s">
        <v>2239</v>
      </c>
      <c r="D17" s="16"/>
      <c r="E17" s="18" t="s">
        <v>2960</v>
      </c>
      <c r="F17" s="16"/>
      <c r="G17" s="18" t="s">
        <v>1494</v>
      </c>
      <c r="H17" s="16"/>
      <c r="I17" s="18" t="s">
        <v>3702</v>
      </c>
      <c r="J17" s="16"/>
      <c r="K17" s="18" t="s">
        <v>4440</v>
      </c>
      <c r="L17" s="16"/>
      <c r="M17" s="18" t="s">
        <v>5108</v>
      </c>
      <c r="N17" s="16"/>
      <c r="O17" s="18" t="s">
        <v>5857</v>
      </c>
      <c r="P17" s="16"/>
      <c r="Q17" s="18" t="s">
        <v>6485</v>
      </c>
      <c r="R17" s="16"/>
      <c r="S17" s="18"/>
      <c r="T17" s="20"/>
    </row>
    <row r="18" spans="1:20" ht="15.95" customHeight="1" x14ac:dyDescent="0.25">
      <c r="A18" s="18" t="s">
        <v>732</v>
      </c>
      <c r="B18" s="16"/>
      <c r="C18" s="18" t="s">
        <v>2240</v>
      </c>
      <c r="D18" s="16"/>
      <c r="E18" s="18" t="s">
        <v>2961</v>
      </c>
      <c r="F18" s="16"/>
      <c r="G18" s="18" t="s">
        <v>1495</v>
      </c>
      <c r="H18" s="16"/>
      <c r="I18" s="18" t="s">
        <v>3703</v>
      </c>
      <c r="J18" s="16"/>
      <c r="K18" s="18" t="s">
        <v>4441</v>
      </c>
      <c r="L18" s="16"/>
      <c r="M18" s="18" t="s">
        <v>5109</v>
      </c>
      <c r="N18" s="16"/>
      <c r="O18" s="18" t="s">
        <v>5858</v>
      </c>
      <c r="P18" s="16"/>
      <c r="Q18" s="18" t="s">
        <v>6486</v>
      </c>
      <c r="R18" s="16"/>
      <c r="S18" s="18"/>
      <c r="T18" s="20"/>
    </row>
    <row r="19" spans="1:20" ht="15.95" customHeight="1" x14ac:dyDescent="0.25">
      <c r="A19" s="18" t="s">
        <v>733</v>
      </c>
      <c r="B19" s="16"/>
      <c r="C19" s="18" t="s">
        <v>2241</v>
      </c>
      <c r="D19" s="16"/>
      <c r="E19" s="18" t="s">
        <v>2962</v>
      </c>
      <c r="F19" s="16"/>
      <c r="G19" s="18" t="s">
        <v>1496</v>
      </c>
      <c r="H19" s="16"/>
      <c r="I19" s="18" t="s">
        <v>3704</v>
      </c>
      <c r="J19" s="16"/>
      <c r="K19" s="18" t="s">
        <v>4442</v>
      </c>
      <c r="L19" s="16"/>
      <c r="M19" s="18" t="s">
        <v>5110</v>
      </c>
      <c r="N19" s="16"/>
      <c r="O19" s="18" t="s">
        <v>5859</v>
      </c>
      <c r="P19" s="16"/>
      <c r="Q19" s="18" t="s">
        <v>6487</v>
      </c>
      <c r="R19" s="16"/>
      <c r="S19" s="18"/>
      <c r="T19" s="20"/>
    </row>
    <row r="20" spans="1:20" ht="15.95" customHeight="1" x14ac:dyDescent="0.25">
      <c r="A20" s="18" t="s">
        <v>492</v>
      </c>
      <c r="B20" s="16"/>
      <c r="C20" s="18" t="s">
        <v>2231</v>
      </c>
      <c r="D20" s="16"/>
      <c r="E20" s="18" t="s">
        <v>2952</v>
      </c>
      <c r="F20" s="16"/>
      <c r="G20" s="18" t="s">
        <v>1486</v>
      </c>
      <c r="H20" s="16"/>
      <c r="I20" s="18" t="s">
        <v>3694</v>
      </c>
      <c r="J20" s="16"/>
      <c r="K20" s="18" t="s">
        <v>4432</v>
      </c>
      <c r="L20" s="16"/>
      <c r="M20" s="18" t="s">
        <v>5100</v>
      </c>
      <c r="N20" s="16"/>
      <c r="O20" s="18" t="s">
        <v>5849</v>
      </c>
      <c r="P20" s="16"/>
      <c r="Q20" s="18" t="s">
        <v>6478</v>
      </c>
      <c r="R20" s="16"/>
      <c r="S20" s="18"/>
      <c r="T20" s="20"/>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0"/>
    </row>
    <row r="22" spans="1:20" ht="15.95" customHeight="1" x14ac:dyDescent="0.25">
      <c r="A22" s="18" t="s">
        <v>494</v>
      </c>
      <c r="B22" s="16"/>
      <c r="C22" s="18" t="s">
        <v>2233</v>
      </c>
      <c r="D22" s="16"/>
      <c r="E22" s="18" t="s">
        <v>2954</v>
      </c>
      <c r="F22" s="16"/>
      <c r="G22" s="18" t="s">
        <v>1488</v>
      </c>
      <c r="H22" s="16"/>
      <c r="I22" s="18" t="s">
        <v>3696</v>
      </c>
      <c r="J22" s="16"/>
      <c r="K22" s="18" t="s">
        <v>4434</v>
      </c>
      <c r="L22" s="16"/>
      <c r="M22" s="18" t="s">
        <v>5102</v>
      </c>
      <c r="N22" s="16"/>
      <c r="O22" s="18" t="s">
        <v>5851</v>
      </c>
      <c r="P22" s="16"/>
      <c r="Q22" s="18" t="s">
        <v>6480</v>
      </c>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22" priority="2" stopIfTrue="1">
      <formula>NOT(ISERROR(A3))</formula>
    </cfRule>
  </conditionalFormatting>
  <conditionalFormatting sqref="A3:T51">
    <cfRule type="containsErrors" dxfId="221" priority="1" stopIfTrue="1">
      <formula>ISERROR(A3)</formula>
    </cfRule>
    <cfRule type="notContainsBlanks" dxfId="220" priority="3">
      <formula>LEN(TRIM(A3))&gt;0</formula>
    </cfRule>
  </conditionalFormatting>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7D5752-9BDF-4410-A589-2D38AC2070B0}">
  <sheetPr codeName="Sheet59"/>
  <dimension ref="A1:T51"/>
  <sheetViews>
    <sheetView workbookViewId="0">
      <selection activeCell="O34" sqref="O3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8" t="s">
        <v>84</v>
      </c>
    </row>
    <row r="3" spans="1:20" ht="15.95" customHeight="1" x14ac:dyDescent="0.25">
      <c r="A3" s="19" t="s">
        <v>717</v>
      </c>
      <c r="B3" s="16" t="str">
        <f>TRIM(_xlfn.TEXTBEFORE(A3, ":"))</f>
        <v>Item Class</v>
      </c>
      <c r="C3" s="17" t="s">
        <v>2242</v>
      </c>
      <c r="D3" s="16" t="str">
        <f>TRIM(_xlfn.TEXTBEFORE(C3, ":"))</f>
        <v>Gegenstandsklasse</v>
      </c>
      <c r="E3" s="17" t="s">
        <v>2963</v>
      </c>
      <c r="F3" s="16" t="str">
        <f>TRIM(_xlfn.TEXTBEFORE(E3, ":"))</f>
        <v>Clase de objeto</v>
      </c>
      <c r="G3" s="17" t="s">
        <v>1497</v>
      </c>
      <c r="H3" s="16" t="str">
        <f>TRIM(_xlfn.TEXTBEFORE(G3, ":"))</f>
        <v>Classe d'objet</v>
      </c>
      <c r="I3" s="17" t="s">
        <v>3705</v>
      </c>
      <c r="J3" s="16" t="str">
        <f>TRIM(_xlfn.TEXTBEFORE(I3, ":"))</f>
        <v>アイテムクラス</v>
      </c>
      <c r="K3" s="17" t="s">
        <v>4443</v>
      </c>
      <c r="L3" s="16" t="str">
        <f>TRIM(_xlfn.TEXTBEFORE(K3, ":"))</f>
        <v>아이템 종류</v>
      </c>
      <c r="M3" s="17" t="s">
        <v>5111</v>
      </c>
      <c r="N3" s="16" t="str">
        <f>TRIM(_xlfn.TEXTBEFORE(M3, ":"))</f>
        <v>Classe do Item</v>
      </c>
      <c r="O3" s="17" t="s">
        <v>5860</v>
      </c>
      <c r="P3" s="16" t="str">
        <f>TRIM(_xlfn.TEXTBEFORE(O3, ":"))</f>
        <v>Класс предмета</v>
      </c>
      <c r="Q3" s="17" t="s">
        <v>6488</v>
      </c>
      <c r="R3" s="16" t="str">
        <f>TRIM(_xlfn.TEXTBEFORE(Q3, ":"))</f>
        <v>ชนิดไอเทม</v>
      </c>
      <c r="S3" s="17"/>
      <c r="T3" s="20" t="e">
        <f>TRIM(_xlfn.TEXTBEFORE(S3, ":"))</f>
        <v>#N/A</v>
      </c>
    </row>
    <row r="4" spans="1:20" ht="15.95" customHeight="1" x14ac:dyDescent="0.25">
      <c r="A4" s="18" t="s">
        <v>484</v>
      </c>
      <c r="B4" s="16" t="str">
        <f>TRIM(_xlfn.TEXTAFTER(A3, ":"))</f>
        <v>Heist Gear</v>
      </c>
      <c r="C4" s="18" t="s">
        <v>1850</v>
      </c>
      <c r="D4" s="16" t="str">
        <f>TRIM(_xlfn.TEXTAFTER(C3, ":"))</f>
        <v>Heist-Ausrüstung</v>
      </c>
      <c r="E4" s="18" t="s">
        <v>2568</v>
      </c>
      <c r="F4" s="16" t="str">
        <f>TRIM(_xlfn.TEXTAFTER(E3, ":"))</f>
        <v>Accesorio de Heist</v>
      </c>
      <c r="G4" s="18" t="s">
        <v>1113</v>
      </c>
      <c r="H4" s="16" t="str">
        <f>TRIM(_xlfn.TEXTAFTER(G3, ":"))</f>
        <v>Équipements de Malfaiteur</v>
      </c>
      <c r="I4" s="18" t="s">
        <v>3292</v>
      </c>
      <c r="J4" s="16" t="str">
        <f>TRIM(_xlfn.TEXTAFTER(I3, ":"))</f>
        <v>ハイストギア</v>
      </c>
      <c r="K4" s="18" t="s">
        <v>4037</v>
      </c>
      <c r="L4" s="16" t="str">
        <f>TRIM(_xlfn.TEXTAFTER(K3, ":"))</f>
        <v>강탈 장비</v>
      </c>
      <c r="M4" s="18" t="s">
        <v>4758</v>
      </c>
      <c r="N4" s="16" t="str">
        <f>TRIM(_xlfn.TEXTAFTER(M3, ":"))</f>
        <v>Equipamento Heist</v>
      </c>
      <c r="O4" s="18" t="s">
        <v>5451</v>
      </c>
      <c r="P4" s="16" t="str">
        <f>TRIM(_xlfn.TEXTAFTER(O3, ":"))</f>
        <v>Разбойничьи принадлежности</v>
      </c>
      <c r="Q4" s="18" t="s">
        <v>6162</v>
      </c>
      <c r="R4" s="16" t="str">
        <f>TRIM(_xlfn.TEXTAFTER(Q3, ":"))</f>
        <v>อุปกรณ์สวมใส่กองโจร</v>
      </c>
      <c r="S4" s="18"/>
      <c r="T4" s="20" t="e">
        <f>TRIM(_xlfn.TEXTAFTER(S3, ":"))</f>
        <v>#N/A</v>
      </c>
    </row>
    <row r="5" spans="1:20" ht="15.95" customHeight="1" x14ac:dyDescent="0.25">
      <c r="A5" s="18" t="s">
        <v>718</v>
      </c>
      <c r="B5" s="16" t="str">
        <f>TRIM(_xlfn.TEXTBEFORE(A4, ":"))</f>
        <v>Rarity</v>
      </c>
      <c r="C5" s="18" t="s">
        <v>2243</v>
      </c>
      <c r="D5" s="16" t="str">
        <f>TRIM(_xlfn.TEXTBEFORE(C4, ":"))</f>
        <v>Seltenheit</v>
      </c>
      <c r="E5" s="18" t="s">
        <v>2964</v>
      </c>
      <c r="F5" s="16" t="str">
        <f>TRIM(_xlfn.TEXTBEFORE(E4, ":"))</f>
        <v>Rareza</v>
      </c>
      <c r="G5" s="18" t="s">
        <v>1498</v>
      </c>
      <c r="H5" s="16" t="str">
        <f>TRIM(_xlfn.TEXTBEFORE(G4, ":"))</f>
        <v>Rareté</v>
      </c>
      <c r="I5" s="18" t="s">
        <v>3706</v>
      </c>
      <c r="J5" s="16" t="str">
        <f>TRIM(_xlfn.TEXTBEFORE(I4, ":"))</f>
        <v>レアリティ</v>
      </c>
      <c r="K5" s="18" t="s">
        <v>4444</v>
      </c>
      <c r="L5" s="16" t="str">
        <f>TRIM(_xlfn.TEXTBEFORE(K4, ":"))</f>
        <v>아이템 희귀도</v>
      </c>
      <c r="M5" s="18" t="s">
        <v>5112</v>
      </c>
      <c r="N5" s="16" t="str">
        <f>TRIM(_xlfn.TEXTBEFORE(M4, ":"))</f>
        <v>Raridade</v>
      </c>
      <c r="O5" s="18" t="s">
        <v>5861</v>
      </c>
      <c r="P5" s="16" t="str">
        <f>TRIM(_xlfn.TEXTBEFORE(O4, ":"))</f>
        <v>Редкость</v>
      </c>
      <c r="Q5" s="18" t="s">
        <v>718</v>
      </c>
      <c r="R5" s="16" t="str">
        <f>TRIM(_xlfn.TEXTBEFORE(Q4, ":"))</f>
        <v>ความหายาก</v>
      </c>
      <c r="S5" s="18"/>
      <c r="T5" s="20" t="e">
        <f>TRIM(_xlfn.TEXTBEFORE(S4, ":"))</f>
        <v>#N/A</v>
      </c>
    </row>
    <row r="6" spans="1:20" ht="15.95" customHeight="1" x14ac:dyDescent="0.25">
      <c r="A6" s="18" t="s">
        <v>719</v>
      </c>
      <c r="B6" s="16" t="str">
        <f>TRIM(_xlfn.TEXTAFTER(A4,":"))</f>
        <v>Rare</v>
      </c>
      <c r="C6" s="18" t="s">
        <v>2244</v>
      </c>
      <c r="D6" s="16" t="str">
        <f>TRIM(_xlfn.TEXTAFTER(C4,":"))</f>
        <v>Selten</v>
      </c>
      <c r="E6" s="18" t="s">
        <v>2965</v>
      </c>
      <c r="F6" s="16" t="str">
        <f>TRIM(_xlfn.TEXTAFTER(E4,":"))</f>
        <v>Raro</v>
      </c>
      <c r="G6" s="18" t="s">
        <v>1499</v>
      </c>
      <c r="H6" s="16" t="str">
        <f>TRIM(_xlfn.TEXTAFTER(G4,":"))</f>
        <v>Rare</v>
      </c>
      <c r="I6" s="18" t="s">
        <v>3707</v>
      </c>
      <c r="J6" s="16" t="str">
        <f>TRIM(_xlfn.TEXTAFTER(I4,":"))</f>
        <v>レア</v>
      </c>
      <c r="K6" s="18" t="s">
        <v>4445</v>
      </c>
      <c r="L6" s="16" t="str">
        <f>TRIM(_xlfn.TEXTAFTER(K4,":"))</f>
        <v>희귀</v>
      </c>
      <c r="M6" s="18" t="s">
        <v>5113</v>
      </c>
      <c r="N6" s="16" t="str">
        <f>TRIM(_xlfn.TEXTAFTER(M4,":"))</f>
        <v>Raro</v>
      </c>
      <c r="O6" s="18" t="s">
        <v>5862</v>
      </c>
      <c r="P6" s="16" t="str">
        <f>TRIM(_xlfn.TEXTAFTER(O4,":"))</f>
        <v>Редкий</v>
      </c>
      <c r="Q6" s="18" t="s">
        <v>6489</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487</v>
      </c>
      <c r="B8" s="16"/>
      <c r="C8" s="18" t="s">
        <v>2226</v>
      </c>
      <c r="D8" s="16"/>
      <c r="E8" s="18" t="s">
        <v>2947</v>
      </c>
      <c r="F8" s="16"/>
      <c r="G8" s="18" t="s">
        <v>1481</v>
      </c>
      <c r="H8" s="16"/>
      <c r="I8" s="18" t="s">
        <v>3689</v>
      </c>
      <c r="J8" s="16"/>
      <c r="K8" s="18" t="s">
        <v>4427</v>
      </c>
      <c r="L8" s="16"/>
      <c r="M8" s="18" t="s">
        <v>5095</v>
      </c>
      <c r="N8" s="16"/>
      <c r="O8" s="18" t="s">
        <v>5844</v>
      </c>
      <c r="P8" s="16"/>
      <c r="Q8" s="18" t="s">
        <v>6473</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81</v>
      </c>
      <c r="B10" s="16"/>
      <c r="C10" s="18" t="s">
        <v>1589</v>
      </c>
      <c r="D10" s="16"/>
      <c r="E10" s="18" t="s">
        <v>2308</v>
      </c>
      <c r="F10" s="16"/>
      <c r="G10" s="18" t="s">
        <v>5</v>
      </c>
      <c r="H10" s="16"/>
      <c r="I10" s="18" t="s">
        <v>3018</v>
      </c>
      <c r="J10" s="16"/>
      <c r="K10" s="18" t="s">
        <v>3772</v>
      </c>
      <c r="L10" s="16"/>
      <c r="M10" s="18" t="s">
        <v>2308</v>
      </c>
      <c r="N10" s="16"/>
      <c r="O10" s="18" t="s">
        <v>5183</v>
      </c>
      <c r="P10" s="16"/>
      <c r="Q10" s="18" t="s">
        <v>5928</v>
      </c>
      <c r="R10" s="16"/>
      <c r="S10" s="18"/>
      <c r="T10" s="20"/>
    </row>
    <row r="11" spans="1:20" ht="15.95" customHeight="1" x14ac:dyDescent="0.25">
      <c r="A11" s="18" t="s">
        <v>488</v>
      </c>
      <c r="B11" s="16"/>
      <c r="C11" s="18" t="s">
        <v>2227</v>
      </c>
      <c r="D11" s="16"/>
      <c r="E11" s="18" t="s">
        <v>2948</v>
      </c>
      <c r="F11" s="16"/>
      <c r="G11" s="18" t="s">
        <v>1482</v>
      </c>
      <c r="H11" s="16"/>
      <c r="I11" s="18" t="s">
        <v>3690</v>
      </c>
      <c r="J11" s="16"/>
      <c r="K11" s="18" t="s">
        <v>4428</v>
      </c>
      <c r="L11" s="16"/>
      <c r="M11" s="18" t="s">
        <v>5096</v>
      </c>
      <c r="N11" s="16"/>
      <c r="O11" s="18" t="s">
        <v>5845</v>
      </c>
      <c r="P11" s="16"/>
      <c r="Q11" s="18" t="s">
        <v>6474</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720</v>
      </c>
      <c r="B13" s="16"/>
      <c r="C13" s="18" t="s">
        <v>2245</v>
      </c>
      <c r="D13" s="16"/>
      <c r="E13" s="18" t="s">
        <v>2966</v>
      </c>
      <c r="F13" s="16"/>
      <c r="G13" s="18" t="s">
        <v>1500</v>
      </c>
      <c r="H13" s="16"/>
      <c r="I13" s="18" t="s">
        <v>3708</v>
      </c>
      <c r="J13" s="16"/>
      <c r="K13" s="18" t="s">
        <v>4446</v>
      </c>
      <c r="L13" s="16"/>
      <c r="M13" s="18" t="s">
        <v>5114</v>
      </c>
      <c r="N13" s="16"/>
      <c r="O13" s="18" t="s">
        <v>5863</v>
      </c>
      <c r="P13" s="16"/>
      <c r="Q13" s="18" t="s">
        <v>6490</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721</v>
      </c>
      <c r="B15" s="16"/>
      <c r="C15" s="18" t="s">
        <v>2246</v>
      </c>
      <c r="D15" s="16"/>
      <c r="E15" s="18" t="s">
        <v>2967</v>
      </c>
      <c r="F15" s="16"/>
      <c r="G15" s="18" t="s">
        <v>1501</v>
      </c>
      <c r="H15" s="16"/>
      <c r="I15" s="18" t="s">
        <v>3709</v>
      </c>
      <c r="J15" s="16"/>
      <c r="K15" s="18" t="s">
        <v>4447</v>
      </c>
      <c r="L15" s="16"/>
      <c r="M15" s="18" t="s">
        <v>5115</v>
      </c>
      <c r="N15" s="16"/>
      <c r="O15" s="18" t="s">
        <v>5864</v>
      </c>
      <c r="P15" s="16"/>
      <c r="Q15" s="18" t="s">
        <v>6491</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722</v>
      </c>
      <c r="B17" s="16"/>
      <c r="C17" s="18" t="s">
        <v>2247</v>
      </c>
      <c r="D17" s="16"/>
      <c r="E17" s="18" t="s">
        <v>2968</v>
      </c>
      <c r="F17" s="16"/>
      <c r="G17" s="18" t="s">
        <v>1502</v>
      </c>
      <c r="H17" s="16"/>
      <c r="I17" s="18" t="s">
        <v>3710</v>
      </c>
      <c r="J17" s="16"/>
      <c r="K17" s="18" t="s">
        <v>4448</v>
      </c>
      <c r="L17" s="16"/>
      <c r="M17" s="18" t="s">
        <v>5116</v>
      </c>
      <c r="N17" s="16"/>
      <c r="O17" s="18" t="s">
        <v>5865</v>
      </c>
      <c r="P17" s="16"/>
      <c r="Q17" s="18" t="s">
        <v>6492</v>
      </c>
      <c r="R17" s="16"/>
      <c r="S17" s="18"/>
      <c r="T17" s="20"/>
    </row>
    <row r="18" spans="1:20" ht="15.95" customHeight="1" x14ac:dyDescent="0.25">
      <c r="A18" s="18" t="s">
        <v>723</v>
      </c>
      <c r="B18" s="16"/>
      <c r="C18" s="18" t="s">
        <v>2248</v>
      </c>
      <c r="D18" s="16"/>
      <c r="E18" s="18" t="s">
        <v>2969</v>
      </c>
      <c r="F18" s="16"/>
      <c r="G18" s="18" t="s">
        <v>1503</v>
      </c>
      <c r="H18" s="16"/>
      <c r="I18" s="18" t="s">
        <v>3711</v>
      </c>
      <c r="J18" s="16"/>
      <c r="K18" s="18" t="s">
        <v>4449</v>
      </c>
      <c r="L18" s="16"/>
      <c r="M18" s="18" t="s">
        <v>5117</v>
      </c>
      <c r="N18" s="16"/>
      <c r="O18" s="18" t="s">
        <v>5866</v>
      </c>
      <c r="P18" s="16"/>
      <c r="Q18" s="18" t="s">
        <v>6493</v>
      </c>
      <c r="R18" s="16"/>
      <c r="S18" s="18"/>
      <c r="T18" s="20"/>
    </row>
    <row r="19" spans="1:20" ht="15.95" customHeight="1" x14ac:dyDescent="0.25">
      <c r="A19" s="18" t="s">
        <v>724</v>
      </c>
      <c r="B19" s="16"/>
      <c r="C19" s="18" t="s">
        <v>2249</v>
      </c>
      <c r="D19" s="16"/>
      <c r="E19" s="18" t="s">
        <v>2970</v>
      </c>
      <c r="F19" s="16"/>
      <c r="G19" s="18" t="s">
        <v>1504</v>
      </c>
      <c r="H19" s="16"/>
      <c r="I19" s="18" t="s">
        <v>3712</v>
      </c>
      <c r="J19" s="16"/>
      <c r="K19" s="18" t="s">
        <v>4450</v>
      </c>
      <c r="L19" s="16"/>
      <c r="M19" s="18" t="s">
        <v>5118</v>
      </c>
      <c r="N19" s="16"/>
      <c r="O19" s="18" t="s">
        <v>5867</v>
      </c>
      <c r="P19" s="16"/>
      <c r="Q19" s="18" t="s">
        <v>6494</v>
      </c>
      <c r="R19" s="16"/>
      <c r="S19" s="18"/>
      <c r="T19" s="20"/>
    </row>
    <row r="20" spans="1:20" ht="15.95" customHeight="1" x14ac:dyDescent="0.25">
      <c r="A20" s="18" t="s">
        <v>725</v>
      </c>
      <c r="B20" s="16"/>
      <c r="C20" s="18" t="s">
        <v>2250</v>
      </c>
      <c r="D20" s="16"/>
      <c r="E20" s="18" t="s">
        <v>2971</v>
      </c>
      <c r="F20" s="16"/>
      <c r="G20" s="18" t="s">
        <v>1505</v>
      </c>
      <c r="H20" s="16"/>
      <c r="I20" s="18" t="s">
        <v>3713</v>
      </c>
      <c r="J20" s="16"/>
      <c r="K20" s="18" t="s">
        <v>4451</v>
      </c>
      <c r="L20" s="16"/>
      <c r="M20" s="18" t="s">
        <v>5119</v>
      </c>
      <c r="N20" s="16"/>
      <c r="O20" s="18" t="s">
        <v>5868</v>
      </c>
      <c r="P20" s="16"/>
      <c r="Q20" s="18" t="s">
        <v>6495</v>
      </c>
      <c r="R20" s="16"/>
      <c r="S20" s="18"/>
      <c r="T20" s="20"/>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0"/>
    </row>
    <row r="22" spans="1:20" ht="15.95" customHeight="1" x14ac:dyDescent="0.25">
      <c r="A22" s="18" t="s">
        <v>494</v>
      </c>
      <c r="B22" s="16"/>
      <c r="C22" s="18" t="s">
        <v>2233</v>
      </c>
      <c r="D22" s="16"/>
      <c r="E22" s="18" t="s">
        <v>2954</v>
      </c>
      <c r="F22" s="16"/>
      <c r="G22" s="18" t="s">
        <v>1488</v>
      </c>
      <c r="H22" s="16"/>
      <c r="I22" s="18" t="s">
        <v>3696</v>
      </c>
      <c r="J22" s="16"/>
      <c r="K22" s="18" t="s">
        <v>4434</v>
      </c>
      <c r="L22" s="16"/>
      <c r="M22" s="18" t="s">
        <v>5102</v>
      </c>
      <c r="N22" s="16"/>
      <c r="O22" s="18" t="s">
        <v>5851</v>
      </c>
      <c r="P22" s="16"/>
      <c r="Q22" s="18" t="s">
        <v>6480</v>
      </c>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
    <cfRule type="cellIs" dxfId="219" priority="1" stopIfTrue="1" operator="equal">
      <formula>"-"</formula>
    </cfRule>
    <cfRule type="cellIs" dxfId="218" priority="2" operator="between">
      <formula>"(Lowest value)"</formula>
      <formula>0</formula>
    </cfRule>
    <cfRule type="containsBlanks" dxfId="217" priority="3">
      <formula>LEN(TRIM(A3))=0</formula>
    </cfRule>
    <cfRule type="notContainsBlanks" dxfId="216" priority="4">
      <formula>LEN(TRIM(A3))&gt;0</formula>
    </cfRule>
  </conditionalFormatting>
  <conditionalFormatting sqref="B3:T3 A4:T51">
    <cfRule type="containsErrors" dxfId="215" priority="5" stopIfTrue="1">
      <formula>ISERROR(A3)</formula>
    </cfRule>
    <cfRule type="notContainsBlanks" dxfId="214" priority="7">
      <formula>LEN(TRIM(A3))&gt;0</formula>
    </cfRule>
  </conditionalFormatting>
  <conditionalFormatting sqref="C3:C51 E3:E51 G3:G51 I3:I51 K3:K51 M3:M51 O3:O51 Q3:Q51 S3:S51 A4:A51">
    <cfRule type="notContainsErrors" dxfId="213" priority="6" stopIfTrue="1">
      <formula>NOT(ISERROR(A3))</formula>
    </cfRule>
  </conditionalFormatting>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5540A4-D626-4980-BC46-26DE539F9637}">
  <sheetPr codeName="Sheet60"/>
  <dimension ref="A1:T51"/>
  <sheetViews>
    <sheetView workbookViewId="0">
      <selection activeCell="Q3" sqref="Q3:Q1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8" t="s">
        <v>84</v>
      </c>
    </row>
    <row r="3" spans="1:20" ht="15.95" customHeight="1" x14ac:dyDescent="0.25">
      <c r="A3" s="17" t="s">
        <v>734</v>
      </c>
      <c r="B3" s="16" t="str">
        <f>TRIM(_xlfn.TEXTBEFORE(A3, ":"))</f>
        <v>Item Class</v>
      </c>
      <c r="C3" s="17" t="s">
        <v>2251</v>
      </c>
      <c r="D3" s="16" t="str">
        <f>TRIM(_xlfn.TEXTBEFORE(C3, ":"))</f>
        <v>Gegenstandsklasse</v>
      </c>
      <c r="E3" s="17" t="s">
        <v>2972</v>
      </c>
      <c r="F3" s="16" t="str">
        <f>TRIM(_xlfn.TEXTBEFORE(E3, ":"))</f>
        <v>Clase de objeto</v>
      </c>
      <c r="G3" s="17" t="s">
        <v>1506</v>
      </c>
      <c r="H3" s="16" t="str">
        <f>TRIM(_xlfn.TEXTBEFORE(G3, ":"))</f>
        <v>Classe d'objet</v>
      </c>
      <c r="I3" s="17" t="s">
        <v>3714</v>
      </c>
      <c r="J3" s="16" t="str">
        <f>TRIM(_xlfn.TEXTBEFORE(I3, ":"))</f>
        <v>アイテムクラス</v>
      </c>
      <c r="K3" s="17" t="s">
        <v>4452</v>
      </c>
      <c r="L3" s="16" t="str">
        <f>TRIM(_xlfn.TEXTBEFORE(K3, ":"))</f>
        <v>아이템 종류</v>
      </c>
      <c r="M3" s="17" t="s">
        <v>5120</v>
      </c>
      <c r="N3" s="16" t="str">
        <f>TRIM(_xlfn.TEXTBEFORE(M3, ":"))</f>
        <v>Classe do Item</v>
      </c>
      <c r="O3" s="17" t="s">
        <v>5869</v>
      </c>
      <c r="P3" s="16" t="str">
        <f>TRIM(_xlfn.TEXTBEFORE(O3, ":"))</f>
        <v>Класс предмета</v>
      </c>
      <c r="Q3" s="17" t="s">
        <v>6496</v>
      </c>
      <c r="R3" s="16" t="str">
        <f>TRIM(_xlfn.TEXTBEFORE(Q3, ":"))</f>
        <v>ชนิดไอเทม</v>
      </c>
      <c r="S3" s="17"/>
      <c r="T3" s="20" t="e">
        <f>TRIM(_xlfn.TEXTBEFORE(S3, ":"))</f>
        <v>#N/A</v>
      </c>
    </row>
    <row r="4" spans="1:20" ht="15.95" customHeight="1" x14ac:dyDescent="0.25">
      <c r="A4" s="18" t="s">
        <v>553</v>
      </c>
      <c r="B4" s="16" t="str">
        <f>TRIM(_xlfn.TEXTAFTER(A3, ":"))</f>
        <v>Heist Targets</v>
      </c>
      <c r="C4" s="18" t="s">
        <v>1625</v>
      </c>
      <c r="D4" s="16" t="str">
        <f>TRIM(_xlfn.TEXTAFTER(C3, ":"))</f>
        <v>Auftragsziele</v>
      </c>
      <c r="E4" s="18" t="s">
        <v>2293</v>
      </c>
      <c r="F4" s="16" t="str">
        <f>TRIM(_xlfn.TEXTAFTER(E3, ":"))</f>
        <v>Objetivos de Heist</v>
      </c>
      <c r="G4" s="18" t="s">
        <v>848</v>
      </c>
      <c r="H4" s="16" t="str">
        <f>TRIM(_xlfn.TEXTAFTER(G3, ":"))</f>
        <v>Objectifs de Casse</v>
      </c>
      <c r="I4" s="18" t="s">
        <v>3061</v>
      </c>
      <c r="J4" s="16" t="str">
        <f>TRIM(_xlfn.TEXTAFTER(I3, ":"))</f>
        <v>ハイストターゲット</v>
      </c>
      <c r="K4" s="18" t="s">
        <v>3755</v>
      </c>
      <c r="L4" s="16" t="str">
        <f>TRIM(_xlfn.TEXTAFTER(K3, ":"))</f>
        <v>강탈 대상</v>
      </c>
      <c r="M4" s="18" t="s">
        <v>4539</v>
      </c>
      <c r="N4" s="16" t="str">
        <f>TRIM(_xlfn.TEXTAFTER(M3, ":"))</f>
        <v>Alvos Heist</v>
      </c>
      <c r="O4" s="18" t="s">
        <v>5223</v>
      </c>
      <c r="P4" s="16" t="str">
        <f>TRIM(_xlfn.TEXTAFTER(O3, ":"))</f>
        <v>Предметы кражи</v>
      </c>
      <c r="Q4" s="18" t="s">
        <v>5911</v>
      </c>
      <c r="R4" s="16" t="str">
        <f>TRIM(_xlfn.TEXTAFTER(Q3, ":"))</f>
        <v>เป้าหมายโจรกรรม</v>
      </c>
      <c r="S4" s="18"/>
      <c r="T4" s="20" t="e">
        <f>TRIM(_xlfn.TEXTAFTER(S3, ":"))</f>
        <v>#N/A</v>
      </c>
    </row>
    <row r="5" spans="1:20" ht="15.95" customHeight="1" x14ac:dyDescent="0.25">
      <c r="A5" s="18" t="s">
        <v>735</v>
      </c>
      <c r="B5" s="16" t="str">
        <f>TRIM(_xlfn.TEXTBEFORE(A4, ":"))</f>
        <v>Rarity</v>
      </c>
      <c r="C5" s="18" t="s">
        <v>2252</v>
      </c>
      <c r="D5" s="16" t="str">
        <f>TRIM(_xlfn.TEXTBEFORE(C4, ":"))</f>
        <v>Seltenheit</v>
      </c>
      <c r="E5" s="18" t="s">
        <v>2973</v>
      </c>
      <c r="F5" s="16" t="str">
        <f>TRIM(_xlfn.TEXTBEFORE(E4, ":"))</f>
        <v>Rareza</v>
      </c>
      <c r="G5" s="18" t="s">
        <v>1507</v>
      </c>
      <c r="H5" s="16" t="str">
        <f>TRIM(_xlfn.TEXTBEFORE(G4, ":"))</f>
        <v>Rareté</v>
      </c>
      <c r="I5" s="18" t="s">
        <v>3715</v>
      </c>
      <c r="J5" s="16" t="str">
        <f>TRIM(_xlfn.TEXTBEFORE(I4, ":"))</f>
        <v>レアリティ</v>
      </c>
      <c r="K5" s="18" t="s">
        <v>4453</v>
      </c>
      <c r="L5" s="16" t="str">
        <f>TRIM(_xlfn.TEXTBEFORE(K4, ":"))</f>
        <v>아이템 희귀도</v>
      </c>
      <c r="M5" s="18" t="s">
        <v>5121</v>
      </c>
      <c r="N5" s="16" t="str">
        <f>TRIM(_xlfn.TEXTBEFORE(M4, ":"))</f>
        <v>Raridade</v>
      </c>
      <c r="O5" s="18" t="s">
        <v>5870</v>
      </c>
      <c r="P5" s="16" t="str">
        <f>TRIM(_xlfn.TEXTBEFORE(O4, ":"))</f>
        <v>Редкость</v>
      </c>
      <c r="Q5" s="18" t="s">
        <v>6497</v>
      </c>
      <c r="R5" s="16" t="str">
        <f>TRIM(_xlfn.TEXTBEFORE(Q4, ":"))</f>
        <v>ความหายาก</v>
      </c>
      <c r="S5" s="18"/>
      <c r="T5" s="20"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20" t="e">
        <f>TRIM(_xlfn.TEXTAFTER(S4,":"))</f>
        <v>#N/A</v>
      </c>
    </row>
    <row r="7" spans="1:20" ht="15.95" customHeight="1" x14ac:dyDescent="0.25">
      <c r="A7" s="18" t="s">
        <v>736</v>
      </c>
      <c r="B7" s="16"/>
      <c r="C7" s="18" t="s">
        <v>2253</v>
      </c>
      <c r="D7" s="16"/>
      <c r="E7" s="18" t="s">
        <v>2974</v>
      </c>
      <c r="F7" s="16"/>
      <c r="G7" s="18" t="s">
        <v>1508</v>
      </c>
      <c r="H7" s="16"/>
      <c r="I7" s="18" t="s">
        <v>3716</v>
      </c>
      <c r="J7" s="16"/>
      <c r="K7" s="18" t="s">
        <v>4454</v>
      </c>
      <c r="L7" s="16"/>
      <c r="M7" s="18" t="s">
        <v>5122</v>
      </c>
      <c r="N7" s="16"/>
      <c r="O7" s="18" t="s">
        <v>5871</v>
      </c>
      <c r="P7" s="16"/>
      <c r="Q7" s="18" t="s">
        <v>6498</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737</v>
      </c>
      <c r="B9" s="16"/>
      <c r="C9" s="18" t="s">
        <v>2254</v>
      </c>
      <c r="D9" s="16"/>
      <c r="E9" s="18" t="s">
        <v>2975</v>
      </c>
      <c r="F9" s="16"/>
      <c r="G9" s="18" t="s">
        <v>1509</v>
      </c>
      <c r="H9" s="16"/>
      <c r="I9" s="18" t="s">
        <v>3717</v>
      </c>
      <c r="J9" s="16"/>
      <c r="K9" s="18" t="s">
        <v>4455</v>
      </c>
      <c r="L9" s="16"/>
      <c r="M9" s="18" t="s">
        <v>5123</v>
      </c>
      <c r="N9" s="16"/>
      <c r="O9" s="18" t="s">
        <v>5872</v>
      </c>
      <c r="P9" s="16"/>
      <c r="Q9" s="18" t="s">
        <v>6499</v>
      </c>
      <c r="R9" s="16"/>
      <c r="S9" s="18"/>
      <c r="T9" s="20"/>
    </row>
    <row r="10" spans="1:20" ht="15.95" customHeight="1" x14ac:dyDescent="0.25">
      <c r="A10" s="18" t="s">
        <v>4</v>
      </c>
      <c r="B10" s="16"/>
      <c r="C10" s="18" t="s">
        <v>4</v>
      </c>
      <c r="D10" s="16"/>
      <c r="E10" s="18" t="s">
        <v>4</v>
      </c>
      <c r="F10" s="16"/>
      <c r="G10" s="18" t="s">
        <v>1510</v>
      </c>
      <c r="H10" s="16"/>
      <c r="I10" s="18" t="s">
        <v>4</v>
      </c>
      <c r="J10" s="16"/>
      <c r="K10" s="18" t="s">
        <v>4</v>
      </c>
      <c r="L10" s="16"/>
      <c r="M10" s="18" t="s">
        <v>4</v>
      </c>
      <c r="N10" s="16"/>
      <c r="O10" s="18" t="s">
        <v>5873</v>
      </c>
      <c r="P10" s="16"/>
      <c r="Q10" s="18" t="s">
        <v>4</v>
      </c>
      <c r="R10" s="16"/>
      <c r="S10" s="18"/>
      <c r="T10" s="20"/>
    </row>
    <row r="11" spans="1:20" ht="15.95" customHeight="1" x14ac:dyDescent="0.25">
      <c r="A11" s="18" t="s">
        <v>738</v>
      </c>
      <c r="B11" s="16"/>
      <c r="C11" s="18" t="s">
        <v>2255</v>
      </c>
      <c r="D11" s="16"/>
      <c r="E11" s="18" t="s">
        <v>2976</v>
      </c>
      <c r="F11" s="16"/>
      <c r="G11" s="18" t="s">
        <v>4</v>
      </c>
      <c r="H11" s="16"/>
      <c r="I11" s="18" t="s">
        <v>3718</v>
      </c>
      <c r="J11" s="16"/>
      <c r="K11" s="18" t="s">
        <v>4456</v>
      </c>
      <c r="L11" s="16"/>
      <c r="M11" s="18" t="s">
        <v>5124</v>
      </c>
      <c r="N11" s="16"/>
      <c r="O11" s="18" t="s">
        <v>4</v>
      </c>
      <c r="P11" s="16"/>
      <c r="Q11" s="18" t="s">
        <v>6500</v>
      </c>
      <c r="R11" s="16"/>
      <c r="S11" s="18"/>
      <c r="T11" s="20"/>
    </row>
    <row r="12" spans="1:20" ht="15.95" customHeight="1" x14ac:dyDescent="0.25">
      <c r="A12" s="18"/>
      <c r="B12" s="16"/>
      <c r="C12" s="18"/>
      <c r="D12" s="16"/>
      <c r="E12" s="18"/>
      <c r="F12" s="16"/>
      <c r="G12" s="18" t="s">
        <v>1511</v>
      </c>
      <c r="H12" s="16"/>
      <c r="I12" s="18"/>
      <c r="J12" s="16"/>
      <c r="K12" s="18"/>
      <c r="L12" s="16"/>
      <c r="M12" s="18"/>
      <c r="N12" s="16"/>
      <c r="O12" s="18" t="s">
        <v>5874</v>
      </c>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12" priority="2" stopIfTrue="1">
      <formula>NOT(ISERROR(A3))</formula>
    </cfRule>
  </conditionalFormatting>
  <conditionalFormatting sqref="A3:T51">
    <cfRule type="containsErrors" dxfId="211" priority="1" stopIfTrue="1">
      <formula>ISERROR(A3)</formula>
    </cfRule>
    <cfRule type="notContainsBlanks" dxfId="210" priority="3">
      <formula>LEN(TRIM(A3))&gt;0</formula>
    </cfRule>
  </conditionalFormatting>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DD5C10-7ED1-438B-9BEB-F6BF5201A658}">
  <sheetPr codeName="Sheet61"/>
  <dimension ref="A1:T51"/>
  <sheetViews>
    <sheetView workbookViewId="0">
      <selection activeCell="Q3" sqref="Q3:Q2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8" t="s">
        <v>84</v>
      </c>
    </row>
    <row r="3" spans="1:20" ht="15.95" customHeight="1" x14ac:dyDescent="0.25">
      <c r="A3" s="17" t="s">
        <v>705</v>
      </c>
      <c r="B3" s="16" t="str">
        <f>TRIM(_xlfn.TEXTBEFORE(A3, ":"))</f>
        <v>Item Class</v>
      </c>
      <c r="C3" s="17" t="s">
        <v>2256</v>
      </c>
      <c r="D3" s="16" t="str">
        <f>TRIM(_xlfn.TEXTBEFORE(C3, ":"))</f>
        <v>Gegenstandsklasse</v>
      </c>
      <c r="E3" s="17" t="s">
        <v>2977</v>
      </c>
      <c r="F3" s="16" t="str">
        <f>TRIM(_xlfn.TEXTBEFORE(E3, ":"))</f>
        <v>Clase de objeto</v>
      </c>
      <c r="G3" s="17" t="s">
        <v>1512</v>
      </c>
      <c r="H3" s="16" t="str">
        <f>TRIM(_xlfn.TEXTBEFORE(G3, ":"))</f>
        <v>Classe d'objet</v>
      </c>
      <c r="I3" s="17" t="s">
        <v>3719</v>
      </c>
      <c r="J3" s="16" t="str">
        <f>TRIM(_xlfn.TEXTBEFORE(I3, ":"))</f>
        <v>アイテムクラス</v>
      </c>
      <c r="K3" s="17" t="s">
        <v>4457</v>
      </c>
      <c r="L3" s="16" t="str">
        <f>TRIM(_xlfn.TEXTBEFORE(K3, ":"))</f>
        <v>아이템 종류</v>
      </c>
      <c r="M3" s="17" t="s">
        <v>5125</v>
      </c>
      <c r="N3" s="16" t="str">
        <f>TRIM(_xlfn.TEXTBEFORE(M3, ":"))</f>
        <v>Classe do Item</v>
      </c>
      <c r="O3" s="17" t="s">
        <v>5875</v>
      </c>
      <c r="P3" s="16" t="str">
        <f>TRIM(_xlfn.TEXTBEFORE(O3, ":"))</f>
        <v>Класс предмета</v>
      </c>
      <c r="Q3" s="17" t="s">
        <v>6501</v>
      </c>
      <c r="R3" s="16" t="str">
        <f>TRIM(_xlfn.TEXTBEFORE(Q3, ":"))</f>
        <v>ชนิดไอเทม</v>
      </c>
      <c r="S3" s="17"/>
      <c r="T3" s="20" t="e">
        <f>TRIM(_xlfn.TEXTBEFORE(S3, ":"))</f>
        <v>#N/A</v>
      </c>
    </row>
    <row r="4" spans="1:20" ht="15.95" customHeight="1" x14ac:dyDescent="0.25">
      <c r="A4" s="18" t="s">
        <v>484</v>
      </c>
      <c r="B4" s="16" t="str">
        <f>TRIM(_xlfn.TEXTAFTER(A3, ":"))</f>
        <v>Heist Tools</v>
      </c>
      <c r="C4" s="18" t="s">
        <v>1850</v>
      </c>
      <c r="D4" s="16" t="str">
        <f>TRIM(_xlfn.TEXTAFTER(C3, ":"))</f>
        <v>Heist-Werkzeug</v>
      </c>
      <c r="E4" s="18" t="s">
        <v>2568</v>
      </c>
      <c r="F4" s="16" t="str">
        <f>TRIM(_xlfn.TEXTAFTER(E3, ":"))</f>
        <v>Herramientas de Heist</v>
      </c>
      <c r="G4" s="18" t="s">
        <v>1113</v>
      </c>
      <c r="H4" s="16" t="str">
        <f>TRIM(_xlfn.TEXTAFTER(G3, ":"))</f>
        <v>Outils de Malfaiteur</v>
      </c>
      <c r="I4" s="18" t="s">
        <v>3292</v>
      </c>
      <c r="J4" s="16" t="str">
        <f>TRIM(_xlfn.TEXTAFTER(I3, ":"))</f>
        <v>ハイストツール</v>
      </c>
      <c r="K4" s="18" t="s">
        <v>4037</v>
      </c>
      <c r="L4" s="16" t="str">
        <f>TRIM(_xlfn.TEXTAFTER(K3, ":"))</f>
        <v>강탈 도구</v>
      </c>
      <c r="M4" s="18" t="s">
        <v>4758</v>
      </c>
      <c r="N4" s="16" t="str">
        <f>TRIM(_xlfn.TEXTAFTER(M3, ":"))</f>
        <v>Ferramentas Heist</v>
      </c>
      <c r="O4" s="18" t="s">
        <v>5451</v>
      </c>
      <c r="P4" s="16" t="str">
        <f>TRIM(_xlfn.TEXTAFTER(O3, ":"))</f>
        <v>Разбойничий инструмент</v>
      </c>
      <c r="Q4" s="18" t="s">
        <v>6162</v>
      </c>
      <c r="R4" s="16" t="str">
        <f>TRIM(_xlfn.TEXTAFTER(Q3, ":"))</f>
        <v>เครื่องมือกองโจร</v>
      </c>
      <c r="S4" s="18"/>
      <c r="T4" s="20" t="e">
        <f>TRIM(_xlfn.TEXTAFTER(S3, ":"))</f>
        <v>#N/A</v>
      </c>
    </row>
    <row r="5" spans="1:20" ht="15.95" customHeight="1" x14ac:dyDescent="0.25">
      <c r="A5" s="18" t="s">
        <v>706</v>
      </c>
      <c r="B5" s="16" t="str">
        <f>TRIM(_xlfn.TEXTBEFORE(A4, ":"))</f>
        <v>Rarity</v>
      </c>
      <c r="C5" s="18" t="s">
        <v>2257</v>
      </c>
      <c r="D5" s="16" t="str">
        <f>TRIM(_xlfn.TEXTBEFORE(C4, ":"))</f>
        <v>Seltenheit</v>
      </c>
      <c r="E5" s="18" t="s">
        <v>2978</v>
      </c>
      <c r="F5" s="16" t="str">
        <f>TRIM(_xlfn.TEXTBEFORE(E4, ":"))</f>
        <v>Rareza</v>
      </c>
      <c r="G5" s="18" t="s">
        <v>1513</v>
      </c>
      <c r="H5" s="16" t="str">
        <f>TRIM(_xlfn.TEXTBEFORE(G4, ":"))</f>
        <v>Rareté</v>
      </c>
      <c r="I5" s="18" t="s">
        <v>3720</v>
      </c>
      <c r="J5" s="16" t="str">
        <f>TRIM(_xlfn.TEXTBEFORE(I4, ":"))</f>
        <v>レアリティ</v>
      </c>
      <c r="K5" s="18" t="s">
        <v>4458</v>
      </c>
      <c r="L5" s="16" t="str">
        <f>TRIM(_xlfn.TEXTBEFORE(K4, ":"))</f>
        <v>아이템 희귀도</v>
      </c>
      <c r="M5" s="18" t="s">
        <v>5126</v>
      </c>
      <c r="N5" s="16" t="str">
        <f>TRIM(_xlfn.TEXTBEFORE(M4, ":"))</f>
        <v>Raridade</v>
      </c>
      <c r="O5" s="18" t="s">
        <v>5876</v>
      </c>
      <c r="P5" s="16" t="str">
        <f>TRIM(_xlfn.TEXTBEFORE(O4, ":"))</f>
        <v>Редкость</v>
      </c>
      <c r="Q5" s="18" t="s">
        <v>706</v>
      </c>
      <c r="R5" s="16" t="str">
        <f>TRIM(_xlfn.TEXTBEFORE(Q4, ":"))</f>
        <v>ความหายาก</v>
      </c>
      <c r="S5" s="18"/>
      <c r="T5" s="20" t="e">
        <f>TRIM(_xlfn.TEXTBEFORE(S4, ":"))</f>
        <v>#N/A</v>
      </c>
    </row>
    <row r="6" spans="1:20" ht="15.95" customHeight="1" x14ac:dyDescent="0.25">
      <c r="A6" s="18" t="s">
        <v>707</v>
      </c>
      <c r="B6" s="16" t="str">
        <f>TRIM(_xlfn.TEXTAFTER(A4,":"))</f>
        <v>Rare</v>
      </c>
      <c r="C6" s="18" t="s">
        <v>2258</v>
      </c>
      <c r="D6" s="16" t="str">
        <f>TRIM(_xlfn.TEXTAFTER(C4,":"))</f>
        <v>Selten</v>
      </c>
      <c r="E6" s="18" t="s">
        <v>2979</v>
      </c>
      <c r="F6" s="16" t="str">
        <f>TRIM(_xlfn.TEXTAFTER(E4,":"))</f>
        <v>Raro</v>
      </c>
      <c r="G6" s="18" t="s">
        <v>1514</v>
      </c>
      <c r="H6" s="16" t="str">
        <f>TRIM(_xlfn.TEXTAFTER(G4,":"))</f>
        <v>Rare</v>
      </c>
      <c r="I6" s="18" t="s">
        <v>3721</v>
      </c>
      <c r="J6" s="16" t="str">
        <f>TRIM(_xlfn.TEXTAFTER(I4,":"))</f>
        <v>レア</v>
      </c>
      <c r="K6" s="18" t="s">
        <v>4459</v>
      </c>
      <c r="L6" s="16" t="str">
        <f>TRIM(_xlfn.TEXTAFTER(K4,":"))</f>
        <v>희귀</v>
      </c>
      <c r="M6" s="18" t="s">
        <v>5127</v>
      </c>
      <c r="N6" s="16" t="str">
        <f>TRIM(_xlfn.TEXTAFTER(M4,":"))</f>
        <v>Raro</v>
      </c>
      <c r="O6" s="18" t="s">
        <v>5877</v>
      </c>
      <c r="P6" s="16" t="str">
        <f>TRIM(_xlfn.TEXTAFTER(O4,":"))</f>
        <v>Редкий</v>
      </c>
      <c r="Q6" s="18" t="s">
        <v>6502</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708</v>
      </c>
      <c r="B8" s="16"/>
      <c r="C8" s="18" t="s">
        <v>2259</v>
      </c>
      <c r="D8" s="16"/>
      <c r="E8" s="18" t="s">
        <v>2980</v>
      </c>
      <c r="F8" s="16"/>
      <c r="G8" s="18" t="s">
        <v>1515</v>
      </c>
      <c r="H8" s="16"/>
      <c r="I8" s="18" t="s">
        <v>3722</v>
      </c>
      <c r="J8" s="16"/>
      <c r="K8" s="18" t="s">
        <v>4460</v>
      </c>
      <c r="L8" s="16"/>
      <c r="M8" s="18" t="s">
        <v>5128</v>
      </c>
      <c r="N8" s="16"/>
      <c r="O8" s="18" t="s">
        <v>5878</v>
      </c>
      <c r="P8" s="16"/>
      <c r="Q8" s="18" t="s">
        <v>6503</v>
      </c>
      <c r="R8" s="16"/>
      <c r="S8" s="18"/>
      <c r="T8" s="20"/>
    </row>
    <row r="9" spans="1:20" ht="15.95" customHeight="1" x14ac:dyDescent="0.25">
      <c r="A9" s="18" t="s">
        <v>709</v>
      </c>
      <c r="B9" s="16"/>
      <c r="C9" s="18" t="s">
        <v>2260</v>
      </c>
      <c r="D9" s="16"/>
      <c r="E9" s="18" t="s">
        <v>2981</v>
      </c>
      <c r="F9" s="16"/>
      <c r="G9" s="18" t="s">
        <v>1516</v>
      </c>
      <c r="H9" s="16"/>
      <c r="I9" s="18" t="s">
        <v>3723</v>
      </c>
      <c r="J9" s="16"/>
      <c r="K9" s="18" t="s">
        <v>4461</v>
      </c>
      <c r="L9" s="16"/>
      <c r="M9" s="18" t="s">
        <v>5129</v>
      </c>
      <c r="N9" s="16"/>
      <c r="O9" s="18" t="s">
        <v>5879</v>
      </c>
      <c r="P9" s="16"/>
      <c r="Q9" s="18" t="s">
        <v>6504</v>
      </c>
      <c r="R9" s="16"/>
      <c r="S9" s="18"/>
      <c r="T9" s="20"/>
    </row>
    <row r="10" spans="1:20" ht="15.95" customHeight="1" x14ac:dyDescent="0.25">
      <c r="A10" s="18" t="s">
        <v>710</v>
      </c>
      <c r="B10" s="16"/>
      <c r="C10" s="18" t="s">
        <v>2261</v>
      </c>
      <c r="D10" s="16"/>
      <c r="E10" s="18" t="s">
        <v>2982</v>
      </c>
      <c r="F10" s="16"/>
      <c r="G10" s="18" t="s">
        <v>1517</v>
      </c>
      <c r="H10" s="16"/>
      <c r="I10" s="18" t="s">
        <v>3724</v>
      </c>
      <c r="J10" s="16"/>
      <c r="K10" s="18" t="s">
        <v>4462</v>
      </c>
      <c r="L10" s="16"/>
      <c r="M10" s="18" t="s">
        <v>5130</v>
      </c>
      <c r="N10" s="16"/>
      <c r="O10" s="18" t="s">
        <v>5880</v>
      </c>
      <c r="P10" s="16"/>
      <c r="Q10" s="18" t="s">
        <v>6505</v>
      </c>
      <c r="R10" s="16"/>
      <c r="S10" s="18"/>
      <c r="T10" s="20"/>
    </row>
    <row r="11" spans="1:20" ht="15.95" customHeight="1" x14ac:dyDescent="0.25">
      <c r="A11" s="18" t="s">
        <v>711</v>
      </c>
      <c r="B11" s="16"/>
      <c r="C11" s="18" t="s">
        <v>2262</v>
      </c>
      <c r="D11" s="16"/>
      <c r="E11" s="18" t="s">
        <v>2983</v>
      </c>
      <c r="F11" s="16"/>
      <c r="G11" s="18" t="s">
        <v>1518</v>
      </c>
      <c r="H11" s="16"/>
      <c r="I11" s="18" t="s">
        <v>3725</v>
      </c>
      <c r="J11" s="16"/>
      <c r="K11" s="18" t="s">
        <v>4463</v>
      </c>
      <c r="L11" s="16"/>
      <c r="M11" s="18" t="s">
        <v>5131</v>
      </c>
      <c r="N11" s="16"/>
      <c r="O11" s="18" t="s">
        <v>5881</v>
      </c>
      <c r="P11" s="16"/>
      <c r="Q11" s="18" t="s">
        <v>6506</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81</v>
      </c>
      <c r="B13" s="16"/>
      <c r="C13" s="18" t="s">
        <v>1589</v>
      </c>
      <c r="D13" s="16"/>
      <c r="E13" s="18" t="s">
        <v>2308</v>
      </c>
      <c r="F13" s="16"/>
      <c r="G13" s="18" t="s">
        <v>5</v>
      </c>
      <c r="H13" s="16"/>
      <c r="I13" s="18" t="s">
        <v>3018</v>
      </c>
      <c r="J13" s="16"/>
      <c r="K13" s="18" t="s">
        <v>3772</v>
      </c>
      <c r="L13" s="16"/>
      <c r="M13" s="18" t="s">
        <v>2308</v>
      </c>
      <c r="N13" s="16"/>
      <c r="O13" s="18" t="s">
        <v>5183</v>
      </c>
      <c r="P13" s="16"/>
      <c r="Q13" s="18" t="s">
        <v>5928</v>
      </c>
      <c r="R13" s="16"/>
      <c r="S13" s="18"/>
      <c r="T13" s="20"/>
    </row>
    <row r="14" spans="1:20" ht="15.95" customHeight="1" x14ac:dyDescent="0.25">
      <c r="A14" s="18" t="s">
        <v>712</v>
      </c>
      <c r="B14" s="16"/>
      <c r="C14" s="18" t="s">
        <v>2263</v>
      </c>
      <c r="D14" s="16"/>
      <c r="E14" s="18" t="s">
        <v>2984</v>
      </c>
      <c r="F14" s="16"/>
      <c r="G14" s="18" t="s">
        <v>1519</v>
      </c>
      <c r="H14" s="16"/>
      <c r="I14" s="18" t="s">
        <v>3726</v>
      </c>
      <c r="J14" s="16"/>
      <c r="K14" s="18" t="s">
        <v>4464</v>
      </c>
      <c r="L14" s="16"/>
      <c r="M14" s="18" t="s">
        <v>5132</v>
      </c>
      <c r="N14" s="16"/>
      <c r="O14" s="18" t="s">
        <v>5882</v>
      </c>
      <c r="P14" s="16"/>
      <c r="Q14" s="18" t="s">
        <v>6507</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624</v>
      </c>
      <c r="B16" s="16"/>
      <c r="C16" s="18" t="s">
        <v>1772</v>
      </c>
      <c r="D16" s="16"/>
      <c r="E16" s="18" t="s">
        <v>2491</v>
      </c>
      <c r="F16" s="16"/>
      <c r="G16" s="18" t="s">
        <v>1040</v>
      </c>
      <c r="H16" s="16"/>
      <c r="I16" s="18" t="s">
        <v>3210</v>
      </c>
      <c r="J16" s="16"/>
      <c r="K16" s="18" t="s">
        <v>3956</v>
      </c>
      <c r="L16" s="16"/>
      <c r="M16" s="18" t="s">
        <v>4685</v>
      </c>
      <c r="N16" s="16"/>
      <c r="O16" s="18" t="s">
        <v>5370</v>
      </c>
      <c r="P16" s="16"/>
      <c r="Q16" s="18" t="s">
        <v>6096</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713</v>
      </c>
      <c r="B18" s="16"/>
      <c r="C18" s="18" t="s">
        <v>2264</v>
      </c>
      <c r="D18" s="16"/>
      <c r="E18" s="18" t="s">
        <v>2985</v>
      </c>
      <c r="F18" s="16"/>
      <c r="G18" s="18" t="s">
        <v>1520</v>
      </c>
      <c r="H18" s="16"/>
      <c r="I18" s="18" t="s">
        <v>3727</v>
      </c>
      <c r="J18" s="16"/>
      <c r="K18" s="18" t="s">
        <v>4465</v>
      </c>
      <c r="L18" s="16"/>
      <c r="M18" s="18" t="s">
        <v>5133</v>
      </c>
      <c r="N18" s="16"/>
      <c r="O18" s="18" t="s">
        <v>5883</v>
      </c>
      <c r="P18" s="16"/>
      <c r="Q18" s="18" t="s">
        <v>6508</v>
      </c>
      <c r="R18" s="16"/>
      <c r="S18" s="18"/>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0"/>
    </row>
    <row r="20" spans="1:20" ht="15.95" customHeight="1" x14ac:dyDescent="0.25">
      <c r="A20" s="18" t="s">
        <v>714</v>
      </c>
      <c r="B20" s="16"/>
      <c r="C20" s="18" t="s">
        <v>2265</v>
      </c>
      <c r="D20" s="16"/>
      <c r="E20" s="18" t="s">
        <v>2986</v>
      </c>
      <c r="F20" s="16"/>
      <c r="G20" s="18" t="s">
        <v>1521</v>
      </c>
      <c r="H20" s="16"/>
      <c r="I20" s="18" t="s">
        <v>3728</v>
      </c>
      <c r="J20" s="16"/>
      <c r="K20" s="18" t="s">
        <v>4466</v>
      </c>
      <c r="L20" s="16"/>
      <c r="M20" s="18" t="s">
        <v>5134</v>
      </c>
      <c r="N20" s="16"/>
      <c r="O20" s="18" t="s">
        <v>5884</v>
      </c>
      <c r="P20" s="16"/>
      <c r="Q20" s="18" t="s">
        <v>6509</v>
      </c>
      <c r="R20" s="16"/>
      <c r="S20" s="18"/>
      <c r="T20" s="20"/>
    </row>
    <row r="21" spans="1:20" ht="15.95" customHeight="1" x14ac:dyDescent="0.25">
      <c r="A21" s="18" t="s">
        <v>715</v>
      </c>
      <c r="B21" s="16"/>
      <c r="C21" s="18" t="s">
        <v>2266</v>
      </c>
      <c r="D21" s="16"/>
      <c r="E21" s="18" t="s">
        <v>2987</v>
      </c>
      <c r="F21" s="16"/>
      <c r="G21" s="18" t="s">
        <v>1522</v>
      </c>
      <c r="H21" s="16"/>
      <c r="I21" s="18" t="s">
        <v>3729</v>
      </c>
      <c r="J21" s="16"/>
      <c r="K21" s="18" t="s">
        <v>4467</v>
      </c>
      <c r="L21" s="16"/>
      <c r="M21" s="18" t="s">
        <v>5135</v>
      </c>
      <c r="N21" s="16"/>
      <c r="O21" s="18" t="s">
        <v>5885</v>
      </c>
      <c r="P21" s="16"/>
      <c r="Q21" s="18" t="s">
        <v>6510</v>
      </c>
      <c r="R21" s="16"/>
      <c r="S21" s="18"/>
      <c r="T21" s="20"/>
    </row>
    <row r="22" spans="1:20" ht="15.95" customHeight="1" x14ac:dyDescent="0.25">
      <c r="A22" s="18" t="s">
        <v>716</v>
      </c>
      <c r="B22" s="16"/>
      <c r="C22" s="18" t="s">
        <v>2267</v>
      </c>
      <c r="D22" s="16"/>
      <c r="E22" s="18" t="s">
        <v>2988</v>
      </c>
      <c r="F22" s="16"/>
      <c r="G22" s="18" t="s">
        <v>1523</v>
      </c>
      <c r="H22" s="16"/>
      <c r="I22" s="18" t="s">
        <v>3730</v>
      </c>
      <c r="J22" s="16"/>
      <c r="K22" s="18" t="s">
        <v>4468</v>
      </c>
      <c r="L22" s="16"/>
      <c r="M22" s="18" t="s">
        <v>5136</v>
      </c>
      <c r="N22" s="16"/>
      <c r="O22" s="18" t="s">
        <v>5886</v>
      </c>
      <c r="P22" s="16"/>
      <c r="Q22" s="18" t="s">
        <v>6511</v>
      </c>
      <c r="R22" s="16"/>
      <c r="S22" s="18"/>
      <c r="T22" s="20"/>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0"/>
    </row>
    <row r="24" spans="1:20" ht="15.95" customHeight="1" x14ac:dyDescent="0.25">
      <c r="A24" s="18" t="s">
        <v>494</v>
      </c>
      <c r="B24" s="16"/>
      <c r="C24" s="18" t="s">
        <v>2233</v>
      </c>
      <c r="D24" s="16"/>
      <c r="E24" s="18" t="s">
        <v>2954</v>
      </c>
      <c r="F24" s="16"/>
      <c r="G24" s="18" t="s">
        <v>1488</v>
      </c>
      <c r="H24" s="16"/>
      <c r="I24" s="18" t="s">
        <v>3696</v>
      </c>
      <c r="J24" s="16"/>
      <c r="K24" s="18" t="s">
        <v>4434</v>
      </c>
      <c r="L24" s="16"/>
      <c r="M24" s="18" t="s">
        <v>5102</v>
      </c>
      <c r="N24" s="16"/>
      <c r="O24" s="18" t="s">
        <v>5851</v>
      </c>
      <c r="P24" s="16"/>
      <c r="Q24" s="18" t="s">
        <v>6480</v>
      </c>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09" priority="2" stopIfTrue="1">
      <formula>NOT(ISERROR(A3))</formula>
    </cfRule>
  </conditionalFormatting>
  <conditionalFormatting sqref="A3:T51">
    <cfRule type="containsErrors" dxfId="208" priority="1" stopIfTrue="1">
      <formula>ISERROR(A3)</formula>
    </cfRule>
    <cfRule type="notContainsBlanks" dxfId="207" priority="3">
      <formula>LEN(TRIM(A3))&gt;0</formula>
    </cfRule>
  </conditionalFormatting>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02AE1B-028B-4D4F-8710-90FA31D93BD4}">
  <sheetPr codeName="Sheet62"/>
  <dimension ref="A1:T51"/>
  <sheetViews>
    <sheetView workbookViewId="0">
      <selection activeCell="Q3" sqref="Q3:Q19"/>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8" t="s">
        <v>84</v>
      </c>
    </row>
    <row r="3" spans="1:20" ht="15.95" customHeight="1" x14ac:dyDescent="0.25">
      <c r="A3" s="17" t="s">
        <v>1526</v>
      </c>
      <c r="B3" s="16" t="str">
        <f>TRIM(_xlfn.TEXTBEFORE(A3, ":"))</f>
        <v>Item Class</v>
      </c>
      <c r="C3" s="17" t="s">
        <v>2268</v>
      </c>
      <c r="D3" s="16" t="str">
        <f>TRIM(_xlfn.TEXTBEFORE(C3, ":"))</f>
        <v>Gegenstandsklasse</v>
      </c>
      <c r="E3" s="17" t="s">
        <v>2989</v>
      </c>
      <c r="F3" s="16" t="str">
        <f>TRIM(_xlfn.TEXTBEFORE(E3, ":"))</f>
        <v>Clase de objeto</v>
      </c>
      <c r="G3" s="17" t="s">
        <v>1545</v>
      </c>
      <c r="H3" s="16" t="str">
        <f>TRIM(_xlfn.TEXTBEFORE(G3, ":"))</f>
        <v>Classe d'objet</v>
      </c>
      <c r="I3" s="17" t="s">
        <v>3731</v>
      </c>
      <c r="J3" s="16" t="str">
        <f>TRIM(_xlfn.TEXTBEFORE(I3, ":"))</f>
        <v>アイテムクラス</v>
      </c>
      <c r="K3" s="17" t="s">
        <v>4469</v>
      </c>
      <c r="L3" s="16" t="str">
        <f>TRIM(_xlfn.TEXTBEFORE(K3, ":"))</f>
        <v>아이템 종류</v>
      </c>
      <c r="M3" s="17" t="s">
        <v>5137</v>
      </c>
      <c r="N3" s="16" t="str">
        <f>TRIM(_xlfn.TEXTBEFORE(M3, ":"))</f>
        <v>Classe do Item</v>
      </c>
      <c r="O3" s="17" t="s">
        <v>5887</v>
      </c>
      <c r="P3" s="16" t="str">
        <f>TRIM(_xlfn.TEXTBEFORE(O3, ":"))</f>
        <v>Класс предмета</v>
      </c>
      <c r="Q3" s="17" t="s">
        <v>6512</v>
      </c>
      <c r="R3" s="16" t="str">
        <f>TRIM(_xlfn.TEXTBEFORE(Q3, ":"))</f>
        <v>ชนิดไอเทม</v>
      </c>
      <c r="S3" s="17"/>
      <c r="T3" s="20" t="e">
        <f>TRIM(_xlfn.TEXTBEFORE(S3, ":"))</f>
        <v>#N/A</v>
      </c>
    </row>
    <row r="4" spans="1:20" ht="15.95" customHeight="1" x14ac:dyDescent="0.25">
      <c r="A4" s="18" t="s">
        <v>484</v>
      </c>
      <c r="B4" s="16" t="str">
        <f>TRIM(_xlfn.TEXTAFTER(A3, ":"))</f>
        <v>Trinkets</v>
      </c>
      <c r="C4" s="18" t="s">
        <v>1850</v>
      </c>
      <c r="D4" s="16" t="str">
        <f>TRIM(_xlfn.TEXTAFTER(C3, ":"))</f>
        <v>Schmuckstücke</v>
      </c>
      <c r="E4" s="18" t="s">
        <v>2568</v>
      </c>
      <c r="F4" s="16" t="str">
        <f>TRIM(_xlfn.TEXTAFTER(E3, ":"))</f>
        <v>Abalorios</v>
      </c>
      <c r="G4" s="18" t="s">
        <v>1113</v>
      </c>
      <c r="H4" s="16" t="str">
        <f>TRIM(_xlfn.TEXTAFTER(G3, ":"))</f>
        <v>Babioles</v>
      </c>
      <c r="I4" s="18" t="s">
        <v>3292</v>
      </c>
      <c r="J4" s="16" t="str">
        <f>TRIM(_xlfn.TEXTAFTER(I3, ":"))</f>
        <v>トリンケット</v>
      </c>
      <c r="K4" s="18" t="s">
        <v>4037</v>
      </c>
      <c r="L4" s="16" t="str">
        <f>TRIM(_xlfn.TEXTAFTER(K3, ":"))</f>
        <v>장신구</v>
      </c>
      <c r="M4" s="18" t="s">
        <v>4758</v>
      </c>
      <c r="N4" s="16" t="str">
        <f>TRIM(_xlfn.TEXTAFTER(M3, ":"))</f>
        <v>Adornos</v>
      </c>
      <c r="O4" s="18" t="s">
        <v>5451</v>
      </c>
      <c r="P4" s="16" t="str">
        <f>TRIM(_xlfn.TEXTAFTER(O3, ":"))</f>
        <v>Украшения</v>
      </c>
      <c r="Q4" s="18" t="s">
        <v>6162</v>
      </c>
      <c r="R4" s="16" t="str">
        <f>TRIM(_xlfn.TEXTAFTER(Q3, ":"))</f>
        <v>เครื่องประดับโจร</v>
      </c>
      <c r="S4" s="18"/>
      <c r="T4" s="20" t="e">
        <f>TRIM(_xlfn.TEXTAFTER(S3, ":"))</f>
        <v>#N/A</v>
      </c>
    </row>
    <row r="5" spans="1:20" ht="15.95" customHeight="1" x14ac:dyDescent="0.25">
      <c r="A5" s="18" t="s">
        <v>1527</v>
      </c>
      <c r="B5" s="16" t="str">
        <f>TRIM(_xlfn.TEXTBEFORE(A4, ":"))</f>
        <v>Rarity</v>
      </c>
      <c r="C5" s="18" t="s">
        <v>2269</v>
      </c>
      <c r="D5" s="16" t="str">
        <f>TRIM(_xlfn.TEXTBEFORE(C4, ":"))</f>
        <v>Seltenheit</v>
      </c>
      <c r="E5" s="18" t="s">
        <v>2990</v>
      </c>
      <c r="F5" s="16" t="str">
        <f>TRIM(_xlfn.TEXTBEFORE(E4, ":"))</f>
        <v>Rareza</v>
      </c>
      <c r="G5" s="18" t="s">
        <v>1546</v>
      </c>
      <c r="H5" s="16" t="str">
        <f>TRIM(_xlfn.TEXTBEFORE(G4, ":"))</f>
        <v>Rareté</v>
      </c>
      <c r="I5" s="18" t="s">
        <v>3732</v>
      </c>
      <c r="J5" s="16" t="str">
        <f>TRIM(_xlfn.TEXTBEFORE(I4, ":"))</f>
        <v>レアリティ</v>
      </c>
      <c r="K5" s="18" t="s">
        <v>4470</v>
      </c>
      <c r="L5" s="16" t="str">
        <f>TRIM(_xlfn.TEXTBEFORE(K4, ":"))</f>
        <v>아이템 희귀도</v>
      </c>
      <c r="M5" s="18" t="s">
        <v>5138</v>
      </c>
      <c r="N5" s="16" t="str">
        <f>TRIM(_xlfn.TEXTBEFORE(M4, ":"))</f>
        <v>Raridade</v>
      </c>
      <c r="O5" s="18" t="s">
        <v>5888</v>
      </c>
      <c r="P5" s="16" t="str">
        <f>TRIM(_xlfn.TEXTBEFORE(O4, ":"))</f>
        <v>Редкость</v>
      </c>
      <c r="Q5" s="18" t="s">
        <v>1527</v>
      </c>
      <c r="R5" s="16" t="str">
        <f>TRIM(_xlfn.TEXTBEFORE(Q4, ":"))</f>
        <v>ความหายาก</v>
      </c>
      <c r="S5" s="18"/>
      <c r="T5" s="20" t="e">
        <f>TRIM(_xlfn.TEXTBEFORE(S4, ":"))</f>
        <v>#N/A</v>
      </c>
    </row>
    <row r="6" spans="1:20" ht="15.95" customHeight="1" x14ac:dyDescent="0.25">
      <c r="A6" s="18" t="s">
        <v>1528</v>
      </c>
      <c r="B6" s="16" t="str">
        <f>TRIM(_xlfn.TEXTAFTER(A4,":"))</f>
        <v>Rare</v>
      </c>
      <c r="C6" s="18" t="s">
        <v>2270</v>
      </c>
      <c r="D6" s="16" t="str">
        <f>TRIM(_xlfn.TEXTAFTER(C4,":"))</f>
        <v>Selten</v>
      </c>
      <c r="E6" s="18" t="s">
        <v>2991</v>
      </c>
      <c r="F6" s="16" t="str">
        <f>TRIM(_xlfn.TEXTAFTER(E4,":"))</f>
        <v>Raro</v>
      </c>
      <c r="G6" s="18" t="s">
        <v>1547</v>
      </c>
      <c r="H6" s="16" t="str">
        <f>TRIM(_xlfn.TEXTAFTER(G4,":"))</f>
        <v>Rare</v>
      </c>
      <c r="I6" s="18" t="s">
        <v>3733</v>
      </c>
      <c r="J6" s="16" t="str">
        <f>TRIM(_xlfn.TEXTAFTER(I4,":"))</f>
        <v>レア</v>
      </c>
      <c r="K6" s="18" t="s">
        <v>4471</v>
      </c>
      <c r="L6" s="16" t="str">
        <f>TRIM(_xlfn.TEXTAFTER(K4,":"))</f>
        <v>희귀</v>
      </c>
      <c r="M6" s="18" t="s">
        <v>5139</v>
      </c>
      <c r="N6" s="16" t="str">
        <f>TRIM(_xlfn.TEXTAFTER(M4,":"))</f>
        <v>Raro</v>
      </c>
      <c r="O6" s="18" t="s">
        <v>5889</v>
      </c>
      <c r="P6" s="16" t="str">
        <f>TRIM(_xlfn.TEXTAFTER(O4,":"))</f>
        <v>Редкий</v>
      </c>
      <c r="Q6" s="18" t="s">
        <v>6513</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81</v>
      </c>
      <c r="B8" s="16"/>
      <c r="C8" s="18" t="s">
        <v>1589</v>
      </c>
      <c r="D8" s="16"/>
      <c r="E8" s="18" t="s">
        <v>2308</v>
      </c>
      <c r="F8" s="16"/>
      <c r="G8" s="18" t="s">
        <v>5</v>
      </c>
      <c r="H8" s="16"/>
      <c r="I8" s="18" t="s">
        <v>3018</v>
      </c>
      <c r="J8" s="16"/>
      <c r="K8" s="18" t="s">
        <v>3772</v>
      </c>
      <c r="L8" s="16"/>
      <c r="M8" s="18" t="s">
        <v>2308</v>
      </c>
      <c r="N8" s="16"/>
      <c r="O8" s="18" t="s">
        <v>5183</v>
      </c>
      <c r="P8" s="16"/>
      <c r="Q8" s="18" t="s">
        <v>5928</v>
      </c>
      <c r="R8" s="16"/>
      <c r="S8" s="18"/>
      <c r="T8" s="20"/>
    </row>
    <row r="9" spans="1:20" ht="15.95" customHeight="1" x14ac:dyDescent="0.25">
      <c r="A9" s="18" t="s">
        <v>1529</v>
      </c>
      <c r="B9" s="16"/>
      <c r="C9" s="18" t="s">
        <v>2271</v>
      </c>
      <c r="D9" s="16"/>
      <c r="E9" s="18" t="s">
        <v>2992</v>
      </c>
      <c r="F9" s="16"/>
      <c r="G9" s="18" t="s">
        <v>1548</v>
      </c>
      <c r="H9" s="16"/>
      <c r="I9" s="18" t="s">
        <v>3734</v>
      </c>
      <c r="J9" s="16"/>
      <c r="K9" s="18" t="s">
        <v>4472</v>
      </c>
      <c r="L9" s="16"/>
      <c r="M9" s="18" t="s">
        <v>5140</v>
      </c>
      <c r="N9" s="16"/>
      <c r="O9" s="18" t="s">
        <v>5890</v>
      </c>
      <c r="P9" s="16"/>
      <c r="Q9" s="18" t="s">
        <v>6514</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88</v>
      </c>
      <c r="B11" s="16"/>
      <c r="C11" s="18" t="s">
        <v>1713</v>
      </c>
      <c r="D11" s="16"/>
      <c r="E11" s="18" t="s">
        <v>2432</v>
      </c>
      <c r="F11" s="16"/>
      <c r="G11" s="18" t="s">
        <v>981</v>
      </c>
      <c r="H11" s="16"/>
      <c r="I11" s="18" t="s">
        <v>3150</v>
      </c>
      <c r="J11" s="16"/>
      <c r="K11" s="18" t="s">
        <v>3897</v>
      </c>
      <c r="L11" s="16"/>
      <c r="M11" s="18" t="s">
        <v>4626</v>
      </c>
      <c r="N11" s="16"/>
      <c r="O11" s="18" t="s">
        <v>5311</v>
      </c>
      <c r="P11" s="16"/>
      <c r="Q11" s="18" t="s">
        <v>6043</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1530</v>
      </c>
      <c r="B13" s="16"/>
      <c r="C13" s="18" t="s">
        <v>2272</v>
      </c>
      <c r="D13" s="16"/>
      <c r="E13" s="18" t="s">
        <v>2993</v>
      </c>
      <c r="F13" s="16"/>
      <c r="G13" s="18" t="s">
        <v>1549</v>
      </c>
      <c r="H13" s="16"/>
      <c r="I13" s="18" t="s">
        <v>3735</v>
      </c>
      <c r="J13" s="16"/>
      <c r="K13" s="18" t="s">
        <v>4473</v>
      </c>
      <c r="L13" s="16"/>
      <c r="M13" s="18" t="s">
        <v>5141</v>
      </c>
      <c r="N13" s="16"/>
      <c r="O13" s="18" t="s">
        <v>5891</v>
      </c>
      <c r="P13" s="16"/>
      <c r="Q13" s="18" t="s">
        <v>6515</v>
      </c>
      <c r="R13" s="16"/>
      <c r="S13" s="18"/>
      <c r="T13" s="20"/>
    </row>
    <row r="14" spans="1:20" ht="15.95" customHeight="1" x14ac:dyDescent="0.25">
      <c r="A14" s="18" t="s">
        <v>1531</v>
      </c>
      <c r="B14" s="16"/>
      <c r="C14" s="18" t="s">
        <v>2273</v>
      </c>
      <c r="D14" s="16"/>
      <c r="E14" s="18" t="s">
        <v>2994</v>
      </c>
      <c r="F14" s="16"/>
      <c r="G14" s="18" t="s">
        <v>1550</v>
      </c>
      <c r="H14" s="16"/>
      <c r="I14" s="18" t="s">
        <v>3736</v>
      </c>
      <c r="J14" s="16"/>
      <c r="K14" s="18" t="s">
        <v>4474</v>
      </c>
      <c r="L14" s="16"/>
      <c r="M14" s="18" t="s">
        <v>5142</v>
      </c>
      <c r="N14" s="16"/>
      <c r="O14" s="18" t="s">
        <v>5892</v>
      </c>
      <c r="P14" s="16"/>
      <c r="Q14" s="18" t="s">
        <v>6516</v>
      </c>
      <c r="R14" s="16"/>
      <c r="S14" s="18"/>
      <c r="T14" s="20"/>
    </row>
    <row r="15" spans="1:20" ht="15.95" customHeight="1" x14ac:dyDescent="0.25">
      <c r="A15" s="18" t="s">
        <v>1532</v>
      </c>
      <c r="B15" s="16"/>
      <c r="C15" s="18" t="s">
        <v>2274</v>
      </c>
      <c r="D15" s="16"/>
      <c r="E15" s="18" t="s">
        <v>2995</v>
      </c>
      <c r="F15" s="16"/>
      <c r="G15" s="18" t="s">
        <v>1551</v>
      </c>
      <c r="H15" s="16"/>
      <c r="I15" s="18" t="s">
        <v>3737</v>
      </c>
      <c r="J15" s="16"/>
      <c r="K15" s="18" t="s">
        <v>4475</v>
      </c>
      <c r="L15" s="16"/>
      <c r="M15" s="18" t="s">
        <v>5143</v>
      </c>
      <c r="N15" s="16"/>
      <c r="O15" s="18" t="s">
        <v>5893</v>
      </c>
      <c r="P15" s="16"/>
      <c r="Q15" s="18" t="s">
        <v>6517</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1533</v>
      </c>
      <c r="B17" s="16"/>
      <c r="C17" s="18" t="s">
        <v>2275</v>
      </c>
      <c r="D17" s="16"/>
      <c r="E17" s="18" t="s">
        <v>2996</v>
      </c>
      <c r="F17" s="16"/>
      <c r="G17" s="18" t="s">
        <v>1552</v>
      </c>
      <c r="H17" s="16"/>
      <c r="I17" s="18" t="s">
        <v>3738</v>
      </c>
      <c r="J17" s="16"/>
      <c r="K17" s="18" t="s">
        <v>4476</v>
      </c>
      <c r="L17" s="16"/>
      <c r="M17" s="18" t="s">
        <v>5144</v>
      </c>
      <c r="N17" s="16"/>
      <c r="O17" s="18" t="s">
        <v>5894</v>
      </c>
      <c r="P17" s="16"/>
      <c r="Q17" s="18" t="s">
        <v>6518</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53</v>
      </c>
      <c r="B19" s="16"/>
      <c r="C19" s="18" t="s">
        <v>1611</v>
      </c>
      <c r="D19" s="16"/>
      <c r="E19" s="18" t="s">
        <v>2316</v>
      </c>
      <c r="F19" s="16"/>
      <c r="G19" s="18" t="s">
        <v>885</v>
      </c>
      <c r="H19" s="16"/>
      <c r="I19" s="18" t="s">
        <v>3026</v>
      </c>
      <c r="J19" s="16"/>
      <c r="K19" s="18" t="s">
        <v>3780</v>
      </c>
      <c r="L19" s="16"/>
      <c r="M19" s="18" t="s">
        <v>4510</v>
      </c>
      <c r="N19" s="16"/>
      <c r="O19" s="18" t="s">
        <v>5191</v>
      </c>
      <c r="P19" s="16"/>
      <c r="Q19" s="18" t="s">
        <v>5935</v>
      </c>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06" priority="2" stopIfTrue="1">
      <formula>NOT(ISERROR(A3))</formula>
    </cfRule>
  </conditionalFormatting>
  <conditionalFormatting sqref="A3:T51">
    <cfRule type="containsErrors" dxfId="205" priority="1" stopIfTrue="1">
      <formula>ISERROR(A3)</formula>
    </cfRule>
    <cfRule type="notContainsBlanks" dxfId="204" priority="3">
      <formula>LEN(TRIM(A3))&gt;0</formula>
    </cfRule>
  </conditionalFormatting>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2C110F-F721-45E9-A782-BA4C0EECAE1C}">
  <sheetPr codeName="Sheet63"/>
  <dimension ref="A1:T51"/>
  <sheetViews>
    <sheetView workbookViewId="0">
      <selection activeCell="S32" sqref="S32"/>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8" t="s">
        <v>84</v>
      </c>
    </row>
    <row r="3" spans="1:20" ht="15.95" customHeight="1" x14ac:dyDescent="0.25">
      <c r="A3" s="17" t="s">
        <v>1534</v>
      </c>
      <c r="B3" s="16" t="str">
        <f>TRIM(_xlfn.TEXTBEFORE(A3, ":"))</f>
        <v>Item Class</v>
      </c>
      <c r="C3" s="17" t="s">
        <v>2276</v>
      </c>
      <c r="D3" s="16" t="str">
        <f>TRIM(_xlfn.TEXTBEFORE(C3, ":"))</f>
        <v>Gegenstandsklasse</v>
      </c>
      <c r="E3" s="17" t="s">
        <v>2997</v>
      </c>
      <c r="F3" s="16" t="str">
        <f>TRIM(_xlfn.TEXTBEFORE(E3, ":"))</f>
        <v>Clase de objeto</v>
      </c>
      <c r="G3" s="17" t="s">
        <v>1553</v>
      </c>
      <c r="H3" s="16" t="str">
        <f>TRIM(_xlfn.TEXTBEFORE(G3, ":"))</f>
        <v>Classe d'objet</v>
      </c>
      <c r="I3" s="17" t="s">
        <v>3739</v>
      </c>
      <c r="J3" s="16" t="str">
        <f>TRIM(_xlfn.TEXTBEFORE(I3, ":"))</f>
        <v>アイテムクラス</v>
      </c>
      <c r="K3" s="17" t="s">
        <v>4477</v>
      </c>
      <c r="L3" s="16" t="str">
        <f>TRIM(_xlfn.TEXTBEFORE(K3, ":"))</f>
        <v>아이템 종류</v>
      </c>
      <c r="M3" s="17" t="s">
        <v>5145</v>
      </c>
      <c r="N3" s="16" t="str">
        <f>TRIM(_xlfn.TEXTBEFORE(M3, ":"))</f>
        <v>Classe do Item</v>
      </c>
      <c r="O3" s="17" t="s">
        <v>5895</v>
      </c>
      <c r="P3" s="16" t="str">
        <f>TRIM(_xlfn.TEXTBEFORE(O3, ":"))</f>
        <v>Класс предмета</v>
      </c>
      <c r="Q3" s="17" t="s">
        <v>6519</v>
      </c>
      <c r="R3" s="16" t="str">
        <f>TRIM(_xlfn.TEXTBEFORE(Q3, ":"))</f>
        <v>ชนิดไอเทม</v>
      </c>
      <c r="S3" s="17"/>
      <c r="T3" s="20" t="e">
        <f>TRIM(_xlfn.TEXTBEFORE(S3, ":"))</f>
        <v>#N/A</v>
      </c>
    </row>
    <row r="4" spans="1:20" ht="15.95" customHeight="1" x14ac:dyDescent="0.25">
      <c r="A4" s="18" t="s">
        <v>80</v>
      </c>
      <c r="B4" s="16" t="str">
        <f>TRIM(_xlfn.TEXTAFTER(A3, ":"))</f>
        <v>Fishing Rods</v>
      </c>
      <c r="C4" s="18" t="s">
        <v>1643</v>
      </c>
      <c r="D4" s="16" t="str">
        <f>TRIM(_xlfn.TEXTAFTER(C3, ":"))</f>
        <v>Angelruten</v>
      </c>
      <c r="E4" s="18" t="s">
        <v>2363</v>
      </c>
      <c r="F4" s="16" t="str">
        <f>TRIM(_xlfn.TEXTAFTER(E3, ":"))</f>
        <v>Cañas de pescar</v>
      </c>
      <c r="G4" s="18" t="s">
        <v>1</v>
      </c>
      <c r="H4" s="16" t="str">
        <f>TRIM(_xlfn.TEXTAFTER(G3, ":"))</f>
        <v>Cannes à pêche</v>
      </c>
      <c r="I4" s="18" t="s">
        <v>3078</v>
      </c>
      <c r="J4" s="16" t="str">
        <f>TRIM(_xlfn.TEXTAFTER(I3, ":"))</f>
        <v>釣り竿</v>
      </c>
      <c r="K4" s="18" t="s">
        <v>3828</v>
      </c>
      <c r="L4" s="16" t="str">
        <f>TRIM(_xlfn.TEXTAFTER(K3, ":"))</f>
        <v>낚싯대</v>
      </c>
      <c r="M4" s="18" t="s">
        <v>4557</v>
      </c>
      <c r="N4" s="16" t="str">
        <f>TRIM(_xlfn.TEXTAFTER(M3, ":"))</f>
        <v>Varas de Pescar</v>
      </c>
      <c r="O4" s="18" t="s">
        <v>5240</v>
      </c>
      <c r="P4" s="16" t="str">
        <f>TRIM(_xlfn.TEXTAFTER(O3, ":"))</f>
        <v>Удочки</v>
      </c>
      <c r="Q4" s="18" t="s">
        <v>5977</v>
      </c>
      <c r="R4" s="16" t="str">
        <f>TRIM(_xlfn.TEXTAFTER(Q3, ":"))</f>
        <v>เบ็ดตกปลา</v>
      </c>
      <c r="S4" s="18"/>
      <c r="T4" s="20" t="e">
        <f>TRIM(_xlfn.TEXTAFTER(S3, ":"))</f>
        <v>#N/A</v>
      </c>
    </row>
    <row r="5" spans="1:20" ht="15.95" customHeight="1" x14ac:dyDescent="0.25">
      <c r="A5" s="18" t="s">
        <v>1535</v>
      </c>
      <c r="B5" s="16" t="str">
        <f>TRIM(_xlfn.TEXTBEFORE(A4, ":"))</f>
        <v>Rarity</v>
      </c>
      <c r="C5" s="18" t="s">
        <v>2277</v>
      </c>
      <c r="D5" s="16" t="str">
        <f>TRIM(_xlfn.TEXTBEFORE(C4, ":"))</f>
        <v>Seltenheit</v>
      </c>
      <c r="E5" s="18" t="s">
        <v>2998</v>
      </c>
      <c r="F5" s="16" t="str">
        <f>TRIM(_xlfn.TEXTBEFORE(E4, ":"))</f>
        <v>Rareza</v>
      </c>
      <c r="G5" s="18" t="s">
        <v>1554</v>
      </c>
      <c r="H5" s="16" t="str">
        <f>TRIM(_xlfn.TEXTBEFORE(G4, ":"))</f>
        <v>Rareté</v>
      </c>
      <c r="I5" s="18" t="s">
        <v>3740</v>
      </c>
      <c r="J5" s="16" t="str">
        <f>TRIM(_xlfn.TEXTBEFORE(I4, ":"))</f>
        <v>レアリティ</v>
      </c>
      <c r="K5" s="18" t="s">
        <v>4478</v>
      </c>
      <c r="L5" s="16" t="str">
        <f>TRIM(_xlfn.TEXTBEFORE(K4, ":"))</f>
        <v>아이템 희귀도</v>
      </c>
      <c r="M5" s="18" t="s">
        <v>5146</v>
      </c>
      <c r="N5" s="16" t="str">
        <f>TRIM(_xlfn.TEXTBEFORE(M4, ":"))</f>
        <v>Raridade</v>
      </c>
      <c r="O5" s="18" t="s">
        <v>5896</v>
      </c>
      <c r="P5" s="16" t="str">
        <f>TRIM(_xlfn.TEXTBEFORE(O4, ":"))</f>
        <v>Редкость</v>
      </c>
      <c r="Q5" s="18" t="s">
        <v>1535</v>
      </c>
      <c r="R5" s="16" t="str">
        <f>TRIM(_xlfn.TEXTBEFORE(Q4, ":"))</f>
        <v>ความหายาก</v>
      </c>
      <c r="S5" s="18"/>
      <c r="T5" s="20" t="e">
        <f>TRIM(_xlfn.TEXTBEFORE(S4, ":"))</f>
        <v>#N/A</v>
      </c>
    </row>
    <row r="6" spans="1:20" ht="15.95" customHeight="1" x14ac:dyDescent="0.25">
      <c r="A6" s="18" t="s">
        <v>1536</v>
      </c>
      <c r="B6" s="16" t="str">
        <f>TRIM(_xlfn.TEXTAFTER(A4,":"))</f>
        <v>Unique</v>
      </c>
      <c r="C6" s="18" t="s">
        <v>2278</v>
      </c>
      <c r="D6" s="16" t="str">
        <f>TRIM(_xlfn.TEXTAFTER(C4,":"))</f>
        <v>Einzigartig</v>
      </c>
      <c r="E6" s="18" t="s">
        <v>2999</v>
      </c>
      <c r="F6" s="16" t="str">
        <f>TRIM(_xlfn.TEXTAFTER(E4,":"))</f>
        <v>Único</v>
      </c>
      <c r="G6" s="18" t="s">
        <v>1555</v>
      </c>
      <c r="H6" s="16" t="str">
        <f>TRIM(_xlfn.TEXTAFTER(G4,":"))</f>
        <v>Unique</v>
      </c>
      <c r="I6" s="18" t="s">
        <v>3741</v>
      </c>
      <c r="J6" s="16" t="str">
        <f>TRIM(_xlfn.TEXTAFTER(I4,":"))</f>
        <v>ユニーク</v>
      </c>
      <c r="K6" s="18" t="s">
        <v>4479</v>
      </c>
      <c r="L6" s="16" t="str">
        <f>TRIM(_xlfn.TEXTAFTER(K4,":"))</f>
        <v>고유</v>
      </c>
      <c r="M6" s="18" t="s">
        <v>5147</v>
      </c>
      <c r="N6" s="16" t="str">
        <f>TRIM(_xlfn.TEXTAFTER(M4,":"))</f>
        <v>Único</v>
      </c>
      <c r="O6" s="18" t="s">
        <v>5897</v>
      </c>
      <c r="P6" s="16" t="str">
        <f>TRIM(_xlfn.TEXTAFTER(O4,":"))</f>
        <v>Уникальный</v>
      </c>
      <c r="Q6" s="18" t="s">
        <v>1536</v>
      </c>
      <c r="R6" s="16" t="str">
        <f>TRIM(_xlfn.TEXTAFTER(Q4,":"))</f>
        <v>ยูนิค</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1536</v>
      </c>
      <c r="B8" s="16"/>
      <c r="C8" s="18" t="s">
        <v>2278</v>
      </c>
      <c r="D8" s="16"/>
      <c r="E8" s="18" t="s">
        <v>2999</v>
      </c>
      <c r="F8" s="16"/>
      <c r="G8" s="18" t="s">
        <v>1555</v>
      </c>
      <c r="H8" s="16"/>
      <c r="I8" s="18" t="s">
        <v>3741</v>
      </c>
      <c r="J8" s="16"/>
      <c r="K8" s="18" t="s">
        <v>4479</v>
      </c>
      <c r="L8" s="16"/>
      <c r="M8" s="18" t="s">
        <v>5147</v>
      </c>
      <c r="N8" s="16"/>
      <c r="O8" s="18" t="s">
        <v>5897</v>
      </c>
      <c r="P8" s="16"/>
      <c r="Q8" s="18" t="s">
        <v>6520</v>
      </c>
      <c r="R8" s="16"/>
      <c r="S8" s="18"/>
      <c r="T8" s="20"/>
    </row>
    <row r="9" spans="1:20" ht="15.95" customHeight="1" x14ac:dyDescent="0.25">
      <c r="A9" s="18" t="s">
        <v>1537</v>
      </c>
      <c r="B9" s="16"/>
      <c r="C9" s="18" t="s">
        <v>2279</v>
      </c>
      <c r="D9" s="16"/>
      <c r="E9" s="18" t="s">
        <v>3000</v>
      </c>
      <c r="F9" s="16"/>
      <c r="G9" s="18" t="s">
        <v>1556</v>
      </c>
      <c r="H9" s="16"/>
      <c r="I9" s="18" t="s">
        <v>3742</v>
      </c>
      <c r="J9" s="16"/>
      <c r="K9" s="18" t="s">
        <v>4480</v>
      </c>
      <c r="L9" s="16"/>
      <c r="M9" s="18" t="s">
        <v>5148</v>
      </c>
      <c r="N9" s="16"/>
      <c r="O9" s="18" t="s">
        <v>5898</v>
      </c>
      <c r="P9" s="16"/>
      <c r="Q9" s="18" t="s">
        <v>6521</v>
      </c>
      <c r="R9" s="16"/>
      <c r="S9" s="18"/>
      <c r="T9" s="20"/>
    </row>
    <row r="10" spans="1:20" ht="15.95" customHeight="1" x14ac:dyDescent="0.25">
      <c r="A10" s="18" t="s">
        <v>185</v>
      </c>
      <c r="B10" s="16"/>
      <c r="C10" s="18" t="s">
        <v>2108</v>
      </c>
      <c r="D10" s="16"/>
      <c r="E10" s="18" t="s">
        <v>2826</v>
      </c>
      <c r="F10" s="16"/>
      <c r="G10" s="18" t="s">
        <v>1364</v>
      </c>
      <c r="H10" s="16"/>
      <c r="I10" s="18" t="s">
        <v>3565</v>
      </c>
      <c r="J10" s="16"/>
      <c r="K10" s="18" t="s">
        <v>4303</v>
      </c>
      <c r="L10" s="16"/>
      <c r="M10" s="18" t="s">
        <v>4984</v>
      </c>
      <c r="N10" s="16"/>
      <c r="O10" s="18" t="s">
        <v>5720</v>
      </c>
      <c r="P10" s="16"/>
      <c r="Q10" s="18" t="s">
        <v>6372</v>
      </c>
      <c r="R10" s="16"/>
      <c r="S10" s="18"/>
      <c r="T10" s="20"/>
    </row>
    <row r="11" spans="1:20" ht="15.95" customHeight="1" x14ac:dyDescent="0.25">
      <c r="A11" s="18" t="s">
        <v>1538</v>
      </c>
      <c r="B11" s="16"/>
      <c r="C11" s="18" t="s">
        <v>2280</v>
      </c>
      <c r="D11" s="16"/>
      <c r="E11" s="18" t="s">
        <v>3001</v>
      </c>
      <c r="F11" s="16"/>
      <c r="G11" s="18" t="s">
        <v>1557</v>
      </c>
      <c r="H11" s="16"/>
      <c r="I11" s="18" t="s">
        <v>3743</v>
      </c>
      <c r="J11" s="16"/>
      <c r="K11" s="18" t="s">
        <v>4481</v>
      </c>
      <c r="L11" s="16"/>
      <c r="M11" s="18" t="s">
        <v>5149</v>
      </c>
      <c r="N11" s="16"/>
      <c r="O11" s="18" t="s">
        <v>5899</v>
      </c>
      <c r="P11" s="16"/>
      <c r="Q11" s="18" t="s">
        <v>6522</v>
      </c>
      <c r="R11" s="16"/>
      <c r="S11" s="18"/>
      <c r="T11" s="20"/>
    </row>
    <row r="12" spans="1:20" ht="15.95" customHeight="1" x14ac:dyDescent="0.25">
      <c r="A12" s="18" t="s">
        <v>226</v>
      </c>
      <c r="B12" s="16"/>
      <c r="C12" s="18" t="s">
        <v>2063</v>
      </c>
      <c r="D12" s="16"/>
      <c r="E12" s="18" t="s">
        <v>2782</v>
      </c>
      <c r="F12" s="16"/>
      <c r="G12" s="18" t="s">
        <v>1317</v>
      </c>
      <c r="H12" s="16"/>
      <c r="I12" s="18" t="s">
        <v>3516</v>
      </c>
      <c r="J12" s="16"/>
      <c r="K12" s="18" t="s">
        <v>4256</v>
      </c>
      <c r="L12" s="16"/>
      <c r="M12" s="18" t="s">
        <v>4941</v>
      </c>
      <c r="N12" s="16"/>
      <c r="O12" s="18" t="s">
        <v>5671</v>
      </c>
      <c r="P12" s="16"/>
      <c r="Q12" s="18" t="s">
        <v>6334</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131</v>
      </c>
      <c r="B14" s="16"/>
      <c r="C14" s="18" t="s">
        <v>1840</v>
      </c>
      <c r="D14" s="16"/>
      <c r="E14" s="18" t="s">
        <v>2558</v>
      </c>
      <c r="F14" s="16"/>
      <c r="G14" s="18" t="s">
        <v>1103</v>
      </c>
      <c r="H14" s="16"/>
      <c r="I14" s="18" t="s">
        <v>3282</v>
      </c>
      <c r="J14" s="16"/>
      <c r="K14" s="18" t="s">
        <v>4027</v>
      </c>
      <c r="L14" s="16"/>
      <c r="M14" s="18" t="s">
        <v>4748</v>
      </c>
      <c r="N14" s="16"/>
      <c r="O14" s="18" t="s">
        <v>5441</v>
      </c>
      <c r="P14" s="16"/>
      <c r="Q14" s="18" t="s">
        <v>6152</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292</v>
      </c>
      <c r="B16" s="16"/>
      <c r="C16" s="18" t="s">
        <v>1743</v>
      </c>
      <c r="D16" s="16"/>
      <c r="E16" s="18" t="s">
        <v>2462</v>
      </c>
      <c r="F16" s="16"/>
      <c r="G16" s="18" t="s">
        <v>1011</v>
      </c>
      <c r="H16" s="16"/>
      <c r="I16" s="18" t="s">
        <v>3180</v>
      </c>
      <c r="J16" s="16"/>
      <c r="K16" s="18" t="s">
        <v>3927</v>
      </c>
      <c r="L16" s="16"/>
      <c r="M16" s="18" t="s">
        <v>4656</v>
      </c>
      <c r="N16" s="16"/>
      <c r="O16" s="18" t="s">
        <v>5341</v>
      </c>
      <c r="P16" s="16"/>
      <c r="Q16" s="18" t="s">
        <v>6072</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1539</v>
      </c>
      <c r="B18" s="16"/>
      <c r="C18" s="18" t="s">
        <v>2281</v>
      </c>
      <c r="D18" s="16"/>
      <c r="E18" s="18" t="s">
        <v>3002</v>
      </c>
      <c r="F18" s="16"/>
      <c r="G18" s="18" t="s">
        <v>1558</v>
      </c>
      <c r="H18" s="16"/>
      <c r="I18" s="18" t="s">
        <v>3744</v>
      </c>
      <c r="J18" s="16"/>
      <c r="K18" s="18" t="s">
        <v>4482</v>
      </c>
      <c r="L18" s="16"/>
      <c r="M18" s="18" t="s">
        <v>5150</v>
      </c>
      <c r="N18" s="16"/>
      <c r="O18" s="18" t="s">
        <v>5900</v>
      </c>
      <c r="P18" s="16"/>
      <c r="Q18" s="18" t="s">
        <v>6523</v>
      </c>
      <c r="R18" s="16"/>
      <c r="S18" s="18"/>
      <c r="T18" s="20"/>
    </row>
    <row r="19" spans="1:20" ht="15.95" customHeight="1" x14ac:dyDescent="0.25">
      <c r="A19" s="18" t="s">
        <v>1540</v>
      </c>
      <c r="B19" s="16"/>
      <c r="C19" s="18" t="s">
        <v>2282</v>
      </c>
      <c r="D19" s="16"/>
      <c r="E19" s="18" t="s">
        <v>3003</v>
      </c>
      <c r="F19" s="16"/>
      <c r="G19" s="18" t="s">
        <v>1559</v>
      </c>
      <c r="H19" s="16"/>
      <c r="I19" s="18" t="s">
        <v>3745</v>
      </c>
      <c r="J19" s="16"/>
      <c r="K19" s="18" t="s">
        <v>4483</v>
      </c>
      <c r="L19" s="16"/>
      <c r="M19" s="18" t="s">
        <v>5151</v>
      </c>
      <c r="N19" s="16"/>
      <c r="O19" s="18" t="s">
        <v>5901</v>
      </c>
      <c r="P19" s="16"/>
      <c r="Q19" s="18" t="s">
        <v>6524</v>
      </c>
      <c r="R19" s="16"/>
      <c r="S19" s="18"/>
      <c r="T19" s="20"/>
    </row>
    <row r="20" spans="1:20" ht="15.95" customHeight="1" x14ac:dyDescent="0.25">
      <c r="A20" s="18" t="s">
        <v>1541</v>
      </c>
      <c r="B20" s="16"/>
      <c r="C20" s="18" t="s">
        <v>2283</v>
      </c>
      <c r="D20" s="16"/>
      <c r="E20" s="18" t="s">
        <v>3004</v>
      </c>
      <c r="F20" s="16"/>
      <c r="G20" s="18" t="s">
        <v>1560</v>
      </c>
      <c r="H20" s="16"/>
      <c r="I20" s="18" t="s">
        <v>3746</v>
      </c>
      <c r="J20" s="16"/>
      <c r="K20" s="18" t="s">
        <v>4484</v>
      </c>
      <c r="L20" s="16"/>
      <c r="M20" s="18" t="s">
        <v>5152</v>
      </c>
      <c r="N20" s="16"/>
      <c r="O20" s="18" t="s">
        <v>5902</v>
      </c>
      <c r="P20" s="16"/>
      <c r="Q20" s="18" t="s">
        <v>6525</v>
      </c>
      <c r="R20" s="16"/>
      <c r="S20" s="18"/>
      <c r="T20" s="20"/>
    </row>
    <row r="21" spans="1:20" ht="15.95" customHeight="1" x14ac:dyDescent="0.25">
      <c r="A21" s="18" t="s">
        <v>1542</v>
      </c>
      <c r="B21" s="16"/>
      <c r="C21" s="18" t="s">
        <v>2284</v>
      </c>
      <c r="D21" s="16"/>
      <c r="E21" s="18" t="s">
        <v>3005</v>
      </c>
      <c r="F21" s="16"/>
      <c r="G21" s="18" t="s">
        <v>1561</v>
      </c>
      <c r="H21" s="16"/>
      <c r="I21" s="18" t="s">
        <v>3747</v>
      </c>
      <c r="J21" s="16"/>
      <c r="K21" s="18" t="s">
        <v>4485</v>
      </c>
      <c r="L21" s="16"/>
      <c r="M21" s="18" t="s">
        <v>5153</v>
      </c>
      <c r="N21" s="16"/>
      <c r="O21" s="18" t="s">
        <v>5903</v>
      </c>
      <c r="P21" s="16"/>
      <c r="Q21" s="18" t="s">
        <v>6526</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1543</v>
      </c>
      <c r="B23" s="16"/>
      <c r="C23" s="18" t="s">
        <v>2285</v>
      </c>
      <c r="D23" s="16"/>
      <c r="E23" s="18" t="s">
        <v>3006</v>
      </c>
      <c r="F23" s="16"/>
      <c r="G23" s="18" t="s">
        <v>1562</v>
      </c>
      <c r="H23" s="16"/>
      <c r="I23" s="18" t="s">
        <v>3748</v>
      </c>
      <c r="J23" s="16"/>
      <c r="K23" s="18" t="s">
        <v>4486</v>
      </c>
      <c r="L23" s="16"/>
      <c r="M23" s="18" t="s">
        <v>5154</v>
      </c>
      <c r="N23" s="16"/>
      <c r="O23" s="18" t="s">
        <v>5904</v>
      </c>
      <c r="P23" s="16"/>
      <c r="Q23" s="18" t="s">
        <v>6527</v>
      </c>
      <c r="R23" s="16"/>
      <c r="S23" s="18"/>
      <c r="T23" s="20"/>
    </row>
    <row r="24" spans="1:20" ht="15.95" customHeight="1" x14ac:dyDescent="0.25">
      <c r="A24" s="18" t="s">
        <v>1544</v>
      </c>
      <c r="B24" s="16"/>
      <c r="C24" s="18" t="s">
        <v>2286</v>
      </c>
      <c r="D24" s="16"/>
      <c r="E24" s="18" t="s">
        <v>3007</v>
      </c>
      <c r="F24" s="16"/>
      <c r="G24" s="18" t="s">
        <v>1563</v>
      </c>
      <c r="H24" s="16"/>
      <c r="I24" s="18" t="s">
        <v>3749</v>
      </c>
      <c r="J24" s="16"/>
      <c r="K24" s="18" t="s">
        <v>4487</v>
      </c>
      <c r="L24" s="16"/>
      <c r="M24" s="18" t="s">
        <v>5155</v>
      </c>
      <c r="N24" s="16"/>
      <c r="O24" s="18" t="s">
        <v>5905</v>
      </c>
      <c r="P24" s="16"/>
      <c r="Q24" s="18" t="s">
        <v>6528</v>
      </c>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03" priority="2" stopIfTrue="1">
      <formula>NOT(ISERROR(A3))</formula>
    </cfRule>
  </conditionalFormatting>
  <conditionalFormatting sqref="A3:T51">
    <cfRule type="containsErrors" dxfId="202" priority="1" stopIfTrue="1">
      <formula>ISERROR(A3)</formula>
    </cfRule>
    <cfRule type="notContainsBlanks" dxfId="201" priority="3">
      <formula>LEN(TRIM(A3))&gt;0</formula>
    </cfRule>
  </conditionalFormatting>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E29203-F81E-41DF-A3CB-82263D262F26}">
  <sheetPr codeName="Sheet64"/>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8" t="s">
        <v>84</v>
      </c>
    </row>
    <row r="3" spans="1:20" ht="15.95" customHeight="1" x14ac:dyDescent="0.25">
      <c r="A3" s="17" t="s">
        <v>6529</v>
      </c>
      <c r="B3" s="16" t="str">
        <f>TRIM(_xlfn.TEXTBEFORE(A3, ":"))</f>
        <v>Item Class</v>
      </c>
      <c r="C3" s="17" t="s">
        <v>6599</v>
      </c>
      <c r="D3" s="16" t="str">
        <f>TRIM(_xlfn.TEXTBEFORE(C3, ":"))</f>
        <v>Gegenstandsklasse</v>
      </c>
      <c r="E3" s="17" t="s">
        <v>6705</v>
      </c>
      <c r="F3" s="16" t="str">
        <f>TRIM(_xlfn.TEXTBEFORE(E3, ":"))</f>
        <v>Clase de objeto</v>
      </c>
      <c r="G3" s="17" t="s">
        <v>6557</v>
      </c>
      <c r="H3" s="16" t="str">
        <f>TRIM(_xlfn.TEXTBEFORE(G3, ":"))</f>
        <v>Classe d'objet</v>
      </c>
      <c r="I3" s="17" t="s">
        <v>6759</v>
      </c>
      <c r="J3" s="16" t="str">
        <f>TRIM(_xlfn.TEXTBEFORE(I3, ":"))</f>
        <v>アイテムクラス</v>
      </c>
      <c r="K3" s="17" t="s">
        <v>6732</v>
      </c>
      <c r="L3" s="16" t="str">
        <f>TRIM(_xlfn.TEXTBEFORE(K3, ":"))</f>
        <v>아이템 종류</v>
      </c>
      <c r="M3" s="17" t="s">
        <v>6626</v>
      </c>
      <c r="N3" s="16" t="str">
        <f>TRIM(_xlfn.TEXTBEFORE(M3, ":"))</f>
        <v>Classe do Item</v>
      </c>
      <c r="O3" s="17" t="s">
        <v>6653</v>
      </c>
      <c r="P3" s="16" t="str">
        <f>TRIM(_xlfn.TEXTBEFORE(O3, ":"))</f>
        <v>Класс предмета</v>
      </c>
      <c r="Q3" s="17" t="s">
        <v>6680</v>
      </c>
      <c r="R3" s="16" t="str">
        <f>TRIM(_xlfn.TEXTBEFORE(Q3, ":"))</f>
        <v>ชนิดไอเทม</v>
      </c>
      <c r="S3" s="17" t="s">
        <v>6532</v>
      </c>
      <c r="T3" s="20" t="str">
        <f>TRIM(_xlfn.TEXTBEFORE(S3, ":"))</f>
        <v/>
      </c>
    </row>
    <row r="4" spans="1:20" ht="15.95" customHeight="1" x14ac:dyDescent="0.25">
      <c r="A4" s="18" t="s">
        <v>470</v>
      </c>
      <c r="B4" s="16" t="str">
        <f>TRIM(_xlfn.TEXTAFTER(A3, ":"))</f>
        <v>Tinctures</v>
      </c>
      <c r="C4" s="18" t="s">
        <v>1681</v>
      </c>
      <c r="D4" s="16" t="str">
        <f>TRIM(_xlfn.TEXTAFTER(C3, ":"))</f>
        <v>Tinkturen</v>
      </c>
      <c r="E4" s="18" t="s">
        <v>2400</v>
      </c>
      <c r="F4" s="16" t="str">
        <f>TRIM(_xlfn.TEXTAFTER(E3, ":"))</f>
        <v>Tinturas</v>
      </c>
      <c r="G4" s="18" t="s">
        <v>948</v>
      </c>
      <c r="H4" s="16" t="str">
        <f>TRIM(_xlfn.TEXTAFTER(G3, ":"))</f>
        <v>Teintures</v>
      </c>
      <c r="I4" s="18" t="s">
        <v>3118</v>
      </c>
      <c r="J4" s="16" t="str">
        <f>TRIM(_xlfn.TEXTAFTER(I3, ":"))</f>
        <v>チンキ</v>
      </c>
      <c r="K4" s="18" t="s">
        <v>3865</v>
      </c>
      <c r="L4" s="16" t="str">
        <f>TRIM(_xlfn.TEXTAFTER(K3, ":"))</f>
        <v>팅크</v>
      </c>
      <c r="M4" s="18" t="s">
        <v>4595</v>
      </c>
      <c r="N4" s="16" t="str">
        <f>TRIM(_xlfn.TEXTAFTER(M3, ":"))</f>
        <v>Tintura</v>
      </c>
      <c r="O4" s="18" t="s">
        <v>5278</v>
      </c>
      <c r="P4" s="16" t="str">
        <f>TRIM(_xlfn.TEXTAFTER(O3, ":"))</f>
        <v>Микстуры</v>
      </c>
      <c r="Q4" s="18" t="s">
        <v>6012</v>
      </c>
      <c r="R4" s="16" t="str">
        <f>TRIM(_xlfn.TEXTAFTER(Q3, ":"))</f>
        <v>ยาเคลือบอาวุธ</v>
      </c>
      <c r="S4" s="18" t="s">
        <v>6532</v>
      </c>
      <c r="T4" s="20" t="str">
        <f>TRIM(_xlfn.TEXTAFTER(S3, ":"))</f>
        <v/>
      </c>
    </row>
    <row r="5" spans="1:20" ht="15.95" customHeight="1" x14ac:dyDescent="0.25">
      <c r="A5" s="18" t="s">
        <v>6533</v>
      </c>
      <c r="B5" s="16" t="str">
        <f>TRIM(_xlfn.TEXTBEFORE(A4, ":"))</f>
        <v>Rarity</v>
      </c>
      <c r="C5" s="18" t="s">
        <v>6600</v>
      </c>
      <c r="D5" s="16" t="str">
        <f>TRIM(_xlfn.TEXTBEFORE(C4, ":"))</f>
        <v>Seltenheit</v>
      </c>
      <c r="E5" s="18" t="s">
        <v>6706</v>
      </c>
      <c r="F5" s="16" t="str">
        <f>TRIM(_xlfn.TEXTBEFORE(E4, ":"))</f>
        <v>Rareza</v>
      </c>
      <c r="G5" s="18" t="s">
        <v>6558</v>
      </c>
      <c r="H5" s="16" t="str">
        <f>TRIM(_xlfn.TEXTBEFORE(G4, ":"))</f>
        <v>Rareté</v>
      </c>
      <c r="I5" s="18" t="s">
        <v>6760</v>
      </c>
      <c r="J5" s="16" t="str">
        <f>TRIM(_xlfn.TEXTBEFORE(I4, ":"))</f>
        <v>レアリティ</v>
      </c>
      <c r="K5" s="18" t="s">
        <v>6733</v>
      </c>
      <c r="L5" s="16" t="str">
        <f>TRIM(_xlfn.TEXTBEFORE(K4, ":"))</f>
        <v>아이템 희귀도</v>
      </c>
      <c r="M5" s="18" t="s">
        <v>6627</v>
      </c>
      <c r="N5" s="16" t="str">
        <f>TRIM(_xlfn.TEXTBEFORE(M4, ":"))</f>
        <v>Raridade</v>
      </c>
      <c r="O5" s="18" t="s">
        <v>6654</v>
      </c>
      <c r="P5" s="16" t="str">
        <f>TRIM(_xlfn.TEXTBEFORE(O4, ":"))</f>
        <v>Редкость</v>
      </c>
      <c r="Q5" s="18" t="s">
        <v>6681</v>
      </c>
      <c r="R5" s="16" t="str">
        <f>TRIM(_xlfn.TEXTBEFORE(Q4, ":"))</f>
        <v>ความหายาก</v>
      </c>
      <c r="S5" s="18"/>
      <c r="T5" s="20" t="str">
        <f>TRIM(_xlfn.TEXTBEFORE(S4, ":"))</f>
        <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str">
        <f>TRIM(_xlfn.TEXTAFTER(S4,":"))</f>
        <v/>
      </c>
    </row>
    <row r="7" spans="1:20" ht="15.95" customHeight="1" x14ac:dyDescent="0.25">
      <c r="A7" s="18" t="s">
        <v>6534</v>
      </c>
      <c r="B7" s="16"/>
      <c r="C7" s="18" t="s">
        <v>6601</v>
      </c>
      <c r="D7" s="16"/>
      <c r="E7" s="18" t="s">
        <v>6707</v>
      </c>
      <c r="F7" s="16"/>
      <c r="G7" s="18" t="s">
        <v>6559</v>
      </c>
      <c r="H7" s="16"/>
      <c r="I7" s="18" t="s">
        <v>6761</v>
      </c>
      <c r="J7" s="16"/>
      <c r="K7" s="18" t="s">
        <v>6734</v>
      </c>
      <c r="L7" s="16"/>
      <c r="M7" s="18" t="s">
        <v>6628</v>
      </c>
      <c r="N7" s="16"/>
      <c r="O7" s="18" t="s">
        <v>6655</v>
      </c>
      <c r="P7" s="16"/>
      <c r="Q7" s="18" t="s">
        <v>6682</v>
      </c>
      <c r="R7" s="16"/>
      <c r="S7" s="18"/>
      <c r="T7" s="20"/>
    </row>
    <row r="8" spans="1:20" ht="15.95" customHeight="1" x14ac:dyDescent="0.25">
      <c r="A8" s="18" t="s">
        <v>6535</v>
      </c>
      <c r="B8" s="16"/>
      <c r="C8" s="18" t="s">
        <v>6602</v>
      </c>
      <c r="D8" s="16"/>
      <c r="E8" s="18" t="s">
        <v>6708</v>
      </c>
      <c r="F8" s="16"/>
      <c r="G8" s="18" t="s">
        <v>6560</v>
      </c>
      <c r="H8" s="16"/>
      <c r="I8" s="18" t="s">
        <v>6762</v>
      </c>
      <c r="J8" s="16"/>
      <c r="K8" s="18" t="s">
        <v>6735</v>
      </c>
      <c r="L8" s="16"/>
      <c r="M8" s="18" t="s">
        <v>6629</v>
      </c>
      <c r="N8" s="16"/>
      <c r="O8" s="18" t="s">
        <v>6656</v>
      </c>
      <c r="P8" s="16"/>
      <c r="Q8" s="18" t="s">
        <v>6683</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81</v>
      </c>
      <c r="B10" s="16"/>
      <c r="C10" s="18" t="s">
        <v>1589</v>
      </c>
      <c r="D10" s="16"/>
      <c r="E10" s="18" t="s">
        <v>2308</v>
      </c>
      <c r="F10" s="16"/>
      <c r="G10" s="18" t="s">
        <v>5</v>
      </c>
      <c r="H10" s="16"/>
      <c r="I10" s="18" t="s">
        <v>3018</v>
      </c>
      <c r="J10" s="16"/>
      <c r="K10" s="18" t="s">
        <v>3772</v>
      </c>
      <c r="L10" s="16"/>
      <c r="M10" s="18" t="s">
        <v>2308</v>
      </c>
      <c r="N10" s="16"/>
      <c r="O10" s="18" t="s">
        <v>5183</v>
      </c>
      <c r="P10" s="16"/>
      <c r="Q10" s="18" t="s">
        <v>5928</v>
      </c>
      <c r="R10" s="16"/>
      <c r="S10" s="18"/>
      <c r="T10" s="20"/>
    </row>
    <row r="11" spans="1:20" ht="15.95" customHeight="1" x14ac:dyDescent="0.25">
      <c r="A11" s="18" t="s">
        <v>6536</v>
      </c>
      <c r="B11" s="16"/>
      <c r="C11" s="18" t="s">
        <v>6603</v>
      </c>
      <c r="D11" s="16"/>
      <c r="E11" s="18" t="s">
        <v>6709</v>
      </c>
      <c r="F11" s="16"/>
      <c r="G11" s="18" t="s">
        <v>6561</v>
      </c>
      <c r="H11" s="16"/>
      <c r="I11" s="18" t="s">
        <v>6763</v>
      </c>
      <c r="J11" s="16"/>
      <c r="K11" s="18" t="s">
        <v>6736</v>
      </c>
      <c r="L11" s="16"/>
      <c r="M11" s="18" t="s">
        <v>6630</v>
      </c>
      <c r="N11" s="16"/>
      <c r="O11" s="18" t="s">
        <v>6657</v>
      </c>
      <c r="P11" s="16"/>
      <c r="Q11" s="18" t="s">
        <v>6684</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231</v>
      </c>
      <c r="B13" s="16"/>
      <c r="C13" s="18" t="s">
        <v>1751</v>
      </c>
      <c r="D13" s="16"/>
      <c r="E13" s="18" t="s">
        <v>2470</v>
      </c>
      <c r="F13" s="16"/>
      <c r="G13" s="18" t="s">
        <v>1019</v>
      </c>
      <c r="H13" s="16"/>
      <c r="I13" s="18" t="s">
        <v>3188</v>
      </c>
      <c r="J13" s="16"/>
      <c r="K13" s="18" t="s">
        <v>3935</v>
      </c>
      <c r="L13" s="16"/>
      <c r="M13" s="18" t="s">
        <v>4664</v>
      </c>
      <c r="N13" s="16"/>
      <c r="O13" s="18" t="s">
        <v>5349</v>
      </c>
      <c r="P13" s="16"/>
      <c r="Q13" s="18" t="s">
        <v>6079</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6537</v>
      </c>
      <c r="B15" s="16"/>
      <c r="C15" s="18" t="s">
        <v>6604</v>
      </c>
      <c r="D15" s="16"/>
      <c r="E15" s="18" t="s">
        <v>6710</v>
      </c>
      <c r="F15" s="16"/>
      <c r="G15" s="18" t="s">
        <v>6562</v>
      </c>
      <c r="H15" s="16"/>
      <c r="I15" s="18" t="s">
        <v>6764</v>
      </c>
      <c r="J15" s="16"/>
      <c r="K15" s="18" t="s">
        <v>6737</v>
      </c>
      <c r="L15" s="16"/>
      <c r="M15" s="18" t="s">
        <v>6631</v>
      </c>
      <c r="N15" s="16"/>
      <c r="O15" s="18" t="s">
        <v>6658</v>
      </c>
      <c r="P15" s="16"/>
      <c r="Q15" s="18" t="s">
        <v>6685</v>
      </c>
      <c r="R15" s="16"/>
      <c r="S15" s="18"/>
      <c r="T15" s="20"/>
    </row>
    <row r="16" spans="1:20" ht="15.95" customHeight="1" x14ac:dyDescent="0.25">
      <c r="A16" s="18" t="s">
        <v>6538</v>
      </c>
      <c r="B16" s="16"/>
      <c r="C16" s="18" t="s">
        <v>6605</v>
      </c>
      <c r="D16" s="16"/>
      <c r="E16" s="18" t="s">
        <v>6711</v>
      </c>
      <c r="F16" s="16"/>
      <c r="G16" s="18" t="s">
        <v>6563</v>
      </c>
      <c r="H16" s="16"/>
      <c r="I16" s="18" t="s">
        <v>6765</v>
      </c>
      <c r="J16" s="16"/>
      <c r="K16" s="18" t="s">
        <v>6738</v>
      </c>
      <c r="L16" s="16"/>
      <c r="M16" s="18" t="s">
        <v>6632</v>
      </c>
      <c r="N16" s="16"/>
      <c r="O16" s="18" t="s">
        <v>6659</v>
      </c>
      <c r="P16" s="16"/>
      <c r="Q16" s="18" t="s">
        <v>6686</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6539</v>
      </c>
      <c r="B18" s="16"/>
      <c r="C18" s="18" t="s">
        <v>6606</v>
      </c>
      <c r="D18" s="16"/>
      <c r="E18" s="18" t="s">
        <v>6712</v>
      </c>
      <c r="F18" s="16"/>
      <c r="G18" s="18" t="s">
        <v>6564</v>
      </c>
      <c r="H18" s="16"/>
      <c r="I18" s="18" t="s">
        <v>6766</v>
      </c>
      <c r="J18" s="16"/>
      <c r="K18" s="18" t="s">
        <v>6739</v>
      </c>
      <c r="L18" s="16"/>
      <c r="M18" s="18" t="s">
        <v>6633</v>
      </c>
      <c r="N18" s="16"/>
      <c r="O18" s="18" t="s">
        <v>6660</v>
      </c>
      <c r="P18" s="16"/>
      <c r="Q18" s="18" t="s">
        <v>6687</v>
      </c>
      <c r="R18" s="16"/>
      <c r="S18" s="18"/>
      <c r="T18" s="20"/>
    </row>
    <row r="19" spans="1:20" ht="15.95" customHeight="1" x14ac:dyDescent="0.25">
      <c r="A19" s="18" t="s">
        <v>6540</v>
      </c>
      <c r="B19" s="16"/>
      <c r="C19" s="18" t="s">
        <v>6607</v>
      </c>
      <c r="D19" s="16"/>
      <c r="E19" s="18" t="s">
        <v>6713</v>
      </c>
      <c r="F19" s="16"/>
      <c r="G19" s="18" t="s">
        <v>6565</v>
      </c>
      <c r="H19" s="16"/>
      <c r="I19" s="18" t="s">
        <v>6767</v>
      </c>
      <c r="J19" s="16"/>
      <c r="K19" s="18" t="s">
        <v>6740</v>
      </c>
      <c r="L19" s="16"/>
      <c r="M19" s="18" t="s">
        <v>6634</v>
      </c>
      <c r="N19" s="16"/>
      <c r="O19" s="18" t="s">
        <v>6661</v>
      </c>
      <c r="P19" s="16"/>
      <c r="Q19" s="18" t="s">
        <v>6688</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6541</v>
      </c>
      <c r="B21" s="16"/>
      <c r="C21" s="18" t="s">
        <v>6608</v>
      </c>
      <c r="D21" s="16"/>
      <c r="E21" s="18" t="s">
        <v>6714</v>
      </c>
      <c r="F21" s="16"/>
      <c r="G21" s="18" t="s">
        <v>6566</v>
      </c>
      <c r="H21" s="16"/>
      <c r="I21" s="18" t="s">
        <v>6768</v>
      </c>
      <c r="J21" s="16"/>
      <c r="K21" s="18" t="s">
        <v>6741</v>
      </c>
      <c r="L21" s="16"/>
      <c r="M21" s="18" t="s">
        <v>6635</v>
      </c>
      <c r="N21" s="16"/>
      <c r="O21" s="18" t="s">
        <v>6662</v>
      </c>
      <c r="P21" s="16"/>
      <c r="Q21" s="18" t="s">
        <v>6689</v>
      </c>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fRule type="notContainsErrors" dxfId="200" priority="29" stopIfTrue="1">
      <formula>NOT(ISERROR(A3))</formula>
    </cfRule>
  </conditionalFormatting>
  <conditionalFormatting sqref="A3:B4 A5:T51">
    <cfRule type="notContainsBlanks" dxfId="199" priority="30">
      <formula>LEN(TRIM(A3))&gt;0</formula>
    </cfRule>
  </conditionalFormatting>
  <conditionalFormatting sqref="A3:T51">
    <cfRule type="containsErrors" dxfId="198" priority="1" stopIfTrue="1">
      <formula>ISERROR(A3)</formula>
    </cfRule>
  </conditionalFormatting>
  <conditionalFormatting sqref="C3:C51">
    <cfRule type="notContainsErrors" dxfId="197" priority="26" stopIfTrue="1">
      <formula>NOT(ISERROR(C3))</formula>
    </cfRule>
  </conditionalFormatting>
  <conditionalFormatting sqref="C3:D4">
    <cfRule type="notContainsBlanks" dxfId="196" priority="27">
      <formula>LEN(TRIM(C3))&gt;0</formula>
    </cfRule>
  </conditionalFormatting>
  <conditionalFormatting sqref="E3:E51">
    <cfRule type="notContainsErrors" dxfId="195" priority="23" stopIfTrue="1">
      <formula>NOT(ISERROR(E3))</formula>
    </cfRule>
  </conditionalFormatting>
  <conditionalFormatting sqref="E3:F4">
    <cfRule type="notContainsBlanks" dxfId="194" priority="24">
      <formula>LEN(TRIM(E3))&gt;0</formula>
    </cfRule>
  </conditionalFormatting>
  <conditionalFormatting sqref="G3:G51">
    <cfRule type="notContainsErrors" dxfId="193" priority="20" stopIfTrue="1">
      <formula>NOT(ISERROR(G3))</formula>
    </cfRule>
  </conditionalFormatting>
  <conditionalFormatting sqref="G3:H4">
    <cfRule type="notContainsBlanks" dxfId="192" priority="21">
      <formula>LEN(TRIM(G3))&gt;0</formula>
    </cfRule>
  </conditionalFormatting>
  <conditionalFormatting sqref="I3:I51">
    <cfRule type="notContainsErrors" dxfId="191" priority="17" stopIfTrue="1">
      <formula>NOT(ISERROR(I3))</formula>
    </cfRule>
  </conditionalFormatting>
  <conditionalFormatting sqref="I3:J4">
    <cfRule type="notContainsBlanks" dxfId="190" priority="18">
      <formula>LEN(TRIM(I3))&gt;0</formula>
    </cfRule>
  </conditionalFormatting>
  <conditionalFormatting sqref="K3:K51">
    <cfRule type="notContainsErrors" dxfId="189" priority="14" stopIfTrue="1">
      <formula>NOT(ISERROR(K3))</formula>
    </cfRule>
  </conditionalFormatting>
  <conditionalFormatting sqref="K3:L4">
    <cfRule type="notContainsBlanks" dxfId="188" priority="15">
      <formula>LEN(TRIM(K3))&gt;0</formula>
    </cfRule>
  </conditionalFormatting>
  <conditionalFormatting sqref="M3:M51">
    <cfRule type="notContainsErrors" dxfId="187" priority="11" stopIfTrue="1">
      <formula>NOT(ISERROR(M3))</formula>
    </cfRule>
  </conditionalFormatting>
  <conditionalFormatting sqref="M3:N4">
    <cfRule type="notContainsBlanks" dxfId="186" priority="12">
      <formula>LEN(TRIM(M3))&gt;0</formula>
    </cfRule>
  </conditionalFormatting>
  <conditionalFormatting sqref="O3:O51">
    <cfRule type="notContainsErrors" dxfId="185" priority="8" stopIfTrue="1">
      <formula>NOT(ISERROR(O3))</formula>
    </cfRule>
  </conditionalFormatting>
  <conditionalFormatting sqref="O3:P4">
    <cfRule type="notContainsBlanks" dxfId="184" priority="9">
      <formula>LEN(TRIM(O3))&gt;0</formula>
    </cfRule>
  </conditionalFormatting>
  <conditionalFormatting sqref="Q3:Q51">
    <cfRule type="notContainsErrors" dxfId="183" priority="5" stopIfTrue="1">
      <formula>NOT(ISERROR(Q3))</formula>
    </cfRule>
  </conditionalFormatting>
  <conditionalFormatting sqref="Q3:R4">
    <cfRule type="notContainsBlanks" dxfId="182" priority="6">
      <formula>LEN(TRIM(Q3))&gt;0</formula>
    </cfRule>
  </conditionalFormatting>
  <conditionalFormatting sqref="S3:S51">
    <cfRule type="notContainsErrors" dxfId="181" priority="2" stopIfTrue="1">
      <formula>NOT(ISERROR(S3))</formula>
    </cfRule>
  </conditionalFormatting>
  <conditionalFormatting sqref="S3:T4">
    <cfRule type="notContainsBlanks" dxfId="180" priority="3">
      <formula>LEN(TRIM(S3))&gt;0</formula>
    </cfRule>
  </conditionalFormatting>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D1C48-FA89-4149-8CBD-D0D3AE069262}">
  <sheetPr codeName="Sheet65"/>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8" t="s">
        <v>84</v>
      </c>
    </row>
    <row r="3" spans="1:20" ht="15.95" customHeight="1" x14ac:dyDescent="0.25">
      <c r="A3" s="17" t="s">
        <v>6542</v>
      </c>
      <c r="B3" s="16" t="str">
        <f>TRIM(_xlfn.TEXTBEFORE(A3, ":"))</f>
        <v>Item Class</v>
      </c>
      <c r="C3" s="17" t="s">
        <v>6609</v>
      </c>
      <c r="D3" s="16" t="str">
        <f>TRIM(_xlfn.TEXTBEFORE(C3, ":"))</f>
        <v>Gegenstandsklasse</v>
      </c>
      <c r="E3" s="17" t="s">
        <v>6715</v>
      </c>
      <c r="F3" s="16" t="str">
        <f>TRIM(_xlfn.TEXTBEFORE(E3, ":"))</f>
        <v>Clase de objeto</v>
      </c>
      <c r="G3" s="17" t="s">
        <v>6567</v>
      </c>
      <c r="H3" s="16" t="str">
        <f>TRIM(_xlfn.TEXTBEFORE(G3, ":"))</f>
        <v>Classe d'objet</v>
      </c>
      <c r="I3" s="17" t="s">
        <v>6769</v>
      </c>
      <c r="J3" s="16" t="str">
        <f>TRIM(_xlfn.TEXTBEFORE(I3, ":"))</f>
        <v>アイテムクラス</v>
      </c>
      <c r="K3" s="17" t="s">
        <v>6742</v>
      </c>
      <c r="L3" s="16" t="str">
        <f>TRIM(_xlfn.TEXTBEFORE(K3, ":"))</f>
        <v>아이템 종류</v>
      </c>
      <c r="M3" s="17" t="s">
        <v>6636</v>
      </c>
      <c r="N3" s="16" t="str">
        <f>TRIM(_xlfn.TEXTBEFORE(M3, ":"))</f>
        <v>Classe do Item</v>
      </c>
      <c r="O3" s="17" t="s">
        <v>6663</v>
      </c>
      <c r="P3" s="16" t="str">
        <f>TRIM(_xlfn.TEXTBEFORE(O3, ":"))</f>
        <v>Класс предмета</v>
      </c>
      <c r="Q3" s="17" t="s">
        <v>6690</v>
      </c>
      <c r="R3" s="16" t="str">
        <f>TRIM(_xlfn.TEXTBEFORE(Q3, ":"))</f>
        <v>ชนิดไอเทม</v>
      </c>
      <c r="S3" s="17" t="s">
        <v>6532</v>
      </c>
      <c r="T3" s="20" t="str">
        <f>TRIM(_xlfn.TEXTBEFORE(S3, ":"))</f>
        <v/>
      </c>
    </row>
    <row r="4" spans="1:20" ht="15.95" customHeight="1" x14ac:dyDescent="0.25">
      <c r="A4" s="18" t="s">
        <v>80</v>
      </c>
      <c r="B4" s="16" t="str">
        <f>TRIM(_xlfn.TEXTAFTER(A3, ":"))</f>
        <v>Relics</v>
      </c>
      <c r="C4" s="18" t="s">
        <v>1643</v>
      </c>
      <c r="D4" s="16" t="str">
        <f>TRIM(_xlfn.TEXTAFTER(C3, ":"))</f>
        <v>Relikte</v>
      </c>
      <c r="E4" s="18" t="s">
        <v>2363</v>
      </c>
      <c r="F4" s="16" t="str">
        <f>TRIM(_xlfn.TEXTAFTER(E3, ":"))</f>
        <v>Reliquias</v>
      </c>
      <c r="G4" s="18" t="s">
        <v>1</v>
      </c>
      <c r="H4" s="16" t="str">
        <f>TRIM(_xlfn.TEXTAFTER(G3, ":"))</f>
        <v>Reliques</v>
      </c>
      <c r="I4" s="18" t="s">
        <v>3078</v>
      </c>
      <c r="J4" s="16" t="str">
        <f>TRIM(_xlfn.TEXTAFTER(I3, ":"))</f>
        <v>レリック</v>
      </c>
      <c r="K4" s="18" t="s">
        <v>3828</v>
      </c>
      <c r="L4" s="16" t="str">
        <f>TRIM(_xlfn.TEXTAFTER(K3, ":"))</f>
        <v>유물</v>
      </c>
      <c r="M4" s="18" t="s">
        <v>4557</v>
      </c>
      <c r="N4" s="16" t="str">
        <f>TRIM(_xlfn.TEXTAFTER(M3, ":"))</f>
        <v>Relíquias</v>
      </c>
      <c r="O4" s="18" t="s">
        <v>5240</v>
      </c>
      <c r="P4" s="16" t="str">
        <f>TRIM(_xlfn.TEXTAFTER(O3, ":"))</f>
        <v>Реликвии</v>
      </c>
      <c r="Q4" s="18" t="s">
        <v>5977</v>
      </c>
      <c r="R4" s="16" t="str">
        <f>TRIM(_xlfn.TEXTAFTER(Q3, ":"))</f>
        <v>วัตถุตกทอด</v>
      </c>
      <c r="S4" s="18" t="s">
        <v>6532</v>
      </c>
      <c r="T4" s="20" t="str">
        <f>TRIM(_xlfn.TEXTAFTER(S3, ":"))</f>
        <v/>
      </c>
    </row>
    <row r="5" spans="1:20" ht="15.95" customHeight="1" x14ac:dyDescent="0.25">
      <c r="A5" s="18" t="s">
        <v>6543</v>
      </c>
      <c r="B5" s="16" t="str">
        <f>TRIM(_xlfn.TEXTBEFORE(A4, ":"))</f>
        <v>Rarity</v>
      </c>
      <c r="C5" s="18" t="s">
        <v>6610</v>
      </c>
      <c r="D5" s="16" t="str">
        <f>TRIM(_xlfn.TEXTBEFORE(C4, ":"))</f>
        <v>Seltenheit</v>
      </c>
      <c r="E5" s="18" t="s">
        <v>6716</v>
      </c>
      <c r="F5" s="16" t="str">
        <f>TRIM(_xlfn.TEXTBEFORE(E4, ":"))</f>
        <v>Rareza</v>
      </c>
      <c r="G5" s="18" t="s">
        <v>6568</v>
      </c>
      <c r="H5" s="16" t="str">
        <f>TRIM(_xlfn.TEXTBEFORE(G4, ":"))</f>
        <v>Rareté</v>
      </c>
      <c r="I5" s="18" t="s">
        <v>6770</v>
      </c>
      <c r="J5" s="16" t="str">
        <f>TRIM(_xlfn.TEXTBEFORE(I4, ":"))</f>
        <v>レアリティ</v>
      </c>
      <c r="K5" s="18" t="s">
        <v>6743</v>
      </c>
      <c r="L5" s="16" t="str">
        <f>TRIM(_xlfn.TEXTBEFORE(K4, ":"))</f>
        <v>아이템 희귀도</v>
      </c>
      <c r="M5" s="18" t="s">
        <v>6637</v>
      </c>
      <c r="N5" s="16" t="str">
        <f>TRIM(_xlfn.TEXTBEFORE(M4, ":"))</f>
        <v>Raridade</v>
      </c>
      <c r="O5" s="18" t="s">
        <v>6664</v>
      </c>
      <c r="P5" s="16" t="str">
        <f>TRIM(_xlfn.TEXTBEFORE(O4, ":"))</f>
        <v>Редкость</v>
      </c>
      <c r="Q5" s="18" t="s">
        <v>6543</v>
      </c>
      <c r="R5" s="16" t="str">
        <f>TRIM(_xlfn.TEXTBEFORE(Q4, ":"))</f>
        <v>ความหายาก</v>
      </c>
      <c r="S5" s="18"/>
      <c r="T5" s="20" t="str">
        <f>TRIM(_xlfn.TEXTBEFORE(S4, ":"))</f>
        <v/>
      </c>
    </row>
    <row r="6" spans="1:20" ht="15.95" customHeight="1" x14ac:dyDescent="0.25">
      <c r="A6" s="18" t="s">
        <v>6544</v>
      </c>
      <c r="B6" s="16" t="str">
        <f>TRIM(_xlfn.TEXTAFTER(A4,":"))</f>
        <v>Unique</v>
      </c>
      <c r="C6" s="18" t="s">
        <v>6611</v>
      </c>
      <c r="D6" s="16" t="str">
        <f>TRIM(_xlfn.TEXTAFTER(C4,":"))</f>
        <v>Einzigartig</v>
      </c>
      <c r="E6" s="18" t="s">
        <v>6717</v>
      </c>
      <c r="F6" s="16" t="str">
        <f>TRIM(_xlfn.TEXTAFTER(E4,":"))</f>
        <v>Único</v>
      </c>
      <c r="G6" s="18" t="s">
        <v>6569</v>
      </c>
      <c r="H6" s="16" t="str">
        <f>TRIM(_xlfn.TEXTAFTER(G4,":"))</f>
        <v>Unique</v>
      </c>
      <c r="I6" s="18" t="s">
        <v>6771</v>
      </c>
      <c r="J6" s="16" t="str">
        <f>TRIM(_xlfn.TEXTAFTER(I4,":"))</f>
        <v>ユニーク</v>
      </c>
      <c r="K6" s="18" t="s">
        <v>6744</v>
      </c>
      <c r="L6" s="16" t="str">
        <f>TRIM(_xlfn.TEXTAFTER(K4,":"))</f>
        <v>고유</v>
      </c>
      <c r="M6" s="18" t="s">
        <v>6638</v>
      </c>
      <c r="N6" s="16" t="str">
        <f>TRIM(_xlfn.TEXTAFTER(M4,":"))</f>
        <v>Único</v>
      </c>
      <c r="O6" s="18" t="s">
        <v>6665</v>
      </c>
      <c r="P6" s="16" t="str">
        <f>TRIM(_xlfn.TEXTAFTER(O4,":"))</f>
        <v>Уникальный</v>
      </c>
      <c r="Q6" s="18" t="s">
        <v>6691</v>
      </c>
      <c r="R6" s="16" t="str">
        <f>TRIM(_xlfn.TEXTAFTER(Q4,":"))</f>
        <v>ยูนิค</v>
      </c>
      <c r="S6" s="18"/>
      <c r="T6" s="20" t="str">
        <f>TRIM(_xlfn.TEXTAFTER(S4,":"))</f>
        <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420</v>
      </c>
      <c r="B8" s="16"/>
      <c r="C8" s="18" t="s">
        <v>1790</v>
      </c>
      <c r="D8" s="16"/>
      <c r="E8" s="18" t="s">
        <v>2509</v>
      </c>
      <c r="F8" s="16"/>
      <c r="G8" s="18" t="s">
        <v>7</v>
      </c>
      <c r="H8" s="16"/>
      <c r="I8" s="18" t="s">
        <v>3229</v>
      </c>
      <c r="J8" s="16"/>
      <c r="K8" s="18" t="s">
        <v>3975</v>
      </c>
      <c r="L8" s="16"/>
      <c r="M8" s="18" t="s">
        <v>4702</v>
      </c>
      <c r="N8" s="16"/>
      <c r="O8" s="18" t="s">
        <v>5389</v>
      </c>
      <c r="P8" s="16"/>
      <c r="Q8" s="18" t="s">
        <v>6112</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6545</v>
      </c>
      <c r="B10" s="16"/>
      <c r="C10" s="18" t="s">
        <v>6612</v>
      </c>
      <c r="D10" s="16"/>
      <c r="E10" s="18" t="s">
        <v>6718</v>
      </c>
      <c r="F10" s="16"/>
      <c r="G10" s="18" t="s">
        <v>6570</v>
      </c>
      <c r="H10" s="16"/>
      <c r="I10" s="18" t="s">
        <v>6772</v>
      </c>
      <c r="J10" s="16"/>
      <c r="K10" s="18" t="s">
        <v>6745</v>
      </c>
      <c r="L10" s="16"/>
      <c r="M10" s="18" t="s">
        <v>6639</v>
      </c>
      <c r="N10" s="16"/>
      <c r="O10" s="18" t="s">
        <v>6666</v>
      </c>
      <c r="P10" s="16"/>
      <c r="Q10" s="18" t="s">
        <v>6692</v>
      </c>
      <c r="R10" s="16"/>
      <c r="S10" s="18"/>
      <c r="T10" s="20"/>
    </row>
    <row r="11" spans="1:20" ht="15.95" customHeight="1" x14ac:dyDescent="0.25">
      <c r="A11" s="18" t="s">
        <v>6546</v>
      </c>
      <c r="B11" s="16"/>
      <c r="C11" s="18" t="s">
        <v>6613</v>
      </c>
      <c r="D11" s="16"/>
      <c r="E11" s="18" t="s">
        <v>6719</v>
      </c>
      <c r="F11" s="16"/>
      <c r="G11" s="18" t="s">
        <v>6571</v>
      </c>
      <c r="H11" s="16"/>
      <c r="I11" s="18" t="s">
        <v>6773</v>
      </c>
      <c r="J11" s="16"/>
      <c r="K11" s="18" t="s">
        <v>6746</v>
      </c>
      <c r="L11" s="16"/>
      <c r="M11" s="18" t="s">
        <v>6640</v>
      </c>
      <c r="N11" s="16"/>
      <c r="O11" s="18" t="s">
        <v>6667</v>
      </c>
      <c r="P11" s="16"/>
      <c r="Q11" s="18" t="s">
        <v>6693</v>
      </c>
      <c r="R11" s="16"/>
      <c r="S11" s="18"/>
      <c r="T11" s="20"/>
    </row>
    <row r="12" spans="1:20" ht="15.95" customHeight="1" x14ac:dyDescent="0.25">
      <c r="A12" s="18" t="s">
        <v>6547</v>
      </c>
      <c r="B12" s="16"/>
      <c r="C12" s="18" t="s">
        <v>6614</v>
      </c>
      <c r="D12" s="16"/>
      <c r="E12" s="18" t="s">
        <v>6720</v>
      </c>
      <c r="F12" s="16"/>
      <c r="G12" s="18" t="s">
        <v>6572</v>
      </c>
      <c r="H12" s="16"/>
      <c r="I12" s="18" t="s">
        <v>6774</v>
      </c>
      <c r="J12" s="16"/>
      <c r="K12" s="18" t="s">
        <v>6747</v>
      </c>
      <c r="L12" s="16"/>
      <c r="M12" s="18" t="s">
        <v>6641</v>
      </c>
      <c r="N12" s="16"/>
      <c r="O12" s="18" t="s">
        <v>6668</v>
      </c>
      <c r="P12" s="16"/>
      <c r="Q12" s="18" t="s">
        <v>6694</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6548</v>
      </c>
      <c r="B14" s="16"/>
      <c r="C14" s="18" t="s">
        <v>6615</v>
      </c>
      <c r="D14" s="16"/>
      <c r="E14" s="18" t="s">
        <v>6721</v>
      </c>
      <c r="F14" s="16"/>
      <c r="G14" s="18" t="s">
        <v>6573</v>
      </c>
      <c r="H14" s="16"/>
      <c r="I14" s="18" t="s">
        <v>6775</v>
      </c>
      <c r="J14" s="16"/>
      <c r="K14" s="18" t="s">
        <v>6748</v>
      </c>
      <c r="L14" s="16"/>
      <c r="M14" s="18" t="s">
        <v>6642</v>
      </c>
      <c r="N14" s="16"/>
      <c r="O14" s="18" t="s">
        <v>6669</v>
      </c>
      <c r="P14" s="16"/>
      <c r="Q14" s="18" t="s">
        <v>6695</v>
      </c>
      <c r="R14" s="16"/>
      <c r="S14" s="18"/>
      <c r="T14" s="20"/>
    </row>
    <row r="15" spans="1:20" ht="15.95" customHeight="1" x14ac:dyDescent="0.25">
      <c r="A15" s="18" t="s">
        <v>4</v>
      </c>
      <c r="B15" s="16"/>
      <c r="C15" s="18" t="s">
        <v>4</v>
      </c>
      <c r="D15" s="16"/>
      <c r="E15" s="18" t="s">
        <v>4</v>
      </c>
      <c r="F15" s="16"/>
      <c r="G15" s="18" t="s">
        <v>6574</v>
      </c>
      <c r="H15" s="16"/>
      <c r="I15" s="18" t="s">
        <v>4</v>
      </c>
      <c r="J15" s="16"/>
      <c r="K15" s="18" t="s">
        <v>4</v>
      </c>
      <c r="L15" s="16"/>
      <c r="M15" s="18" t="s">
        <v>4</v>
      </c>
      <c r="N15" s="16"/>
      <c r="O15" s="18" t="s">
        <v>4</v>
      </c>
      <c r="P15" s="16"/>
      <c r="Q15" s="18" t="s">
        <v>4</v>
      </c>
      <c r="R15" s="16"/>
      <c r="S15" s="18"/>
      <c r="T15" s="20"/>
    </row>
    <row r="16" spans="1:20" ht="15.95" customHeight="1" x14ac:dyDescent="0.25">
      <c r="A16" s="18" t="s">
        <v>6549</v>
      </c>
      <c r="B16" s="16"/>
      <c r="C16" s="18" t="s">
        <v>6616</v>
      </c>
      <c r="D16" s="16"/>
      <c r="E16" s="18" t="s">
        <v>6722</v>
      </c>
      <c r="F16" s="16"/>
      <c r="G16" s="18" t="s">
        <v>6575</v>
      </c>
      <c r="H16" s="16"/>
      <c r="I16" s="18" t="s">
        <v>6776</v>
      </c>
      <c r="J16" s="16"/>
      <c r="K16" s="18" t="s">
        <v>6749</v>
      </c>
      <c r="L16" s="16"/>
      <c r="M16" s="18" t="s">
        <v>6643</v>
      </c>
      <c r="N16" s="16"/>
      <c r="O16" s="18" t="s">
        <v>6670</v>
      </c>
      <c r="P16" s="16"/>
      <c r="Q16" s="18" t="s">
        <v>6696</v>
      </c>
      <c r="R16" s="16"/>
      <c r="S16" s="18"/>
      <c r="T16" s="20"/>
    </row>
    <row r="17" spans="1:20" ht="15.95" customHeight="1" x14ac:dyDescent="0.25">
      <c r="A17" s="18" t="s">
        <v>4</v>
      </c>
      <c r="B17" s="16"/>
      <c r="C17" s="18" t="s">
        <v>4</v>
      </c>
      <c r="D17" s="16"/>
      <c r="E17" s="18" t="s">
        <v>4</v>
      </c>
      <c r="F17" s="16"/>
      <c r="G17" s="18" t="s">
        <v>6576</v>
      </c>
      <c r="H17" s="16"/>
      <c r="I17" s="18" t="s">
        <v>4</v>
      </c>
      <c r="J17" s="16"/>
      <c r="K17" s="18" t="s">
        <v>4</v>
      </c>
      <c r="L17" s="16"/>
      <c r="M17" s="18" t="s">
        <v>4</v>
      </c>
      <c r="N17" s="16"/>
      <c r="O17" s="18" t="s">
        <v>4</v>
      </c>
      <c r="P17" s="16"/>
      <c r="Q17" s="18" t="s">
        <v>4</v>
      </c>
      <c r="R17" s="16"/>
      <c r="S17" s="18"/>
      <c r="T17" s="20"/>
    </row>
    <row r="18" spans="1:20" ht="15.95" customHeight="1" x14ac:dyDescent="0.25">
      <c r="A18" s="18" t="s">
        <v>766</v>
      </c>
      <c r="B18" s="16"/>
      <c r="C18" s="18" t="s">
        <v>1727</v>
      </c>
      <c r="D18" s="16"/>
      <c r="E18" s="18" t="s">
        <v>2446</v>
      </c>
      <c r="F18" s="16"/>
      <c r="G18" s="18" t="s">
        <v>4</v>
      </c>
      <c r="H18" s="16"/>
      <c r="I18" s="18" t="s">
        <v>3164</v>
      </c>
      <c r="J18" s="16"/>
      <c r="K18" s="18" t="s">
        <v>3911</v>
      </c>
      <c r="L18" s="16"/>
      <c r="M18" s="18" t="s">
        <v>4640</v>
      </c>
      <c r="N18" s="16"/>
      <c r="O18" s="18" t="s">
        <v>5325</v>
      </c>
      <c r="P18" s="16"/>
      <c r="Q18" s="18" t="s">
        <v>6057</v>
      </c>
      <c r="R18" s="16"/>
      <c r="S18" s="18"/>
      <c r="T18" s="20"/>
    </row>
    <row r="19" spans="1:20" ht="15.95" customHeight="1" x14ac:dyDescent="0.25">
      <c r="A19" s="18"/>
      <c r="B19" s="16"/>
      <c r="C19" s="18"/>
      <c r="D19" s="16"/>
      <c r="E19" s="18"/>
      <c r="F19" s="16"/>
      <c r="G19" s="18" t="s">
        <v>6577</v>
      </c>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t="s">
        <v>4</v>
      </c>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t="s">
        <v>995</v>
      </c>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79" priority="2" stopIfTrue="1">
      <formula>NOT(ISERROR(A3))</formula>
    </cfRule>
  </conditionalFormatting>
  <conditionalFormatting sqref="A3:T51">
    <cfRule type="containsErrors" dxfId="178" priority="1" stopIfTrue="1">
      <formula>ISERROR(A3)</formula>
    </cfRule>
    <cfRule type="notContainsBlanks" dxfId="177" priority="3">
      <formula>LEN(TRIM(A3))&gt;0</formula>
    </cfRule>
  </conditionalFormatting>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ECE385-FD43-4857-A732-CFEDE289684E}">
  <sheetPr codeName="Sheet66"/>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8" t="s">
        <v>84</v>
      </c>
    </row>
    <row r="3" spans="1:20" ht="15.95" customHeight="1" x14ac:dyDescent="0.25">
      <c r="A3" s="17" t="s">
        <v>6530</v>
      </c>
      <c r="B3" s="16" t="str">
        <f>TRIM(_xlfn.TEXTBEFORE(A3, ":"))</f>
        <v>Item Class</v>
      </c>
      <c r="C3" s="17" t="s">
        <v>6617</v>
      </c>
      <c r="D3" s="16" t="str">
        <f>TRIM(_xlfn.TEXTBEFORE(C3, ":"))</f>
        <v>Gegenstandsklasse</v>
      </c>
      <c r="E3" s="17" t="s">
        <v>6723</v>
      </c>
      <c r="F3" s="16" t="str">
        <f>TRIM(_xlfn.TEXTBEFORE(E3, ":"))</f>
        <v>Clase de objeto</v>
      </c>
      <c r="G3" s="17" t="s">
        <v>6578</v>
      </c>
      <c r="H3" s="16" t="str">
        <f>TRIM(_xlfn.TEXTBEFORE(G3, ":"))</f>
        <v>Classe d'objet</v>
      </c>
      <c r="I3" s="17" t="s">
        <v>6777</v>
      </c>
      <c r="J3" s="16" t="str">
        <f>TRIM(_xlfn.TEXTBEFORE(I3, ":"))</f>
        <v>アイテムクラス</v>
      </c>
      <c r="K3" s="17" t="s">
        <v>6750</v>
      </c>
      <c r="L3" s="16" t="str">
        <f>TRIM(_xlfn.TEXTBEFORE(K3, ":"))</f>
        <v>아이템 종류</v>
      </c>
      <c r="M3" s="17" t="s">
        <v>6644</v>
      </c>
      <c r="N3" s="16" t="str">
        <f>TRIM(_xlfn.TEXTBEFORE(M3, ":"))</f>
        <v>Classe do Item</v>
      </c>
      <c r="O3" s="17" t="s">
        <v>6671</v>
      </c>
      <c r="P3" s="16" t="str">
        <f>TRIM(_xlfn.TEXTBEFORE(O3, ":"))</f>
        <v>Класс предмета</v>
      </c>
      <c r="Q3" s="17" t="s">
        <v>6697</v>
      </c>
      <c r="R3" s="16" t="str">
        <f>TRIM(_xlfn.TEXTBEFORE(Q3, ":"))</f>
        <v>ชนิดไอเทม</v>
      </c>
      <c r="S3" s="17" t="s">
        <v>6532</v>
      </c>
      <c r="T3" s="20" t="str">
        <f>TRIM(_xlfn.TEXTBEFORE(S3, ":"))</f>
        <v/>
      </c>
    </row>
    <row r="4" spans="1:20" ht="15.95" customHeight="1" x14ac:dyDescent="0.25">
      <c r="A4" s="18" t="s">
        <v>553</v>
      </c>
      <c r="B4" s="16" t="str">
        <f>TRIM(_xlfn.TEXTAFTER(A3, ":"))</f>
        <v>Corpses</v>
      </c>
      <c r="C4" s="18" t="s">
        <v>1625</v>
      </c>
      <c r="D4" s="16" t="str">
        <f>TRIM(_xlfn.TEXTAFTER(C3, ":"))</f>
        <v>Leichen</v>
      </c>
      <c r="E4" s="18" t="s">
        <v>2293</v>
      </c>
      <c r="F4" s="16" t="str">
        <f>TRIM(_xlfn.TEXTAFTER(E3, ":"))</f>
        <v>Cadáveres</v>
      </c>
      <c r="G4" s="18" t="s">
        <v>848</v>
      </c>
      <c r="H4" s="16" t="str">
        <f>TRIM(_xlfn.TEXTAFTER(G3, ":"))</f>
        <v>Cadavres</v>
      </c>
      <c r="I4" s="18" t="s">
        <v>3061</v>
      </c>
      <c r="J4" s="16" t="str">
        <f>TRIM(_xlfn.TEXTAFTER(I3, ":"))</f>
        <v>死体</v>
      </c>
      <c r="K4" s="18" t="s">
        <v>3755</v>
      </c>
      <c r="L4" s="16" t="str">
        <f>TRIM(_xlfn.TEXTAFTER(K3, ":"))</f>
        <v>시신</v>
      </c>
      <c r="M4" s="18" t="s">
        <v>4539</v>
      </c>
      <c r="N4" s="16" t="str">
        <f>TRIM(_xlfn.TEXTAFTER(M3, ":"))</f>
        <v>Patuá</v>
      </c>
      <c r="O4" s="18" t="s">
        <v>5223</v>
      </c>
      <c r="P4" s="16" t="str">
        <f>TRIM(_xlfn.TEXTAFTER(O3, ":"))</f>
        <v>Трупы</v>
      </c>
      <c r="Q4" s="18" t="s">
        <v>5911</v>
      </c>
      <c r="R4" s="16" t="str">
        <f>TRIM(_xlfn.TEXTAFTER(Q3, ":"))</f>
        <v>ศพ</v>
      </c>
      <c r="S4" s="18" t="s">
        <v>6532</v>
      </c>
      <c r="T4" s="20" t="str">
        <f>TRIM(_xlfn.TEXTAFTER(S3, ":"))</f>
        <v/>
      </c>
    </row>
    <row r="5" spans="1:20" ht="15.95" customHeight="1" x14ac:dyDescent="0.25">
      <c r="A5" s="18" t="s">
        <v>6550</v>
      </c>
      <c r="B5" s="16" t="str">
        <f>TRIM(_xlfn.TEXTBEFORE(A4, ":"))</f>
        <v>Rarity</v>
      </c>
      <c r="C5" s="18" t="s">
        <v>6618</v>
      </c>
      <c r="D5" s="16" t="str">
        <f>TRIM(_xlfn.TEXTBEFORE(C4, ":"))</f>
        <v>Seltenheit</v>
      </c>
      <c r="E5" s="18" t="s">
        <v>6724</v>
      </c>
      <c r="F5" s="16" t="str">
        <f>TRIM(_xlfn.TEXTBEFORE(E4, ":"))</f>
        <v>Rareza</v>
      </c>
      <c r="G5" s="18" t="s">
        <v>6579</v>
      </c>
      <c r="H5" s="16" t="str">
        <f>TRIM(_xlfn.TEXTBEFORE(G4, ":"))</f>
        <v>Rareté</v>
      </c>
      <c r="I5" s="18" t="s">
        <v>6778</v>
      </c>
      <c r="J5" s="16" t="str">
        <f>TRIM(_xlfn.TEXTBEFORE(I4, ":"))</f>
        <v>レアリティ</v>
      </c>
      <c r="K5" s="18" t="s">
        <v>6751</v>
      </c>
      <c r="L5" s="16" t="str">
        <f>TRIM(_xlfn.TEXTBEFORE(K4, ":"))</f>
        <v>아이템 희귀도</v>
      </c>
      <c r="M5" s="18" t="s">
        <v>6645</v>
      </c>
      <c r="N5" s="16" t="str">
        <f>TRIM(_xlfn.TEXTBEFORE(M4, ":"))</f>
        <v>Raridade</v>
      </c>
      <c r="O5" s="18" t="s">
        <v>6672</v>
      </c>
      <c r="P5" s="16" t="str">
        <f>TRIM(_xlfn.TEXTBEFORE(O4, ":"))</f>
        <v>Редкость</v>
      </c>
      <c r="Q5" s="18" t="s">
        <v>6550</v>
      </c>
      <c r="R5" s="16" t="str">
        <f>TRIM(_xlfn.TEXTBEFORE(Q4, ":"))</f>
        <v>ความหายาก</v>
      </c>
      <c r="S5" s="18"/>
      <c r="T5" s="20" t="str">
        <f>TRIM(_xlfn.TEXTBEFORE(S4, ":"))</f>
        <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20" t="str">
        <f>TRIM(_xlfn.TEXTAFTER(S4,":"))</f>
        <v/>
      </c>
    </row>
    <row r="7" spans="1:20" ht="15.95" customHeight="1" x14ac:dyDescent="0.25">
      <c r="A7" s="18" t="s">
        <v>6551</v>
      </c>
      <c r="B7" s="16"/>
      <c r="C7" s="18" t="s">
        <v>6619</v>
      </c>
      <c r="D7" s="16"/>
      <c r="E7" s="18" t="s">
        <v>6725</v>
      </c>
      <c r="F7" s="16"/>
      <c r="G7" s="18" t="s">
        <v>6580</v>
      </c>
      <c r="H7" s="16"/>
      <c r="I7" s="18" t="s">
        <v>6779</v>
      </c>
      <c r="J7" s="16"/>
      <c r="K7" s="18" t="s">
        <v>6752</v>
      </c>
      <c r="L7" s="16"/>
      <c r="M7" s="18" t="s">
        <v>6646</v>
      </c>
      <c r="N7" s="16"/>
      <c r="O7" s="18" t="s">
        <v>6673</v>
      </c>
      <c r="P7" s="16"/>
      <c r="Q7" s="18" t="s">
        <v>6698</v>
      </c>
      <c r="R7" s="16"/>
      <c r="S7" s="18"/>
      <c r="T7" s="20"/>
    </row>
    <row r="8" spans="1:20" ht="15.95" customHeight="1" x14ac:dyDescent="0.25">
      <c r="A8" s="18" t="s">
        <v>6552</v>
      </c>
      <c r="B8" s="16"/>
      <c r="C8" s="18" t="s">
        <v>6620</v>
      </c>
      <c r="D8" s="16"/>
      <c r="E8" s="18" t="s">
        <v>6726</v>
      </c>
      <c r="F8" s="16"/>
      <c r="G8" s="18" t="s">
        <v>6581</v>
      </c>
      <c r="H8" s="16"/>
      <c r="I8" s="18" t="s">
        <v>6780</v>
      </c>
      <c r="J8" s="16"/>
      <c r="K8" s="18" t="s">
        <v>6753</v>
      </c>
      <c r="L8" s="16"/>
      <c r="M8" s="18" t="s">
        <v>6647</v>
      </c>
      <c r="N8" s="16"/>
      <c r="O8" s="18" t="s">
        <v>6674</v>
      </c>
      <c r="P8" s="16"/>
      <c r="Q8" s="18" t="s">
        <v>6699</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254</v>
      </c>
      <c r="B10" s="16"/>
      <c r="C10" s="18" t="s">
        <v>1730</v>
      </c>
      <c r="D10" s="16"/>
      <c r="E10" s="18" t="s">
        <v>2449</v>
      </c>
      <c r="F10" s="16"/>
      <c r="G10" s="18" t="s">
        <v>998</v>
      </c>
      <c r="H10" s="16"/>
      <c r="I10" s="18" t="s">
        <v>3167</v>
      </c>
      <c r="J10" s="16"/>
      <c r="K10" s="18" t="s">
        <v>3914</v>
      </c>
      <c r="L10" s="16"/>
      <c r="M10" s="18" t="s">
        <v>4643</v>
      </c>
      <c r="N10" s="16"/>
      <c r="O10" s="18" t="s">
        <v>5328</v>
      </c>
      <c r="P10" s="16"/>
      <c r="Q10" s="18" t="s">
        <v>6060</v>
      </c>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5.95" customHeight="1" x14ac:dyDescent="0.25">
      <c r="A12" s="18" t="s">
        <v>6553</v>
      </c>
      <c r="B12" s="16"/>
      <c r="C12" s="18" t="s">
        <v>6621</v>
      </c>
      <c r="D12" s="16"/>
      <c r="E12" s="18" t="s">
        <v>6727</v>
      </c>
      <c r="F12" s="16"/>
      <c r="G12" s="18" t="s">
        <v>6582</v>
      </c>
      <c r="H12" s="16"/>
      <c r="I12" s="18" t="s">
        <v>6781</v>
      </c>
      <c r="J12" s="16"/>
      <c r="K12" s="18" t="s">
        <v>6754</v>
      </c>
      <c r="L12" s="16"/>
      <c r="M12" s="18" t="s">
        <v>6648</v>
      </c>
      <c r="N12" s="16"/>
      <c r="O12" s="18" t="s">
        <v>6675</v>
      </c>
      <c r="P12" s="16"/>
      <c r="Q12" s="18" t="s">
        <v>6700</v>
      </c>
      <c r="R12" s="16"/>
      <c r="S12" s="18"/>
      <c r="T12" s="20"/>
    </row>
    <row r="13" spans="1:20" ht="15.95" customHeight="1" x14ac:dyDescent="0.25">
      <c r="A13" s="18" t="s">
        <v>6554</v>
      </c>
      <c r="B13" s="16"/>
      <c r="C13" s="18" t="s">
        <v>6622</v>
      </c>
      <c r="D13" s="16"/>
      <c r="E13" s="18" t="s">
        <v>6728</v>
      </c>
      <c r="F13" s="16"/>
      <c r="G13" s="18" t="s">
        <v>6583</v>
      </c>
      <c r="H13" s="16"/>
      <c r="I13" s="18" t="s">
        <v>6782</v>
      </c>
      <c r="J13" s="16"/>
      <c r="K13" s="18" t="s">
        <v>6755</v>
      </c>
      <c r="L13" s="16"/>
      <c r="M13" s="18" t="s">
        <v>6649</v>
      </c>
      <c r="N13" s="16"/>
      <c r="O13" s="18" t="s">
        <v>6676</v>
      </c>
      <c r="P13" s="16"/>
      <c r="Q13" s="18" t="s">
        <v>6701</v>
      </c>
      <c r="R13" s="16"/>
      <c r="S13" s="18"/>
      <c r="T13" s="20"/>
    </row>
    <row r="14" spans="1:20" ht="15.95" customHeight="1" x14ac:dyDescent="0.25">
      <c r="A14" s="18" t="s">
        <v>6555</v>
      </c>
      <c r="B14" s="16"/>
      <c r="C14" s="18" t="s">
        <v>6623</v>
      </c>
      <c r="D14" s="16"/>
      <c r="E14" s="18" t="s">
        <v>6729</v>
      </c>
      <c r="F14" s="16"/>
      <c r="G14" s="18" t="s">
        <v>6584</v>
      </c>
      <c r="H14" s="16"/>
      <c r="I14" s="18" t="s">
        <v>6783</v>
      </c>
      <c r="J14" s="16"/>
      <c r="K14" s="18" t="s">
        <v>6756</v>
      </c>
      <c r="L14" s="16"/>
      <c r="M14" s="18" t="s">
        <v>6650</v>
      </c>
      <c r="N14" s="16"/>
      <c r="O14" s="18" t="s">
        <v>6677</v>
      </c>
      <c r="P14" s="16"/>
      <c r="Q14" s="18" t="s">
        <v>6702</v>
      </c>
      <c r="R14" s="16"/>
      <c r="S14" s="18"/>
      <c r="T14" s="20"/>
    </row>
    <row r="15" spans="1:20" ht="15.95" customHeight="1" x14ac:dyDescent="0.25">
      <c r="A15" s="18" t="s">
        <v>6556</v>
      </c>
      <c r="B15" s="16"/>
      <c r="C15" s="18" t="s">
        <v>6624</v>
      </c>
      <c r="D15" s="16"/>
      <c r="E15" s="18" t="s">
        <v>6730</v>
      </c>
      <c r="F15" s="16"/>
      <c r="G15" s="18" t="s">
        <v>6585</v>
      </c>
      <c r="H15" s="16"/>
      <c r="I15" s="18" t="s">
        <v>6784</v>
      </c>
      <c r="J15" s="16"/>
      <c r="K15" s="18" t="s">
        <v>6757</v>
      </c>
      <c r="L15" s="16"/>
      <c r="M15" s="18" t="s">
        <v>6651</v>
      </c>
      <c r="N15" s="16"/>
      <c r="O15" s="18" t="s">
        <v>6678</v>
      </c>
      <c r="P15" s="16"/>
      <c r="Q15" s="18" t="s">
        <v>6703</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6531</v>
      </c>
      <c r="B17" s="16"/>
      <c r="C17" s="18" t="s">
        <v>6625</v>
      </c>
      <c r="D17" s="16"/>
      <c r="E17" s="18" t="s">
        <v>6731</v>
      </c>
      <c r="F17" s="16"/>
      <c r="G17" s="18" t="s">
        <v>6586</v>
      </c>
      <c r="H17" s="16"/>
      <c r="I17" s="18" t="s">
        <v>6785</v>
      </c>
      <c r="J17" s="16"/>
      <c r="K17" s="18" t="s">
        <v>6758</v>
      </c>
      <c r="L17" s="16"/>
      <c r="M17" s="18" t="s">
        <v>6652</v>
      </c>
      <c r="N17" s="16"/>
      <c r="O17" s="18" t="s">
        <v>6679</v>
      </c>
      <c r="P17" s="16"/>
      <c r="Q17" s="18" t="s">
        <v>6704</v>
      </c>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fRule type="notContainsErrors" dxfId="176" priority="29" stopIfTrue="1">
      <formula>NOT(ISERROR(A3))</formula>
    </cfRule>
  </conditionalFormatting>
  <conditionalFormatting sqref="A3:B4 A5:T51">
    <cfRule type="notContainsBlanks" dxfId="175" priority="30">
      <formula>LEN(TRIM(A3))&gt;0</formula>
    </cfRule>
  </conditionalFormatting>
  <conditionalFormatting sqref="A3:T51">
    <cfRule type="containsErrors" dxfId="174" priority="1" stopIfTrue="1">
      <formula>ISERROR(A3)</formula>
    </cfRule>
  </conditionalFormatting>
  <conditionalFormatting sqref="C3:C4">
    <cfRule type="notContainsBlanks" dxfId="173" priority="3">
      <formula>LEN(TRIM(C3))&gt;0</formula>
    </cfRule>
  </conditionalFormatting>
  <conditionalFormatting sqref="C3:C51">
    <cfRule type="notContainsErrors" dxfId="172" priority="2" stopIfTrue="1">
      <formula>NOT(ISERROR(C3))</formula>
    </cfRule>
  </conditionalFormatting>
  <conditionalFormatting sqref="D3:E4">
    <cfRule type="notContainsBlanks" dxfId="171" priority="6">
      <formula>LEN(TRIM(D3))&gt;0</formula>
    </cfRule>
  </conditionalFormatting>
  <conditionalFormatting sqref="E3:E51">
    <cfRule type="notContainsErrors" dxfId="170" priority="5" stopIfTrue="1">
      <formula>NOT(ISERROR(E3))</formula>
    </cfRule>
  </conditionalFormatting>
  <conditionalFormatting sqref="F3:G4">
    <cfRule type="notContainsBlanks" dxfId="169" priority="9">
      <formula>LEN(TRIM(F3))&gt;0</formula>
    </cfRule>
  </conditionalFormatting>
  <conditionalFormatting sqref="G3:G51">
    <cfRule type="notContainsErrors" dxfId="168" priority="8" stopIfTrue="1">
      <formula>NOT(ISERROR(G3))</formula>
    </cfRule>
  </conditionalFormatting>
  <conditionalFormatting sqref="H3:I4">
    <cfRule type="notContainsBlanks" dxfId="167" priority="12">
      <formula>LEN(TRIM(H3))&gt;0</formula>
    </cfRule>
  </conditionalFormatting>
  <conditionalFormatting sqref="I3:I51">
    <cfRule type="notContainsErrors" dxfId="166" priority="11" stopIfTrue="1">
      <formula>NOT(ISERROR(I3))</formula>
    </cfRule>
  </conditionalFormatting>
  <conditionalFormatting sqref="J3:K4">
    <cfRule type="notContainsBlanks" dxfId="165" priority="15">
      <formula>LEN(TRIM(J3))&gt;0</formula>
    </cfRule>
  </conditionalFormatting>
  <conditionalFormatting sqref="K3:K51">
    <cfRule type="notContainsErrors" dxfId="164" priority="14" stopIfTrue="1">
      <formula>NOT(ISERROR(K3))</formula>
    </cfRule>
  </conditionalFormatting>
  <conditionalFormatting sqref="L3:M4">
    <cfRule type="notContainsBlanks" dxfId="163" priority="18">
      <formula>LEN(TRIM(L3))&gt;0</formula>
    </cfRule>
  </conditionalFormatting>
  <conditionalFormatting sqref="M3:M51">
    <cfRule type="notContainsErrors" dxfId="162" priority="17" stopIfTrue="1">
      <formula>NOT(ISERROR(M3))</formula>
    </cfRule>
  </conditionalFormatting>
  <conditionalFormatting sqref="N3:O4">
    <cfRule type="notContainsBlanks" dxfId="161" priority="21">
      <formula>LEN(TRIM(N3))&gt;0</formula>
    </cfRule>
  </conditionalFormatting>
  <conditionalFormatting sqref="O3:O51">
    <cfRule type="notContainsErrors" dxfId="160" priority="20" stopIfTrue="1">
      <formula>NOT(ISERROR(O3))</formula>
    </cfRule>
  </conditionalFormatting>
  <conditionalFormatting sqref="P3:Q4">
    <cfRule type="notContainsBlanks" dxfId="159" priority="24">
      <formula>LEN(TRIM(P3))&gt;0</formula>
    </cfRule>
  </conditionalFormatting>
  <conditionalFormatting sqref="Q3:Q51">
    <cfRule type="notContainsErrors" dxfId="158" priority="23" stopIfTrue="1">
      <formula>NOT(ISERROR(Q3))</formula>
    </cfRule>
  </conditionalFormatting>
  <conditionalFormatting sqref="R3:T4">
    <cfRule type="notContainsBlanks" dxfId="157" priority="27">
      <formula>LEN(TRIM(R3))&gt;0</formula>
    </cfRule>
  </conditionalFormatting>
  <conditionalFormatting sqref="S3:S51">
    <cfRule type="notContainsErrors" dxfId="156" priority="26" stopIfTrue="1">
      <formula>NOT(ISERROR(S3))</formula>
    </cfRule>
  </conditionalFormatting>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50D859-5666-46C8-9E25-8B8655D4E537}">
  <sheetPr codeName="Sheet67"/>
  <dimension ref="A1:T51"/>
  <sheetViews>
    <sheetView workbookViewId="0">
      <selection activeCell="T8" sqref="T8"/>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8" t="s">
        <v>84</v>
      </c>
    </row>
    <row r="3" spans="1:20" ht="15.95" customHeight="1" x14ac:dyDescent="0.25">
      <c r="A3" s="17" t="s">
        <v>339</v>
      </c>
      <c r="B3" s="16" t="str">
        <f>TRIM(_xlfn.TEXTBEFORE(A3, ":"))</f>
        <v>Item Class</v>
      </c>
      <c r="C3" s="17" t="s">
        <v>1961</v>
      </c>
      <c r="D3" s="16" t="str">
        <f>TRIM(_xlfn.TEXTBEFORE(C3, ":"))</f>
        <v>Gegenstandsklasse</v>
      </c>
      <c r="E3" s="17" t="s">
        <v>2682</v>
      </c>
      <c r="F3" s="16" t="str">
        <f>TRIM(_xlfn.TEXTBEFORE(E3, ":"))</f>
        <v>Clase de objeto</v>
      </c>
      <c r="G3" s="17" t="s">
        <v>1218</v>
      </c>
      <c r="H3" s="16" t="str">
        <f>TRIM(_xlfn.TEXTBEFORE(G3, ":"))</f>
        <v>Classe d'objet</v>
      </c>
      <c r="I3" s="17" t="s">
        <v>3409</v>
      </c>
      <c r="J3" s="16" t="str">
        <f>TRIM(_xlfn.TEXTBEFORE(I3, ":"))</f>
        <v>アイテムクラス</v>
      </c>
      <c r="K3" s="17" t="s">
        <v>4153</v>
      </c>
      <c r="L3" s="16" t="str">
        <f>TRIM(_xlfn.TEXTBEFORE(K3, ":"))</f>
        <v>아이템 종류</v>
      </c>
      <c r="M3" s="17" t="s">
        <v>4862</v>
      </c>
      <c r="N3" s="16" t="str">
        <f>TRIM(_xlfn.TEXTBEFORE(M3, ":"))</f>
        <v>Classe do Item</v>
      </c>
      <c r="O3" s="17" t="s">
        <v>5567</v>
      </c>
      <c r="P3" s="16" t="str">
        <f>TRIM(_xlfn.TEXTBEFORE(O3, ":"))</f>
        <v>Класс предмета</v>
      </c>
      <c r="Q3" s="17" t="s">
        <v>6252</v>
      </c>
      <c r="R3" s="16" t="str">
        <f>TRIM(_xlfn.TEXTBEFORE(Q3, ":"))</f>
        <v>ชนิดไอเทม</v>
      </c>
      <c r="S3" s="13" t="s">
        <v>7814</v>
      </c>
      <c r="T3" s="20" t="str">
        <f>TRIM(_xlfn.TEXTBEFORE(S3, ":"))</f>
        <v>物品種類</v>
      </c>
    </row>
    <row r="4" spans="1:20" ht="15.95" customHeight="1" x14ac:dyDescent="0.25">
      <c r="A4" s="18" t="s">
        <v>470</v>
      </c>
      <c r="B4" s="16" t="str">
        <f>TRIM(_xlfn.TEXTAFTER(A3, ":"))</f>
        <v>Bows</v>
      </c>
      <c r="C4" s="18" t="s">
        <v>1681</v>
      </c>
      <c r="D4" s="16" t="str">
        <f>TRIM(_xlfn.TEXTAFTER(C3, ":"))</f>
        <v>Bögen</v>
      </c>
      <c r="E4" s="18" t="s">
        <v>2400</v>
      </c>
      <c r="F4" s="16" t="str">
        <f>TRIM(_xlfn.TEXTAFTER(E3, ":"))</f>
        <v>Arcos</v>
      </c>
      <c r="G4" s="18" t="s">
        <v>948</v>
      </c>
      <c r="H4" s="16" t="str">
        <f>TRIM(_xlfn.TEXTAFTER(G3, ":"))</f>
        <v>Arcs</v>
      </c>
      <c r="I4" s="18" t="s">
        <v>3118</v>
      </c>
      <c r="J4" s="16" t="str">
        <f>TRIM(_xlfn.TEXTAFTER(I3, ":"))</f>
        <v>弓</v>
      </c>
      <c r="K4" s="18" t="s">
        <v>3865</v>
      </c>
      <c r="L4" s="16" t="str">
        <f>TRIM(_xlfn.TEXTAFTER(K3, ":"))</f>
        <v>활</v>
      </c>
      <c r="M4" s="18" t="s">
        <v>4595</v>
      </c>
      <c r="N4" s="16" t="str">
        <f>TRIM(_xlfn.TEXTAFTER(M3, ":"))</f>
        <v>Arcos</v>
      </c>
      <c r="O4" s="18" t="s">
        <v>5278</v>
      </c>
      <c r="P4" s="16" t="str">
        <f>TRIM(_xlfn.TEXTAFTER(O3, ":"))</f>
        <v>Луки</v>
      </c>
      <c r="Q4" s="18" t="s">
        <v>6012</v>
      </c>
      <c r="R4" s="16" t="str">
        <f>TRIM(_xlfn.TEXTAFTER(Q3, ":"))</f>
        <v>ธนู</v>
      </c>
      <c r="S4" s="18" t="s">
        <v>7493</v>
      </c>
      <c r="T4" s="20" t="str">
        <f>TRIM(_xlfn.TEXTAFTER(S3, ":"))</f>
        <v>弓</v>
      </c>
    </row>
    <row r="5" spans="1:20" ht="15.95" customHeight="1" x14ac:dyDescent="0.25">
      <c r="A5" s="18" t="s">
        <v>6786</v>
      </c>
      <c r="B5" s="16" t="str">
        <f>TRIM(_xlfn.TEXTBEFORE(A4, ":"))</f>
        <v>Rarity</v>
      </c>
      <c r="C5" s="18" t="s">
        <v>6844</v>
      </c>
      <c r="D5" s="16" t="str">
        <f>TRIM(_xlfn.TEXTBEFORE(C4, ":"))</f>
        <v>Seltenheit</v>
      </c>
      <c r="E5" s="18" t="s">
        <v>6954</v>
      </c>
      <c r="F5" s="16" t="str">
        <f>TRIM(_xlfn.TEXTBEFORE(E4, ":"))</f>
        <v>Rareza</v>
      </c>
      <c r="G5" s="18" t="s">
        <v>6817</v>
      </c>
      <c r="H5" s="16" t="str">
        <f>TRIM(_xlfn.TEXTBEFORE(G4, ":"))</f>
        <v>Rareté</v>
      </c>
      <c r="I5" s="18" t="s">
        <v>7012</v>
      </c>
      <c r="J5" s="16" t="str">
        <f>TRIM(_xlfn.TEXTBEFORE(I4, ":"))</f>
        <v>レアリティ</v>
      </c>
      <c r="K5" s="18" t="s">
        <v>6981</v>
      </c>
      <c r="L5" s="16" t="str">
        <f>TRIM(_xlfn.TEXTBEFORE(K4, ":"))</f>
        <v>아이템 희귀도</v>
      </c>
      <c r="M5" s="18" t="s">
        <v>6873</v>
      </c>
      <c r="N5" s="16" t="str">
        <f>TRIM(_xlfn.TEXTBEFORE(M4, ":"))</f>
        <v>Raridade</v>
      </c>
      <c r="O5" s="18" t="s">
        <v>6902</v>
      </c>
      <c r="P5" s="16" t="str">
        <f>TRIM(_xlfn.TEXTBEFORE(O4, ":"))</f>
        <v>Редкость</v>
      </c>
      <c r="Q5" s="18" t="s">
        <v>6786</v>
      </c>
      <c r="R5" s="16" t="str">
        <f>TRIM(_xlfn.TEXTBEFORE(Q4, ":"))</f>
        <v>ความหายาก</v>
      </c>
      <c r="S5" s="18" t="s">
        <v>7815</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6787</v>
      </c>
      <c r="B7" s="16"/>
      <c r="C7" s="18" t="s">
        <v>6845</v>
      </c>
      <c r="D7" s="16"/>
      <c r="E7" s="18" t="s">
        <v>6955</v>
      </c>
      <c r="F7" s="16"/>
      <c r="G7" s="18" t="s">
        <v>6818</v>
      </c>
      <c r="H7" s="16"/>
      <c r="I7" s="18" t="s">
        <v>7013</v>
      </c>
      <c r="J7" s="16"/>
      <c r="K7" s="18" t="s">
        <v>6982</v>
      </c>
      <c r="L7" s="16"/>
      <c r="M7" s="18" t="s">
        <v>6874</v>
      </c>
      <c r="N7" s="16"/>
      <c r="O7" s="18" t="s">
        <v>6903</v>
      </c>
      <c r="P7" s="16"/>
      <c r="Q7" s="18" t="s">
        <v>6932</v>
      </c>
      <c r="R7" s="16"/>
      <c r="S7" s="18" t="s">
        <v>7816</v>
      </c>
      <c r="T7" s="20"/>
    </row>
    <row r="8" spans="1:20" ht="15.95" customHeight="1" x14ac:dyDescent="0.25">
      <c r="A8" s="18" t="s">
        <v>6788</v>
      </c>
      <c r="B8" s="16" t="str">
        <f>TRIM(_xlfn.TEXTBEFORE(A8,":"))</f>
        <v>Fire Damage</v>
      </c>
      <c r="C8" s="18" t="s">
        <v>6846</v>
      </c>
      <c r="D8" s="16" t="str">
        <f>TRIM(_xlfn.TEXTBEFORE(C8,":"))</f>
        <v>Feuerschaden</v>
      </c>
      <c r="E8" s="18" t="s">
        <v>6956</v>
      </c>
      <c r="F8" s="16" t="str">
        <f>TRIM(_xlfn.TEXTBEFORE(E8,":"))</f>
        <v>Daño de fuego</v>
      </c>
      <c r="G8" s="18" t="s">
        <v>6819</v>
      </c>
      <c r="H8" s="16" t="str">
        <f>TRIM(_xlfn.TEXTBEFORE(G8,":"))</f>
        <v>Dégâts de feu</v>
      </c>
      <c r="I8" s="18" t="s">
        <v>7014</v>
      </c>
      <c r="J8" s="16" t="str">
        <f>TRIM(_xlfn.TEXTBEFORE(I8,":"))</f>
        <v>火ダメージ</v>
      </c>
      <c r="K8" s="18" t="s">
        <v>6983</v>
      </c>
      <c r="L8" s="16" t="str">
        <f>TRIM(_xlfn.TEXTBEFORE(K8,":"))</f>
        <v>화염 피해</v>
      </c>
      <c r="M8" s="18" t="s">
        <v>6875</v>
      </c>
      <c r="N8" s="16" t="str">
        <f>TRIM(_xlfn.TEXTBEFORE(M8,":"))</f>
        <v>Dano de Fogo</v>
      </c>
      <c r="O8" s="18" t="s">
        <v>6904</v>
      </c>
      <c r="P8" s="16" t="str">
        <f>TRIM(_xlfn.TEXTBEFORE(O8,":"))</f>
        <v>Урон от огня</v>
      </c>
      <c r="Q8" s="18" t="s">
        <v>6933</v>
      </c>
      <c r="R8" s="16" t="str">
        <f>TRIM(_xlfn.TEXTBEFORE(Q8,":"))</f>
        <v>ความเสียหายไฟ</v>
      </c>
      <c r="S8" s="18" t="s">
        <v>7817</v>
      </c>
      <c r="T8" s="16" t="str">
        <f>TRIM(_xlfn.TEXTBEFORE(S8,":"))</f>
        <v>火焰傷害</v>
      </c>
    </row>
    <row r="9" spans="1:20" ht="15.95" customHeight="1" x14ac:dyDescent="0.25">
      <c r="A9" s="18" t="s">
        <v>6789</v>
      </c>
      <c r="B9" s="16" t="str">
        <f>TRIM(_xlfn.TEXTBEFORE(A9,":"))</f>
        <v>Critical Hit Chance</v>
      </c>
      <c r="C9" s="18" t="s">
        <v>2108</v>
      </c>
      <c r="D9" s="16" t="str">
        <f>TRIM(_xlfn.TEXTBEFORE(C9,":"))</f>
        <v>Kritische Trefferchance</v>
      </c>
      <c r="E9" s="18" t="s">
        <v>6957</v>
      </c>
      <c r="F9" s="16" t="str">
        <f>TRIM(_xlfn.TEXTBEFORE(E9,":"))</f>
        <v>Probabilidad de impacto crítico</v>
      </c>
      <c r="G9" s="18" t="s">
        <v>6820</v>
      </c>
      <c r="H9" s="16" t="str">
        <f>TRIM(_xlfn.TEXTBEFORE(G9,":"))</f>
        <v>Chances de Touche critique</v>
      </c>
      <c r="I9" s="18" t="s">
        <v>7015</v>
      </c>
      <c r="J9" s="16" t="str">
        <f>TRIM(_xlfn.TEXTBEFORE(I9,":"))</f>
        <v>クリティカルヒット率</v>
      </c>
      <c r="K9" s="18" t="s">
        <v>6984</v>
      </c>
      <c r="L9" s="16" t="str">
        <f>TRIM(_xlfn.TEXTBEFORE(K9,":"))</f>
        <v>치명타 명중 확률</v>
      </c>
      <c r="M9" s="18" t="s">
        <v>6876</v>
      </c>
      <c r="N9" s="16" t="str">
        <f>TRIM(_xlfn.TEXTBEFORE(M9,":"))</f>
        <v>Chance de Acerto Crítico</v>
      </c>
      <c r="O9" s="18" t="s">
        <v>6905</v>
      </c>
      <c r="P9" s="16" t="str">
        <f>TRIM(_xlfn.TEXTBEFORE(O9,":"))</f>
        <v>Шанс крит. попадания</v>
      </c>
      <c r="Q9" s="18" t="s">
        <v>6934</v>
      </c>
      <c r="R9" s="16" t="str">
        <f>TRIM(_xlfn.TEXTBEFORE(Q9,":"))</f>
        <v>โอกาสปะทะคริติคอล</v>
      </c>
      <c r="S9" s="18" t="s">
        <v>7540</v>
      </c>
      <c r="T9" s="16" t="str">
        <f>TRIM(_xlfn.TEXTBEFORE(S9,":"))</f>
        <v>暴擊率</v>
      </c>
    </row>
    <row r="10" spans="1:20" ht="15.95" customHeight="1" x14ac:dyDescent="0.25">
      <c r="A10" s="18" t="s">
        <v>1538</v>
      </c>
      <c r="B10" s="16"/>
      <c r="C10" s="18" t="s">
        <v>2280</v>
      </c>
      <c r="D10" s="16"/>
      <c r="E10" s="18" t="s">
        <v>3001</v>
      </c>
      <c r="F10" s="16"/>
      <c r="G10" s="18" t="s">
        <v>1557</v>
      </c>
      <c r="H10" s="16"/>
      <c r="I10" s="18" t="s">
        <v>3743</v>
      </c>
      <c r="J10" s="16"/>
      <c r="K10" s="18" t="s">
        <v>4481</v>
      </c>
      <c r="L10" s="16"/>
      <c r="M10" s="18" t="s">
        <v>5149</v>
      </c>
      <c r="N10" s="16"/>
      <c r="O10" s="18" t="s">
        <v>5899</v>
      </c>
      <c r="P10" s="16"/>
      <c r="Q10" s="18" t="s">
        <v>6522</v>
      </c>
      <c r="R10" s="16"/>
      <c r="S10" s="18" t="s">
        <v>7818</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81</v>
      </c>
      <c r="B12" s="16"/>
      <c r="C12" s="18" t="s">
        <v>1589</v>
      </c>
      <c r="D12" s="16"/>
      <c r="E12" s="18" t="s">
        <v>2308</v>
      </c>
      <c r="F12" s="16"/>
      <c r="G12" s="18" t="s">
        <v>5</v>
      </c>
      <c r="H12" s="16"/>
      <c r="I12" s="18" t="s">
        <v>3018</v>
      </c>
      <c r="J12" s="16"/>
      <c r="K12" s="18" t="s">
        <v>3772</v>
      </c>
      <c r="L12" s="16"/>
      <c r="M12" s="18" t="s">
        <v>2308</v>
      </c>
      <c r="N12" s="16"/>
      <c r="O12" s="18" t="s">
        <v>5183</v>
      </c>
      <c r="P12" s="16"/>
      <c r="Q12" s="18" t="s">
        <v>5928</v>
      </c>
      <c r="R12" s="16"/>
      <c r="S12" s="18" t="s">
        <v>7496</v>
      </c>
      <c r="T12" s="20"/>
    </row>
    <row r="13" spans="1:20" ht="15.95" customHeight="1" x14ac:dyDescent="0.25">
      <c r="A13" s="18" t="s">
        <v>789</v>
      </c>
      <c r="B13" s="16"/>
      <c r="C13" s="18" t="s">
        <v>1865</v>
      </c>
      <c r="D13" s="16"/>
      <c r="E13" s="18" t="s">
        <v>2583</v>
      </c>
      <c r="F13" s="16"/>
      <c r="G13" s="18" t="s">
        <v>1128</v>
      </c>
      <c r="H13" s="16"/>
      <c r="I13" s="18" t="s">
        <v>3307</v>
      </c>
      <c r="J13" s="16"/>
      <c r="K13" s="18" t="s">
        <v>4052</v>
      </c>
      <c r="L13" s="16"/>
      <c r="M13" s="18" t="s">
        <v>4773</v>
      </c>
      <c r="N13" s="16"/>
      <c r="O13" s="18" t="s">
        <v>5466</v>
      </c>
      <c r="P13" s="16"/>
      <c r="Q13" s="18" t="s">
        <v>6173</v>
      </c>
      <c r="R13" s="16"/>
      <c r="S13" s="18" t="s">
        <v>7819</v>
      </c>
      <c r="T13" s="20"/>
    </row>
    <row r="14" spans="1:20" ht="15.95" customHeight="1" x14ac:dyDescent="0.25">
      <c r="A14" s="18" t="s">
        <v>6790</v>
      </c>
      <c r="B14" s="16"/>
      <c r="C14" s="18" t="s">
        <v>6847</v>
      </c>
      <c r="D14" s="16"/>
      <c r="E14" s="18" t="s">
        <v>6877</v>
      </c>
      <c r="F14" s="16"/>
      <c r="G14" s="18" t="s">
        <v>6790</v>
      </c>
      <c r="H14" s="16"/>
      <c r="I14" s="18" t="s">
        <v>7016</v>
      </c>
      <c r="J14" s="16"/>
      <c r="K14" s="18" t="s">
        <v>6985</v>
      </c>
      <c r="L14" s="16"/>
      <c r="M14" s="18" t="s">
        <v>6877</v>
      </c>
      <c r="N14" s="16"/>
      <c r="O14" s="18" t="s">
        <v>6906</v>
      </c>
      <c r="P14" s="16"/>
      <c r="Q14" s="18" t="s">
        <v>6790</v>
      </c>
      <c r="R14" s="16"/>
      <c r="S14" s="18" t="s">
        <v>7820</v>
      </c>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t="s">
        <v>4</v>
      </c>
      <c r="T15" s="20"/>
    </row>
    <row r="16" spans="1:20" ht="15.95" customHeight="1" x14ac:dyDescent="0.25">
      <c r="A16" s="18" t="s">
        <v>6791</v>
      </c>
      <c r="B16" s="16"/>
      <c r="C16" s="18" t="s">
        <v>6848</v>
      </c>
      <c r="D16" s="16"/>
      <c r="E16" s="18" t="s">
        <v>6958</v>
      </c>
      <c r="F16" s="16"/>
      <c r="G16" s="18" t="s">
        <v>6821</v>
      </c>
      <c r="H16" s="16"/>
      <c r="I16" s="18" t="s">
        <v>7017</v>
      </c>
      <c r="J16" s="16"/>
      <c r="K16" s="18" t="s">
        <v>6986</v>
      </c>
      <c r="L16" s="16"/>
      <c r="M16" s="18" t="s">
        <v>6878</v>
      </c>
      <c r="N16" s="16"/>
      <c r="O16" s="18" t="s">
        <v>6907</v>
      </c>
      <c r="P16" s="16"/>
      <c r="Q16" s="18" t="s">
        <v>6935</v>
      </c>
      <c r="R16" s="16"/>
      <c r="S16" s="18" t="s">
        <v>7821</v>
      </c>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t="s">
        <v>4</v>
      </c>
      <c r="T17" s="20"/>
    </row>
    <row r="18" spans="1:20" ht="15.95" customHeight="1" x14ac:dyDescent="0.25">
      <c r="A18" s="18" t="s">
        <v>6792</v>
      </c>
      <c r="B18" s="16"/>
      <c r="C18" s="18" t="s">
        <v>6849</v>
      </c>
      <c r="D18" s="16"/>
      <c r="E18" s="18" t="s">
        <v>6959</v>
      </c>
      <c r="F18" s="16"/>
      <c r="G18" s="18" t="s">
        <v>6822</v>
      </c>
      <c r="H18" s="16"/>
      <c r="I18" s="18" t="s">
        <v>7018</v>
      </c>
      <c r="J18" s="16"/>
      <c r="K18" s="18" t="s">
        <v>6987</v>
      </c>
      <c r="L18" s="16"/>
      <c r="M18" s="18" t="s">
        <v>6879</v>
      </c>
      <c r="N18" s="16"/>
      <c r="O18" s="18" t="s">
        <v>6908</v>
      </c>
      <c r="P18" s="16"/>
      <c r="Q18" s="18" t="s">
        <v>6936</v>
      </c>
      <c r="R18" s="16"/>
      <c r="S18" s="18" t="s">
        <v>7822</v>
      </c>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t="s">
        <v>4</v>
      </c>
      <c r="T19" s="20"/>
    </row>
    <row r="20" spans="1:20" ht="15.95" customHeight="1" x14ac:dyDescent="0.25">
      <c r="A20" s="18" t="s">
        <v>6793</v>
      </c>
      <c r="B20" s="16"/>
      <c r="C20" s="18" t="s">
        <v>6850</v>
      </c>
      <c r="D20" s="16"/>
      <c r="E20" s="18" t="s">
        <v>6960</v>
      </c>
      <c r="F20" s="16"/>
      <c r="G20" s="18" t="s">
        <v>6823</v>
      </c>
      <c r="H20" s="16"/>
      <c r="I20" s="18" t="s">
        <v>7019</v>
      </c>
      <c r="J20" s="16"/>
      <c r="K20" s="18" t="s">
        <v>6988</v>
      </c>
      <c r="L20" s="16"/>
      <c r="M20" s="18" t="s">
        <v>6880</v>
      </c>
      <c r="N20" s="16"/>
      <c r="O20" s="18" t="s">
        <v>6909</v>
      </c>
      <c r="P20" s="16"/>
      <c r="Q20" s="18" t="s">
        <v>6937</v>
      </c>
      <c r="R20" s="16"/>
      <c r="S20" s="18" t="s">
        <v>7823</v>
      </c>
      <c r="T20" s="20"/>
    </row>
    <row r="21" spans="1:20" ht="15.95" customHeight="1" x14ac:dyDescent="0.25">
      <c r="A21" s="18" t="s">
        <v>6794</v>
      </c>
      <c r="B21" s="16"/>
      <c r="C21" s="18" t="s">
        <v>6851</v>
      </c>
      <c r="D21" s="16"/>
      <c r="E21" s="18" t="s">
        <v>6961</v>
      </c>
      <c r="F21" s="16"/>
      <c r="G21" s="18" t="s">
        <v>6824</v>
      </c>
      <c r="H21" s="16"/>
      <c r="I21" s="18" t="s">
        <v>7020</v>
      </c>
      <c r="J21" s="16"/>
      <c r="K21" s="18" t="s">
        <v>6989</v>
      </c>
      <c r="L21" s="16"/>
      <c r="M21" s="18" t="s">
        <v>6881</v>
      </c>
      <c r="N21" s="16"/>
      <c r="O21" s="18" t="s">
        <v>6910</v>
      </c>
      <c r="P21" s="16"/>
      <c r="Q21" s="18" t="s">
        <v>6938</v>
      </c>
      <c r="R21" s="16"/>
      <c r="S21" s="18" t="s">
        <v>7824</v>
      </c>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4:S51">
    <cfRule type="notContainsErrors" dxfId="155" priority="51" stopIfTrue="1">
      <formula>NOT(ISERROR(A3))</formula>
    </cfRule>
  </conditionalFormatting>
  <conditionalFormatting sqref="A3:R3 A4:T7 A8:A9 C8:C9 E8:E9 G8:G9 I8:I9 K8:K9 M8:M9 O8:O9 Q8:Q9 S8:S9 A10:T51 T3">
    <cfRule type="notContainsBlanks" dxfId="154" priority="52">
      <formula>LEN(TRIM(A3))&gt;0</formula>
    </cfRule>
  </conditionalFormatting>
  <conditionalFormatting sqref="A4:T8 A3:R3 T3">
    <cfRule type="containsErrors" dxfId="153" priority="32" stopIfTrue="1">
      <formula>ISERROR(A3)</formula>
    </cfRule>
  </conditionalFormatting>
  <conditionalFormatting sqref="A9:T51">
    <cfRule type="containsErrors" dxfId="152" priority="1" stopIfTrue="1">
      <formula>ISERROR(A9)</formula>
    </cfRule>
  </conditionalFormatting>
  <conditionalFormatting sqref="B8">
    <cfRule type="notContainsBlanks" dxfId="151" priority="49">
      <formula>LEN(TRIM(B8))&gt;0</formula>
    </cfRule>
  </conditionalFormatting>
  <conditionalFormatting sqref="B9">
    <cfRule type="notContainsBlanks" dxfId="150" priority="31">
      <formula>LEN(TRIM(B9))&gt;0</formula>
    </cfRule>
  </conditionalFormatting>
  <conditionalFormatting sqref="D8">
    <cfRule type="notContainsBlanks" dxfId="149" priority="47">
      <formula>LEN(TRIM(D8))&gt;0</formula>
    </cfRule>
  </conditionalFormatting>
  <conditionalFormatting sqref="D9">
    <cfRule type="notContainsBlanks" dxfId="148" priority="29">
      <formula>LEN(TRIM(D9))&gt;0</formula>
    </cfRule>
  </conditionalFormatting>
  <conditionalFormatting sqref="F8">
    <cfRule type="notContainsBlanks" dxfId="147" priority="45">
      <formula>LEN(TRIM(F8))&gt;0</formula>
    </cfRule>
  </conditionalFormatting>
  <conditionalFormatting sqref="F9">
    <cfRule type="notContainsBlanks" dxfId="146" priority="27">
      <formula>LEN(TRIM(F9))&gt;0</formula>
    </cfRule>
  </conditionalFormatting>
  <conditionalFormatting sqref="H8">
    <cfRule type="notContainsBlanks" dxfId="145" priority="43">
      <formula>LEN(TRIM(H8))&gt;0</formula>
    </cfRule>
  </conditionalFormatting>
  <conditionalFormatting sqref="H9">
    <cfRule type="notContainsBlanks" dxfId="144" priority="25">
      <formula>LEN(TRIM(H9))&gt;0</formula>
    </cfRule>
  </conditionalFormatting>
  <conditionalFormatting sqref="J8">
    <cfRule type="notContainsBlanks" dxfId="143" priority="41">
      <formula>LEN(TRIM(J8))&gt;0</formula>
    </cfRule>
  </conditionalFormatting>
  <conditionalFormatting sqref="J9">
    <cfRule type="notContainsBlanks" dxfId="142" priority="23">
      <formula>LEN(TRIM(J9))&gt;0</formula>
    </cfRule>
  </conditionalFormatting>
  <conditionalFormatting sqref="L8">
    <cfRule type="notContainsBlanks" dxfId="141" priority="39">
      <formula>LEN(TRIM(L8))&gt;0</formula>
    </cfRule>
  </conditionalFormatting>
  <conditionalFormatting sqref="L9">
    <cfRule type="notContainsBlanks" dxfId="140" priority="21">
      <formula>LEN(TRIM(L9))&gt;0</formula>
    </cfRule>
  </conditionalFormatting>
  <conditionalFormatting sqref="N8">
    <cfRule type="notContainsBlanks" dxfId="139" priority="37">
      <formula>LEN(TRIM(N8))&gt;0</formula>
    </cfRule>
  </conditionalFormatting>
  <conditionalFormatting sqref="N9">
    <cfRule type="notContainsBlanks" dxfId="138" priority="19">
      <formula>LEN(TRIM(N9))&gt;0</formula>
    </cfRule>
  </conditionalFormatting>
  <conditionalFormatting sqref="P8">
    <cfRule type="notContainsBlanks" dxfId="137" priority="35">
      <formula>LEN(TRIM(P8))&gt;0</formula>
    </cfRule>
  </conditionalFormatting>
  <conditionalFormatting sqref="P9">
    <cfRule type="notContainsBlanks" dxfId="136" priority="17">
      <formula>LEN(TRIM(P9))&gt;0</formula>
    </cfRule>
  </conditionalFormatting>
  <conditionalFormatting sqref="R8">
    <cfRule type="notContainsBlanks" dxfId="135" priority="33">
      <formula>LEN(TRIM(R8))&gt;0</formula>
    </cfRule>
  </conditionalFormatting>
  <conditionalFormatting sqref="R9">
    <cfRule type="notContainsBlanks" dxfId="134" priority="15">
      <formula>LEN(TRIM(R9))&gt;0</formula>
    </cfRule>
  </conditionalFormatting>
  <conditionalFormatting sqref="S3">
    <cfRule type="containsErrors" dxfId="133" priority="4" stopIfTrue="1">
      <formula>ISERROR(S3)</formula>
    </cfRule>
    <cfRule type="containsBlanks" dxfId="132" priority="5" stopIfTrue="1">
      <formula>LEN(TRIM(S3))=0</formula>
    </cfRule>
    <cfRule type="cellIs" dxfId="131" priority="6" stopIfTrue="1" operator="equal">
      <formula>"-"</formula>
    </cfRule>
    <cfRule type="cellIs" dxfId="130" priority="7" operator="between">
      <formula>"(Lowest value)"</formula>
      <formula>0</formula>
    </cfRule>
    <cfRule type="notContainsBlanks" dxfId="129" priority="8">
      <formula>LEN(TRIM(S3))&gt;0</formula>
    </cfRule>
  </conditionalFormatting>
  <conditionalFormatting sqref="T8:T9">
    <cfRule type="notContainsBlanks" dxfId="128" priority="2">
      <formula>LEN(TRIM(T8))&gt;0</formula>
    </cfRule>
  </conditionalFormatting>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09A0A-33A4-423D-98AB-F6BD31FCFD21}">
  <sheetPr codeName="Sheet68"/>
  <dimension ref="A1:T51"/>
  <sheetViews>
    <sheetView workbookViewId="0">
      <selection activeCell="T8" sqref="T8"/>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8" t="s">
        <v>84</v>
      </c>
    </row>
    <row r="3" spans="1:20" ht="15.95" customHeight="1" x14ac:dyDescent="0.25">
      <c r="A3" s="17" t="s">
        <v>6795</v>
      </c>
      <c r="B3" s="16" t="str">
        <f>TRIM(_xlfn.TEXTBEFORE(A3, ":"))</f>
        <v>Item Class</v>
      </c>
      <c r="C3" s="17" t="s">
        <v>6852</v>
      </c>
      <c r="D3" s="16" t="str">
        <f>TRIM(_xlfn.TEXTBEFORE(C3, ":"))</f>
        <v>Gegenstandsklasse</v>
      </c>
      <c r="E3" s="17" t="s">
        <v>6962</v>
      </c>
      <c r="F3" s="16" t="str">
        <f>TRIM(_xlfn.TEXTBEFORE(E3, ":"))</f>
        <v>Clase de objeto</v>
      </c>
      <c r="G3" s="17" t="s">
        <v>6825</v>
      </c>
      <c r="H3" s="16" t="str">
        <f>TRIM(_xlfn.TEXTBEFORE(G3, ":"))</f>
        <v>Classe d'objet</v>
      </c>
      <c r="I3" s="17" t="s">
        <v>7021</v>
      </c>
      <c r="J3" s="16" t="str">
        <f>TRIM(_xlfn.TEXTBEFORE(I3, ":"))</f>
        <v>アイテムクラス</v>
      </c>
      <c r="K3" s="17" t="s">
        <v>6990</v>
      </c>
      <c r="L3" s="16" t="str">
        <f>TRIM(_xlfn.TEXTBEFORE(K3, ":"))</f>
        <v>아이템 종류</v>
      </c>
      <c r="M3" s="17" t="s">
        <v>4935</v>
      </c>
      <c r="N3" s="16" t="str">
        <f>TRIM(_xlfn.TEXTBEFORE(M3, ":"))</f>
        <v>Classe do Item</v>
      </c>
      <c r="O3" s="17" t="s">
        <v>6911</v>
      </c>
      <c r="P3" s="16" t="str">
        <f>TRIM(_xlfn.TEXTBEFORE(O3, ":"))</f>
        <v>Класс предмета</v>
      </c>
      <c r="Q3" s="17" t="s">
        <v>6939</v>
      </c>
      <c r="R3" s="16" t="str">
        <f>TRIM(_xlfn.TEXTBEFORE(Q3, ":"))</f>
        <v>ชนิดไอเทม</v>
      </c>
      <c r="S3" s="17" t="s">
        <v>7550</v>
      </c>
      <c r="T3" s="20" t="str">
        <f>TRIM(_xlfn.TEXTBEFORE(S3, ":"))</f>
        <v>物品種類</v>
      </c>
    </row>
    <row r="4" spans="1:20" ht="15.95" customHeight="1" x14ac:dyDescent="0.25">
      <c r="A4" s="18" t="s">
        <v>470</v>
      </c>
      <c r="B4" s="16" t="str">
        <f>TRIM(_xlfn.TEXTAFTER(A3, ":"))</f>
        <v>Quarterstaves</v>
      </c>
      <c r="C4" s="18" t="s">
        <v>1681</v>
      </c>
      <c r="D4" s="16" t="str">
        <f>TRIM(_xlfn.TEXTAFTER(C3, ":"))</f>
        <v>Kampfstäbe</v>
      </c>
      <c r="E4" s="18" t="s">
        <v>2400</v>
      </c>
      <c r="F4" s="16" t="str">
        <f>TRIM(_xlfn.TEXTAFTER(E3, ":"))</f>
        <v>Bastones</v>
      </c>
      <c r="G4" s="18" t="s">
        <v>948</v>
      </c>
      <c r="H4" s="16" t="str">
        <f>TRIM(_xlfn.TEXTAFTER(G3, ":"))</f>
        <v>Bâtons de combat</v>
      </c>
      <c r="I4" s="18" t="s">
        <v>3118</v>
      </c>
      <c r="J4" s="16" t="str">
        <f>TRIM(_xlfn.TEXTAFTER(I3, ":"))</f>
        <v>クォータースタッフ</v>
      </c>
      <c r="K4" s="18" t="s">
        <v>3865</v>
      </c>
      <c r="L4" s="16" t="str">
        <f>TRIM(_xlfn.TEXTAFTER(K3, ":"))</f>
        <v>육척봉</v>
      </c>
      <c r="M4" s="18" t="s">
        <v>4595</v>
      </c>
      <c r="N4" s="16" t="str">
        <f>TRIM(_xlfn.TEXTAFTER(M3, ":"))</f>
        <v>Cajados</v>
      </c>
      <c r="O4" s="18" t="s">
        <v>5278</v>
      </c>
      <c r="P4" s="16" t="str">
        <f>TRIM(_xlfn.TEXTAFTER(O3, ":"))</f>
        <v>Боевые посохи</v>
      </c>
      <c r="Q4" s="18" t="s">
        <v>6012</v>
      </c>
      <c r="R4" s="16" t="str">
        <f>TRIM(_xlfn.TEXTAFTER(Q3, ":"))</f>
        <v>ไม้พลองวรยุทธ์</v>
      </c>
      <c r="S4" s="18" t="s">
        <v>7493</v>
      </c>
      <c r="T4" s="20" t="str">
        <f>TRIM(_xlfn.TEXTAFTER(S3, ":"))</f>
        <v>征戰長杖</v>
      </c>
    </row>
    <row r="5" spans="1:20" ht="15.95" customHeight="1" x14ac:dyDescent="0.25">
      <c r="A5" s="18" t="s">
        <v>6796</v>
      </c>
      <c r="B5" s="16" t="str">
        <f>TRIM(_xlfn.TEXTBEFORE(A4, ":"))</f>
        <v>Rarity</v>
      </c>
      <c r="C5" s="18" t="s">
        <v>6853</v>
      </c>
      <c r="D5" s="16" t="str">
        <f>TRIM(_xlfn.TEXTBEFORE(C4, ":"))</f>
        <v>Seltenheit</v>
      </c>
      <c r="E5" s="18" t="s">
        <v>6963</v>
      </c>
      <c r="F5" s="16" t="str">
        <f>TRIM(_xlfn.TEXTBEFORE(E4, ":"))</f>
        <v>Rareza</v>
      </c>
      <c r="G5" s="18" t="s">
        <v>6826</v>
      </c>
      <c r="H5" s="16" t="str">
        <f>TRIM(_xlfn.TEXTBEFORE(G4, ":"))</f>
        <v>Rareté</v>
      </c>
      <c r="I5" s="18" t="s">
        <v>7022</v>
      </c>
      <c r="J5" s="16" t="str">
        <f>TRIM(_xlfn.TEXTBEFORE(I4, ":"))</f>
        <v>レアリティ</v>
      </c>
      <c r="K5" s="18" t="s">
        <v>6991</v>
      </c>
      <c r="L5" s="16" t="str">
        <f>TRIM(_xlfn.TEXTBEFORE(K4, ":"))</f>
        <v>아이템 희귀도</v>
      </c>
      <c r="M5" s="18" t="s">
        <v>6882</v>
      </c>
      <c r="N5" s="16" t="str">
        <f>TRIM(_xlfn.TEXTBEFORE(M4, ":"))</f>
        <v>Raridade</v>
      </c>
      <c r="O5" s="18" t="s">
        <v>6912</v>
      </c>
      <c r="P5" s="16" t="str">
        <f>TRIM(_xlfn.TEXTBEFORE(O4, ":"))</f>
        <v>Редкость</v>
      </c>
      <c r="Q5" s="18" t="s">
        <v>6796</v>
      </c>
      <c r="R5" s="16" t="str">
        <f>TRIM(_xlfn.TEXTBEFORE(Q4, ":"))</f>
        <v>ความหายาก</v>
      </c>
      <c r="S5" s="18" t="s">
        <v>7825</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6797</v>
      </c>
      <c r="B7" s="16"/>
      <c r="C7" s="18" t="s">
        <v>6854</v>
      </c>
      <c r="D7" s="16"/>
      <c r="E7" s="18" t="s">
        <v>6964</v>
      </c>
      <c r="F7" s="16"/>
      <c r="G7" s="18" t="s">
        <v>6827</v>
      </c>
      <c r="H7" s="16"/>
      <c r="I7" s="18" t="s">
        <v>7023</v>
      </c>
      <c r="J7" s="16"/>
      <c r="K7" s="18" t="s">
        <v>6992</v>
      </c>
      <c r="L7" s="16"/>
      <c r="M7" s="18" t="s">
        <v>6883</v>
      </c>
      <c r="N7" s="16"/>
      <c r="O7" s="18" t="s">
        <v>6913</v>
      </c>
      <c r="P7" s="16"/>
      <c r="Q7" s="18" t="s">
        <v>6940</v>
      </c>
      <c r="R7" s="16"/>
      <c r="S7" s="18" t="s">
        <v>7826</v>
      </c>
      <c r="T7" s="20"/>
    </row>
    <row r="8" spans="1:20" ht="15.95" customHeight="1" x14ac:dyDescent="0.25">
      <c r="A8" s="18" t="s">
        <v>6798</v>
      </c>
      <c r="B8" s="16" t="str">
        <f>TRIM(_xlfn.TEXTBEFORE(A8,":"))</f>
        <v>Cold Damage</v>
      </c>
      <c r="C8" s="18" t="s">
        <v>6855</v>
      </c>
      <c r="D8" s="16" t="str">
        <f>TRIM(_xlfn.TEXTBEFORE(C8,":"))</f>
        <v>Kälteschaden</v>
      </c>
      <c r="E8" s="18" t="s">
        <v>6965</v>
      </c>
      <c r="F8" s="16" t="str">
        <f>TRIM(_xlfn.TEXTBEFORE(E8,":"))</f>
        <v>Daño de hielo</v>
      </c>
      <c r="G8" s="18" t="s">
        <v>6828</v>
      </c>
      <c r="H8" s="16" t="str">
        <f>TRIM(_xlfn.TEXTBEFORE(G8,":"))</f>
        <v>Dégâts de froid</v>
      </c>
      <c r="I8" s="18" t="s">
        <v>7024</v>
      </c>
      <c r="J8" s="16" t="str">
        <f>TRIM(_xlfn.TEXTBEFORE(I8,":"))</f>
        <v>冷気ダメージ</v>
      </c>
      <c r="K8" s="18" t="s">
        <v>6993</v>
      </c>
      <c r="L8" s="16" t="str">
        <f>TRIM(_xlfn.TEXTBEFORE(K8,":"))</f>
        <v>냉기 피해</v>
      </c>
      <c r="M8" s="18" t="s">
        <v>6884</v>
      </c>
      <c r="N8" s="16" t="str">
        <f>TRIM(_xlfn.TEXTBEFORE(M8,":"))</f>
        <v>Dano de Gelo</v>
      </c>
      <c r="O8" s="18" t="s">
        <v>6914</v>
      </c>
      <c r="P8" s="16" t="str">
        <f>TRIM(_xlfn.TEXTBEFORE(O8,":"))</f>
        <v>Урон от холода</v>
      </c>
      <c r="Q8" s="18" t="s">
        <v>6941</v>
      </c>
      <c r="R8" s="16" t="str">
        <f>TRIM(_xlfn.TEXTBEFORE(Q8,":"))</f>
        <v>ความเสียหายน้ำแข็ง</v>
      </c>
      <c r="S8" s="18" t="s">
        <v>7827</v>
      </c>
      <c r="T8" s="16" t="str">
        <f>TRIM(_xlfn.TEXTBEFORE(S8,":"))</f>
        <v>冰冷傷害</v>
      </c>
    </row>
    <row r="9" spans="1:20" ht="15.95" customHeight="1" x14ac:dyDescent="0.25">
      <c r="A9" s="18" t="s">
        <v>6799</v>
      </c>
      <c r="B9" s="16"/>
      <c r="C9" s="18" t="s">
        <v>6856</v>
      </c>
      <c r="D9" s="16"/>
      <c r="E9" s="18" t="s">
        <v>6966</v>
      </c>
      <c r="F9" s="16"/>
      <c r="G9" s="18" t="s">
        <v>6829</v>
      </c>
      <c r="H9" s="16"/>
      <c r="I9" s="18" t="s">
        <v>7025</v>
      </c>
      <c r="J9" s="16"/>
      <c r="K9" s="18" t="s">
        <v>6994</v>
      </c>
      <c r="L9" s="16"/>
      <c r="M9" s="18" t="s">
        <v>6885</v>
      </c>
      <c r="N9" s="16"/>
      <c r="O9" s="18" t="s">
        <v>6915</v>
      </c>
      <c r="P9" s="16"/>
      <c r="Q9" s="18" t="s">
        <v>6942</v>
      </c>
      <c r="R9" s="16"/>
      <c r="S9" s="18" t="s">
        <v>7553</v>
      </c>
      <c r="T9" s="20"/>
    </row>
    <row r="10" spans="1:20" ht="15.95" customHeight="1" x14ac:dyDescent="0.25">
      <c r="A10" s="18" t="s">
        <v>6800</v>
      </c>
      <c r="B10" s="16"/>
      <c r="C10" s="18" t="s">
        <v>6857</v>
      </c>
      <c r="D10" s="16"/>
      <c r="E10" s="18" t="s">
        <v>6967</v>
      </c>
      <c r="F10" s="16"/>
      <c r="G10" s="18" t="s">
        <v>6830</v>
      </c>
      <c r="H10" s="16"/>
      <c r="I10" s="18" t="s">
        <v>7026</v>
      </c>
      <c r="J10" s="16"/>
      <c r="K10" s="18" t="s">
        <v>6995</v>
      </c>
      <c r="L10" s="16"/>
      <c r="M10" s="18" t="s">
        <v>6886</v>
      </c>
      <c r="N10" s="16"/>
      <c r="O10" s="18" t="s">
        <v>6916</v>
      </c>
      <c r="P10" s="16"/>
      <c r="Q10" s="18" t="s">
        <v>6943</v>
      </c>
      <c r="R10" s="16"/>
      <c r="S10" s="18" t="s">
        <v>7554</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81</v>
      </c>
      <c r="B12" s="16"/>
      <c r="C12" s="18" t="s">
        <v>1589</v>
      </c>
      <c r="D12" s="16"/>
      <c r="E12" s="18" t="s">
        <v>2308</v>
      </c>
      <c r="F12" s="16"/>
      <c r="G12" s="18" t="s">
        <v>5</v>
      </c>
      <c r="H12" s="16"/>
      <c r="I12" s="18" t="s">
        <v>3018</v>
      </c>
      <c r="J12" s="16"/>
      <c r="K12" s="18" t="s">
        <v>3772</v>
      </c>
      <c r="L12" s="16"/>
      <c r="M12" s="18" t="s">
        <v>2308</v>
      </c>
      <c r="N12" s="16"/>
      <c r="O12" s="18" t="s">
        <v>5183</v>
      </c>
      <c r="P12" s="16"/>
      <c r="Q12" s="18" t="s">
        <v>5928</v>
      </c>
      <c r="R12" s="16"/>
      <c r="S12" s="18" t="s">
        <v>7496</v>
      </c>
      <c r="T12" s="20"/>
    </row>
    <row r="13" spans="1:20" ht="15.95" customHeight="1" x14ac:dyDescent="0.25">
      <c r="A13" s="18" t="s">
        <v>789</v>
      </c>
      <c r="B13" s="16"/>
      <c r="C13" s="18" t="s">
        <v>1865</v>
      </c>
      <c r="D13" s="16"/>
      <c r="E13" s="18" t="s">
        <v>2583</v>
      </c>
      <c r="F13" s="16"/>
      <c r="G13" s="18" t="s">
        <v>1128</v>
      </c>
      <c r="H13" s="16"/>
      <c r="I13" s="18" t="s">
        <v>3307</v>
      </c>
      <c r="J13" s="16"/>
      <c r="K13" s="18" t="s">
        <v>4052</v>
      </c>
      <c r="L13" s="16"/>
      <c r="M13" s="18" t="s">
        <v>4773</v>
      </c>
      <c r="N13" s="16"/>
      <c r="O13" s="18" t="s">
        <v>5466</v>
      </c>
      <c r="P13" s="16"/>
      <c r="Q13" s="18" t="s">
        <v>6173</v>
      </c>
      <c r="R13" s="16"/>
      <c r="S13" s="18" t="s">
        <v>7819</v>
      </c>
      <c r="T13" s="20"/>
    </row>
    <row r="14" spans="1:20" ht="15.95" customHeight="1" x14ac:dyDescent="0.25">
      <c r="A14" s="18" t="s">
        <v>6801</v>
      </c>
      <c r="B14" s="16"/>
      <c r="C14" s="18" t="s">
        <v>6858</v>
      </c>
      <c r="D14" s="16"/>
      <c r="E14" s="18" t="s">
        <v>6887</v>
      </c>
      <c r="F14" s="16"/>
      <c r="G14" s="18" t="s">
        <v>6801</v>
      </c>
      <c r="H14" s="16"/>
      <c r="I14" s="18" t="s">
        <v>7027</v>
      </c>
      <c r="J14" s="16"/>
      <c r="K14" s="18" t="s">
        <v>6996</v>
      </c>
      <c r="L14" s="16"/>
      <c r="M14" s="18" t="s">
        <v>6887</v>
      </c>
      <c r="N14" s="16"/>
      <c r="O14" s="18" t="s">
        <v>6917</v>
      </c>
      <c r="P14" s="16"/>
      <c r="Q14" s="18" t="s">
        <v>6801</v>
      </c>
      <c r="R14" s="16"/>
      <c r="S14" s="18" t="s">
        <v>7828</v>
      </c>
      <c r="T14" s="20"/>
    </row>
    <row r="15" spans="1:20" ht="15.95" customHeight="1" x14ac:dyDescent="0.25">
      <c r="A15" s="18" t="s">
        <v>6802</v>
      </c>
      <c r="B15" s="16"/>
      <c r="C15" s="18" t="s">
        <v>6802</v>
      </c>
      <c r="D15" s="16"/>
      <c r="E15" s="18" t="s">
        <v>6802</v>
      </c>
      <c r="F15" s="16"/>
      <c r="G15" s="18" t="s">
        <v>6802</v>
      </c>
      <c r="H15" s="16"/>
      <c r="I15" s="18" t="s">
        <v>7028</v>
      </c>
      <c r="J15" s="16"/>
      <c r="K15" s="18" t="s">
        <v>6997</v>
      </c>
      <c r="L15" s="16"/>
      <c r="M15" s="18" t="s">
        <v>6802</v>
      </c>
      <c r="N15" s="16"/>
      <c r="O15" s="18" t="s">
        <v>6918</v>
      </c>
      <c r="P15" s="16"/>
      <c r="Q15" s="18" t="s">
        <v>6802</v>
      </c>
      <c r="R15" s="16"/>
      <c r="S15" s="18" t="s">
        <v>7829</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6791</v>
      </c>
      <c r="B17" s="16"/>
      <c r="C17" s="18" t="s">
        <v>6848</v>
      </c>
      <c r="D17" s="16"/>
      <c r="E17" s="18" t="s">
        <v>6958</v>
      </c>
      <c r="F17" s="16"/>
      <c r="G17" s="18" t="s">
        <v>6821</v>
      </c>
      <c r="H17" s="16"/>
      <c r="I17" s="18" t="s">
        <v>7017</v>
      </c>
      <c r="J17" s="16"/>
      <c r="K17" s="18" t="s">
        <v>6986</v>
      </c>
      <c r="L17" s="16"/>
      <c r="M17" s="18" t="s">
        <v>6878</v>
      </c>
      <c r="N17" s="16"/>
      <c r="O17" s="18" t="s">
        <v>6907</v>
      </c>
      <c r="P17" s="16"/>
      <c r="Q17" s="18" t="s">
        <v>6935</v>
      </c>
      <c r="R17" s="16"/>
      <c r="S17" s="18" t="s">
        <v>7821</v>
      </c>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t="s">
        <v>4</v>
      </c>
      <c r="T18" s="20"/>
    </row>
    <row r="19" spans="1:20" ht="15.95" customHeight="1" x14ac:dyDescent="0.25">
      <c r="A19" s="18" t="s">
        <v>6803</v>
      </c>
      <c r="B19" s="16"/>
      <c r="C19" s="18" t="s">
        <v>6859</v>
      </c>
      <c r="D19" s="16"/>
      <c r="E19" s="18" t="s">
        <v>6968</v>
      </c>
      <c r="F19" s="16"/>
      <c r="G19" s="18" t="s">
        <v>6831</v>
      </c>
      <c r="H19" s="16"/>
      <c r="I19" s="18" t="s">
        <v>7029</v>
      </c>
      <c r="J19" s="16"/>
      <c r="K19" s="18" t="s">
        <v>6998</v>
      </c>
      <c r="L19" s="16"/>
      <c r="M19" s="18" t="s">
        <v>6888</v>
      </c>
      <c r="N19" s="16"/>
      <c r="O19" s="18" t="s">
        <v>6919</v>
      </c>
      <c r="P19" s="16"/>
      <c r="Q19" s="18" t="s">
        <v>6944</v>
      </c>
      <c r="R19" s="16"/>
      <c r="S19" s="18" t="s">
        <v>7830</v>
      </c>
      <c r="T19" s="20"/>
    </row>
    <row r="20" spans="1:20" ht="15.95" customHeight="1" x14ac:dyDescent="0.25">
      <c r="A20" s="18" t="s">
        <v>6804</v>
      </c>
      <c r="B20" s="16"/>
      <c r="C20" s="18" t="s">
        <v>6860</v>
      </c>
      <c r="D20" s="16"/>
      <c r="E20" s="18" t="s">
        <v>6969</v>
      </c>
      <c r="F20" s="16"/>
      <c r="G20" s="18" t="s">
        <v>6832</v>
      </c>
      <c r="H20" s="16"/>
      <c r="I20" s="18" t="s">
        <v>7030</v>
      </c>
      <c r="J20" s="16"/>
      <c r="K20" s="18" t="s">
        <v>6999</v>
      </c>
      <c r="L20" s="16"/>
      <c r="M20" s="18" t="s">
        <v>6889</v>
      </c>
      <c r="N20" s="16"/>
      <c r="O20" s="18" t="s">
        <v>6920</v>
      </c>
      <c r="P20" s="16"/>
      <c r="Q20" s="18" t="s">
        <v>6945</v>
      </c>
      <c r="R20" s="16"/>
      <c r="S20" s="18" t="s">
        <v>7831</v>
      </c>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27" priority="21" stopIfTrue="1">
      <formula>NOT(ISERROR(A3))</formula>
    </cfRule>
  </conditionalFormatting>
  <conditionalFormatting sqref="A3:T7 A8 C8 E8 G8 I8 K8 M8 O8 Q8 S8:T8 A9:T51">
    <cfRule type="notContainsBlanks" dxfId="126" priority="22">
      <formula>LEN(TRIM(A3))&gt;0</formula>
    </cfRule>
  </conditionalFormatting>
  <conditionalFormatting sqref="A3:T51">
    <cfRule type="containsErrors" dxfId="125" priority="2" stopIfTrue="1">
      <formula>ISERROR(A3)</formula>
    </cfRule>
  </conditionalFormatting>
  <conditionalFormatting sqref="B8">
    <cfRule type="notContainsBlanks" dxfId="124" priority="19">
      <formula>LEN(TRIM(B8))&gt;0</formula>
    </cfRule>
  </conditionalFormatting>
  <conditionalFormatting sqref="D8">
    <cfRule type="notContainsBlanks" dxfId="123" priority="17">
      <formula>LEN(TRIM(D8))&gt;0</formula>
    </cfRule>
  </conditionalFormatting>
  <conditionalFormatting sqref="F8">
    <cfRule type="notContainsBlanks" dxfId="122" priority="15">
      <formula>LEN(TRIM(F8))&gt;0</formula>
    </cfRule>
  </conditionalFormatting>
  <conditionalFormatting sqref="H8">
    <cfRule type="notContainsBlanks" dxfId="121" priority="13">
      <formula>LEN(TRIM(H8))&gt;0</formula>
    </cfRule>
  </conditionalFormatting>
  <conditionalFormatting sqref="J8">
    <cfRule type="notContainsBlanks" dxfId="120" priority="11">
      <formula>LEN(TRIM(J8))&gt;0</formula>
    </cfRule>
  </conditionalFormatting>
  <conditionalFormatting sqref="L8">
    <cfRule type="notContainsBlanks" dxfId="119" priority="9">
      <formula>LEN(TRIM(L8))&gt;0</formula>
    </cfRule>
  </conditionalFormatting>
  <conditionalFormatting sqref="N8">
    <cfRule type="notContainsBlanks" dxfId="118" priority="7">
      <formula>LEN(TRIM(N8))&gt;0</formula>
    </cfRule>
  </conditionalFormatting>
  <conditionalFormatting sqref="P8">
    <cfRule type="notContainsBlanks" dxfId="117" priority="5">
      <formula>LEN(TRIM(P8))&gt;0</formula>
    </cfRule>
  </conditionalFormatting>
  <conditionalFormatting sqref="R8">
    <cfRule type="notContainsBlanks" dxfId="116" priority="3">
      <formula>LEN(TRIM(R8))&gt;0</formula>
    </cfRule>
  </conditionalFormatting>
  <conditionalFormatting sqref="T8">
    <cfRule type="notContainsBlanks" dxfId="115" priority="1">
      <formula>LEN(TRIM(T8))&gt;0</formula>
    </cfRule>
  </conditionalFormatting>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A7BD0-83C3-49E6-8507-732FCEC6382D}">
  <sheetPr codeName="Sheet69"/>
  <dimension ref="A1:T51"/>
  <sheetViews>
    <sheetView workbookViewId="0">
      <selection activeCell="T9" sqref="T9"/>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8" t="s">
        <v>84</v>
      </c>
    </row>
    <row r="3" spans="1:20" ht="15.95" customHeight="1" x14ac:dyDescent="0.25">
      <c r="A3" s="17" t="s">
        <v>339</v>
      </c>
      <c r="B3" s="16" t="str">
        <f>TRIM(_xlfn.TEXTBEFORE(A3, ":"))</f>
        <v>Item Class</v>
      </c>
      <c r="C3" s="17" t="s">
        <v>1961</v>
      </c>
      <c r="D3" s="16" t="str">
        <f>TRIM(_xlfn.TEXTBEFORE(C3, ":"))</f>
        <v>Gegenstandsklasse</v>
      </c>
      <c r="E3" s="17" t="s">
        <v>2682</v>
      </c>
      <c r="F3" s="16" t="str">
        <f>TRIM(_xlfn.TEXTBEFORE(E3, ":"))</f>
        <v>Clase de objeto</v>
      </c>
      <c r="G3" s="17" t="s">
        <v>1218</v>
      </c>
      <c r="H3" s="16" t="str">
        <f>TRIM(_xlfn.TEXTBEFORE(G3, ":"))</f>
        <v>Classe d'objet</v>
      </c>
      <c r="I3" s="17" t="s">
        <v>3409</v>
      </c>
      <c r="J3" s="16" t="str">
        <f>TRIM(_xlfn.TEXTBEFORE(I3, ":"))</f>
        <v>アイテムクラス</v>
      </c>
      <c r="K3" s="17" t="s">
        <v>4153</v>
      </c>
      <c r="L3" s="16" t="str">
        <f>TRIM(_xlfn.TEXTBEFORE(K3, ":"))</f>
        <v>아이템 종류</v>
      </c>
      <c r="M3" s="17" t="s">
        <v>4862</v>
      </c>
      <c r="N3" s="16" t="str">
        <f>TRIM(_xlfn.TEXTBEFORE(M3, ":"))</f>
        <v>Classe do Item</v>
      </c>
      <c r="O3" s="17" t="s">
        <v>5567</v>
      </c>
      <c r="P3" s="16" t="str">
        <f>TRIM(_xlfn.TEXTBEFORE(O3, ":"))</f>
        <v>Класс предмета</v>
      </c>
      <c r="Q3" s="17" t="s">
        <v>6252</v>
      </c>
      <c r="R3" s="16" t="str">
        <f>TRIM(_xlfn.TEXTBEFORE(Q3, ":"))</f>
        <v>ชนิดไอเทม</v>
      </c>
      <c r="S3" s="17" t="s">
        <v>7814</v>
      </c>
      <c r="T3" s="20" t="str">
        <f>TRIM(_xlfn.TEXTBEFORE(S3, ":"))</f>
        <v>物品種類</v>
      </c>
    </row>
    <row r="4" spans="1:20" ht="15.95" customHeight="1" x14ac:dyDescent="0.25">
      <c r="A4" s="18" t="s">
        <v>484</v>
      </c>
      <c r="B4" s="16" t="str">
        <f>TRIM(_xlfn.TEXTAFTER(A3, ":"))</f>
        <v>Bows</v>
      </c>
      <c r="C4" s="18" t="s">
        <v>1850</v>
      </c>
      <c r="D4" s="16" t="str">
        <f>TRIM(_xlfn.TEXTAFTER(C3, ":"))</f>
        <v>Bögen</v>
      </c>
      <c r="E4" s="18" t="s">
        <v>2568</v>
      </c>
      <c r="F4" s="16" t="str">
        <f>TRIM(_xlfn.TEXTAFTER(E3, ":"))</f>
        <v>Arcos</v>
      </c>
      <c r="G4" s="18" t="s">
        <v>1113</v>
      </c>
      <c r="H4" s="16" t="str">
        <f>TRIM(_xlfn.TEXTAFTER(G3, ":"))</f>
        <v>Arcs</v>
      </c>
      <c r="I4" s="18" t="s">
        <v>3292</v>
      </c>
      <c r="J4" s="16" t="str">
        <f>TRIM(_xlfn.TEXTAFTER(I3, ":"))</f>
        <v>弓</v>
      </c>
      <c r="K4" s="18" t="s">
        <v>4037</v>
      </c>
      <c r="L4" s="16" t="str">
        <f>TRIM(_xlfn.TEXTAFTER(K3, ":"))</f>
        <v>활</v>
      </c>
      <c r="M4" s="18" t="s">
        <v>4758</v>
      </c>
      <c r="N4" s="16" t="str">
        <f>TRIM(_xlfn.TEXTAFTER(M3, ":"))</f>
        <v>Arcos</v>
      </c>
      <c r="O4" s="18" t="s">
        <v>5451</v>
      </c>
      <c r="P4" s="16" t="str">
        <f>TRIM(_xlfn.TEXTAFTER(O3, ":"))</f>
        <v>Луки</v>
      </c>
      <c r="Q4" s="18" t="s">
        <v>6162</v>
      </c>
      <c r="R4" s="16" t="str">
        <f>TRIM(_xlfn.TEXTAFTER(Q3, ":"))</f>
        <v>ธนู</v>
      </c>
      <c r="S4" s="18" t="s">
        <v>7561</v>
      </c>
      <c r="T4" s="20" t="str">
        <f>TRIM(_xlfn.TEXTAFTER(S3, ":"))</f>
        <v>弓</v>
      </c>
    </row>
    <row r="5" spans="1:20" ht="15.95" customHeight="1" x14ac:dyDescent="0.25">
      <c r="A5" s="18" t="s">
        <v>6805</v>
      </c>
      <c r="B5" s="16" t="str">
        <f>TRIM(_xlfn.TEXTBEFORE(A4, ":"))</f>
        <v>Rarity</v>
      </c>
      <c r="C5" s="18" t="s">
        <v>6861</v>
      </c>
      <c r="D5" s="16" t="str">
        <f>TRIM(_xlfn.TEXTBEFORE(C4, ":"))</f>
        <v>Seltenheit</v>
      </c>
      <c r="E5" s="18" t="s">
        <v>6970</v>
      </c>
      <c r="F5" s="16" t="str">
        <f>TRIM(_xlfn.TEXTBEFORE(E4, ":"))</f>
        <v>Rareza</v>
      </c>
      <c r="G5" s="18" t="s">
        <v>6833</v>
      </c>
      <c r="H5" s="16" t="str">
        <f>TRIM(_xlfn.TEXTBEFORE(G4, ":"))</f>
        <v>Rareté</v>
      </c>
      <c r="I5" s="18" t="s">
        <v>7031</v>
      </c>
      <c r="J5" s="16" t="str">
        <f>TRIM(_xlfn.TEXTBEFORE(I4, ":"))</f>
        <v>レアリティ</v>
      </c>
      <c r="K5" s="18" t="s">
        <v>7000</v>
      </c>
      <c r="L5" s="16" t="str">
        <f>TRIM(_xlfn.TEXTBEFORE(K4, ":"))</f>
        <v>아이템 희귀도</v>
      </c>
      <c r="M5" s="18" t="s">
        <v>6890</v>
      </c>
      <c r="N5" s="16" t="str">
        <f>TRIM(_xlfn.TEXTBEFORE(M4, ":"))</f>
        <v>Raridade</v>
      </c>
      <c r="O5" s="18" t="s">
        <v>6921</v>
      </c>
      <c r="P5" s="16" t="str">
        <f>TRIM(_xlfn.TEXTBEFORE(O4, ":"))</f>
        <v>Редкость</v>
      </c>
      <c r="Q5" s="18" t="s">
        <v>6805</v>
      </c>
      <c r="R5" s="16" t="str">
        <f>TRIM(_xlfn.TEXTBEFORE(Q4, ":"))</f>
        <v>ความหายาก</v>
      </c>
      <c r="S5" s="18" t="s">
        <v>7832</v>
      </c>
      <c r="T5" s="20" t="str">
        <f>TRIM(_xlfn.TEXTBEFORE(S4, ":"))</f>
        <v>稀有度</v>
      </c>
    </row>
    <row r="6" spans="1:20" ht="15.95" customHeight="1" x14ac:dyDescent="0.25">
      <c r="A6" s="18" t="s">
        <v>6806</v>
      </c>
      <c r="B6" s="16" t="str">
        <f>TRIM(_xlfn.TEXTAFTER(A4,":"))</f>
        <v>Rare</v>
      </c>
      <c r="C6" s="18" t="s">
        <v>6862</v>
      </c>
      <c r="D6" s="16" t="str">
        <f>TRIM(_xlfn.TEXTAFTER(C4,":"))</f>
        <v>Selten</v>
      </c>
      <c r="E6" s="18" t="s">
        <v>6971</v>
      </c>
      <c r="F6" s="16" t="str">
        <f>TRIM(_xlfn.TEXTAFTER(E4,":"))</f>
        <v>Raro</v>
      </c>
      <c r="G6" s="18" t="s">
        <v>6834</v>
      </c>
      <c r="H6" s="16" t="str">
        <f>TRIM(_xlfn.TEXTAFTER(G4,":"))</f>
        <v>Rare</v>
      </c>
      <c r="I6" s="18" t="s">
        <v>7032</v>
      </c>
      <c r="J6" s="16" t="str">
        <f>TRIM(_xlfn.TEXTAFTER(I4,":"))</f>
        <v>レア</v>
      </c>
      <c r="K6" s="18" t="s">
        <v>7001</v>
      </c>
      <c r="L6" s="16" t="str">
        <f>TRIM(_xlfn.TEXTAFTER(K4,":"))</f>
        <v>희귀</v>
      </c>
      <c r="M6" s="18" t="s">
        <v>6891</v>
      </c>
      <c r="N6" s="16" t="str">
        <f>TRIM(_xlfn.TEXTAFTER(M4,":"))</f>
        <v>Raro</v>
      </c>
      <c r="O6" s="18" t="s">
        <v>6806</v>
      </c>
      <c r="P6" s="16" t="str">
        <f>TRIM(_xlfn.TEXTAFTER(O4,":"))</f>
        <v>Редкий</v>
      </c>
      <c r="Q6" s="18" t="s">
        <v>6806</v>
      </c>
      <c r="R6" s="16" t="str">
        <f>TRIM(_xlfn.TEXTAFTER(Q4,":"))</f>
        <v>แรร์</v>
      </c>
      <c r="S6" s="18" t="s">
        <v>7833</v>
      </c>
      <c r="T6" s="20" t="str">
        <f>TRIM(_xlfn.TEXTAFTER(S4,":"))</f>
        <v>稀有</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t="s">
        <v>4</v>
      </c>
      <c r="T7" s="20"/>
    </row>
    <row r="8" spans="1:20" ht="15.95" customHeight="1" x14ac:dyDescent="0.25">
      <c r="A8" s="18" t="s">
        <v>6787</v>
      </c>
      <c r="B8" s="16"/>
      <c r="C8" s="18" t="s">
        <v>6845</v>
      </c>
      <c r="D8" s="16"/>
      <c r="E8" s="18" t="s">
        <v>6955</v>
      </c>
      <c r="F8" s="16"/>
      <c r="G8" s="18" t="s">
        <v>6818</v>
      </c>
      <c r="H8" s="16"/>
      <c r="I8" s="18" t="s">
        <v>7013</v>
      </c>
      <c r="J8" s="16"/>
      <c r="K8" s="18" t="s">
        <v>6982</v>
      </c>
      <c r="L8" s="16"/>
      <c r="M8" s="18" t="s">
        <v>6874</v>
      </c>
      <c r="N8" s="16"/>
      <c r="O8" s="18" t="s">
        <v>6903</v>
      </c>
      <c r="P8" s="16"/>
      <c r="Q8" s="18" t="s">
        <v>6932</v>
      </c>
      <c r="R8" s="16"/>
      <c r="S8" s="18" t="s">
        <v>7816</v>
      </c>
      <c r="T8" s="20"/>
    </row>
    <row r="9" spans="1:20" ht="15.95" customHeight="1" x14ac:dyDescent="0.25">
      <c r="A9" s="18" t="s">
        <v>6807</v>
      </c>
      <c r="B9" s="16" t="str">
        <f>TRIM(_xlfn.TEXTBEFORE(A9,":"))</f>
        <v>Lightning Damage</v>
      </c>
      <c r="C9" s="18" t="s">
        <v>6863</v>
      </c>
      <c r="D9" s="16" t="str">
        <f>TRIM(_xlfn.TEXTBEFORE(C9,":"))</f>
        <v>Blitzschaden</v>
      </c>
      <c r="E9" s="18" t="s">
        <v>6972</v>
      </c>
      <c r="F9" s="16" t="str">
        <f>TRIM(_xlfn.TEXTBEFORE(E9,":"))</f>
        <v>Daño de rayo</v>
      </c>
      <c r="G9" s="18" t="s">
        <v>6835</v>
      </c>
      <c r="H9" s="16" t="str">
        <f>TRIM(_xlfn.TEXTBEFORE(G9,":"))</f>
        <v>Dégâts de foudre</v>
      </c>
      <c r="I9" s="18" t="s">
        <v>7033</v>
      </c>
      <c r="J9" s="16" t="str">
        <f>TRIM(_xlfn.TEXTBEFORE(I9,":"))</f>
        <v>雷ダメージ</v>
      </c>
      <c r="K9" s="18" t="s">
        <v>7002</v>
      </c>
      <c r="L9" s="16" t="str">
        <f>TRIM(_xlfn.TEXTBEFORE(K9,":"))</f>
        <v>번개 피해</v>
      </c>
      <c r="M9" s="18" t="s">
        <v>6892</v>
      </c>
      <c r="N9" s="16" t="str">
        <f>TRIM(_xlfn.TEXTBEFORE(M9,":"))</f>
        <v>Dano de Raio</v>
      </c>
      <c r="O9" s="18" t="s">
        <v>6922</v>
      </c>
      <c r="P9" s="16" t="str">
        <f>TRIM(_xlfn.TEXTBEFORE(O9,":"))</f>
        <v>Урон от молнии</v>
      </c>
      <c r="Q9" s="18" t="s">
        <v>6946</v>
      </c>
      <c r="R9" s="16" t="str">
        <f>TRIM(_xlfn.TEXTBEFORE(Q9,":"))</f>
        <v>ความเสียหายน้ำสายฟ้า</v>
      </c>
      <c r="S9" s="18" t="s">
        <v>7834</v>
      </c>
      <c r="T9" s="16" t="str">
        <f>TRIM(_xlfn.TEXTBEFORE(S9,":"))</f>
        <v>閃電傷害</v>
      </c>
    </row>
    <row r="10" spans="1:20" ht="15.95" customHeight="1" x14ac:dyDescent="0.25">
      <c r="A10" s="18" t="s">
        <v>6789</v>
      </c>
      <c r="B10" s="16"/>
      <c r="C10" s="18" t="s">
        <v>2108</v>
      </c>
      <c r="D10" s="16"/>
      <c r="E10" s="18" t="s">
        <v>6957</v>
      </c>
      <c r="F10" s="16"/>
      <c r="G10" s="18" t="s">
        <v>6820</v>
      </c>
      <c r="H10" s="16"/>
      <c r="I10" s="18" t="s">
        <v>7015</v>
      </c>
      <c r="J10" s="16"/>
      <c r="K10" s="18" t="s">
        <v>6984</v>
      </c>
      <c r="L10" s="16"/>
      <c r="M10" s="18" t="s">
        <v>6876</v>
      </c>
      <c r="N10" s="16"/>
      <c r="O10" s="18" t="s">
        <v>6905</v>
      </c>
      <c r="P10" s="16"/>
      <c r="Q10" s="18" t="s">
        <v>6934</v>
      </c>
      <c r="R10" s="16"/>
      <c r="S10" s="18" t="s">
        <v>7540</v>
      </c>
      <c r="T10" s="20"/>
    </row>
    <row r="11" spans="1:20" ht="15.95" customHeight="1" x14ac:dyDescent="0.25">
      <c r="A11" s="18" t="s">
        <v>288</v>
      </c>
      <c r="B11" s="16"/>
      <c r="C11" s="18" t="s">
        <v>2199</v>
      </c>
      <c r="D11" s="16"/>
      <c r="E11" s="18" t="s">
        <v>2918</v>
      </c>
      <c r="F11" s="16"/>
      <c r="G11" s="18" t="s">
        <v>1452</v>
      </c>
      <c r="H11" s="16"/>
      <c r="I11" s="18" t="s">
        <v>3660</v>
      </c>
      <c r="J11" s="16"/>
      <c r="K11" s="18" t="s">
        <v>4398</v>
      </c>
      <c r="L11" s="16"/>
      <c r="M11" s="18" t="s">
        <v>5068</v>
      </c>
      <c r="N11" s="16"/>
      <c r="O11" s="18" t="s">
        <v>5815</v>
      </c>
      <c r="P11" s="16"/>
      <c r="Q11" s="18" t="s">
        <v>6449</v>
      </c>
      <c r="R11" s="16"/>
      <c r="S11" s="18" t="s">
        <v>7835</v>
      </c>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81</v>
      </c>
      <c r="B13" s="16"/>
      <c r="C13" s="18" t="s">
        <v>1589</v>
      </c>
      <c r="D13" s="16"/>
      <c r="E13" s="18" t="s">
        <v>2308</v>
      </c>
      <c r="F13" s="16"/>
      <c r="G13" s="18" t="s">
        <v>5</v>
      </c>
      <c r="H13" s="16"/>
      <c r="I13" s="18" t="s">
        <v>3018</v>
      </c>
      <c r="J13" s="16"/>
      <c r="K13" s="18" t="s">
        <v>3772</v>
      </c>
      <c r="L13" s="16"/>
      <c r="M13" s="18" t="s">
        <v>2308</v>
      </c>
      <c r="N13" s="16"/>
      <c r="O13" s="18" t="s">
        <v>5183</v>
      </c>
      <c r="P13" s="16"/>
      <c r="Q13" s="18" t="s">
        <v>5928</v>
      </c>
      <c r="R13" s="16"/>
      <c r="S13" s="18" t="s">
        <v>7496</v>
      </c>
      <c r="T13" s="20"/>
    </row>
    <row r="14" spans="1:20" ht="15.95" customHeight="1" x14ac:dyDescent="0.25">
      <c r="A14" s="18" t="s">
        <v>789</v>
      </c>
      <c r="B14" s="16"/>
      <c r="C14" s="18" t="s">
        <v>1865</v>
      </c>
      <c r="D14" s="16"/>
      <c r="E14" s="18" t="s">
        <v>2583</v>
      </c>
      <c r="F14" s="16"/>
      <c r="G14" s="18" t="s">
        <v>1128</v>
      </c>
      <c r="H14" s="16"/>
      <c r="I14" s="18" t="s">
        <v>3307</v>
      </c>
      <c r="J14" s="16"/>
      <c r="K14" s="18" t="s">
        <v>4052</v>
      </c>
      <c r="L14" s="16"/>
      <c r="M14" s="18" t="s">
        <v>4773</v>
      </c>
      <c r="N14" s="16"/>
      <c r="O14" s="18" t="s">
        <v>5466</v>
      </c>
      <c r="P14" s="16"/>
      <c r="Q14" s="18" t="s">
        <v>6173</v>
      </c>
      <c r="R14" s="16"/>
      <c r="S14" s="18" t="s">
        <v>7819</v>
      </c>
      <c r="T14" s="20"/>
    </row>
    <row r="15" spans="1:20" ht="15.95" customHeight="1" x14ac:dyDescent="0.25">
      <c r="A15" s="18" t="s">
        <v>6790</v>
      </c>
      <c r="B15" s="16"/>
      <c r="C15" s="18" t="s">
        <v>6847</v>
      </c>
      <c r="D15" s="16"/>
      <c r="E15" s="18" t="s">
        <v>6877</v>
      </c>
      <c r="F15" s="16"/>
      <c r="G15" s="18" t="s">
        <v>6790</v>
      </c>
      <c r="H15" s="16"/>
      <c r="I15" s="18" t="s">
        <v>7016</v>
      </c>
      <c r="J15" s="16"/>
      <c r="K15" s="18" t="s">
        <v>6985</v>
      </c>
      <c r="L15" s="16"/>
      <c r="M15" s="18" t="s">
        <v>6877</v>
      </c>
      <c r="N15" s="16"/>
      <c r="O15" s="18" t="s">
        <v>6906</v>
      </c>
      <c r="P15" s="16"/>
      <c r="Q15" s="18" t="s">
        <v>6790</v>
      </c>
      <c r="R15" s="16"/>
      <c r="S15" s="18" t="s">
        <v>7820</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639</v>
      </c>
      <c r="B17" s="16"/>
      <c r="C17" s="18" t="s">
        <v>1757</v>
      </c>
      <c r="D17" s="16"/>
      <c r="E17" s="18" t="s">
        <v>2476</v>
      </c>
      <c r="F17" s="16"/>
      <c r="G17" s="18" t="s">
        <v>1025</v>
      </c>
      <c r="H17" s="16"/>
      <c r="I17" s="18" t="s">
        <v>3194</v>
      </c>
      <c r="J17" s="16"/>
      <c r="K17" s="18" t="s">
        <v>3941</v>
      </c>
      <c r="L17" s="16"/>
      <c r="M17" s="18" t="s">
        <v>4670</v>
      </c>
      <c r="N17" s="16"/>
      <c r="O17" s="18" t="s">
        <v>5355</v>
      </c>
      <c r="P17" s="16"/>
      <c r="Q17" s="18" t="s">
        <v>6084</v>
      </c>
      <c r="R17" s="16"/>
      <c r="S17" s="18" t="s">
        <v>7527</v>
      </c>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t="s">
        <v>4</v>
      </c>
      <c r="T18" s="20"/>
    </row>
    <row r="19" spans="1:20" ht="15.95" customHeight="1" x14ac:dyDescent="0.25">
      <c r="A19" s="18" t="s">
        <v>6792</v>
      </c>
      <c r="B19" s="16"/>
      <c r="C19" s="18" t="s">
        <v>6849</v>
      </c>
      <c r="D19" s="16"/>
      <c r="E19" s="18" t="s">
        <v>6959</v>
      </c>
      <c r="F19" s="16"/>
      <c r="G19" s="18" t="s">
        <v>6822</v>
      </c>
      <c r="H19" s="16"/>
      <c r="I19" s="18" t="s">
        <v>7018</v>
      </c>
      <c r="J19" s="16"/>
      <c r="K19" s="18" t="s">
        <v>6987</v>
      </c>
      <c r="L19" s="16"/>
      <c r="M19" s="18" t="s">
        <v>6879</v>
      </c>
      <c r="N19" s="16"/>
      <c r="O19" s="18" t="s">
        <v>6908</v>
      </c>
      <c r="P19" s="16"/>
      <c r="Q19" s="18" t="s">
        <v>6936</v>
      </c>
      <c r="R19" s="16"/>
      <c r="S19" s="18" t="s">
        <v>7822</v>
      </c>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t="s">
        <v>4</v>
      </c>
      <c r="T20" s="20"/>
    </row>
    <row r="21" spans="1:20" ht="15.95" customHeight="1" x14ac:dyDescent="0.25">
      <c r="A21" s="18" t="s">
        <v>6808</v>
      </c>
      <c r="B21" s="16"/>
      <c r="C21" s="18" t="s">
        <v>6864</v>
      </c>
      <c r="D21" s="16"/>
      <c r="E21" s="18" t="s">
        <v>6973</v>
      </c>
      <c r="F21" s="16"/>
      <c r="G21" s="18" t="s">
        <v>6836</v>
      </c>
      <c r="H21" s="16"/>
      <c r="I21" s="18" t="s">
        <v>7034</v>
      </c>
      <c r="J21" s="16"/>
      <c r="K21" s="18" t="s">
        <v>7003</v>
      </c>
      <c r="L21" s="16"/>
      <c r="M21" s="18" t="s">
        <v>6893</v>
      </c>
      <c r="N21" s="16"/>
      <c r="O21" s="18" t="s">
        <v>6923</v>
      </c>
      <c r="P21" s="16"/>
      <c r="Q21" s="18" t="s">
        <v>6947</v>
      </c>
      <c r="R21" s="16"/>
      <c r="S21" s="18" t="s">
        <v>7836</v>
      </c>
      <c r="T21" s="20"/>
    </row>
    <row r="22" spans="1:20" ht="15.95" customHeight="1" x14ac:dyDescent="0.25">
      <c r="A22" s="18" t="s">
        <v>296</v>
      </c>
      <c r="B22" s="16"/>
      <c r="C22" s="18" t="s">
        <v>2203</v>
      </c>
      <c r="D22" s="16"/>
      <c r="E22" s="18" t="s">
        <v>2923</v>
      </c>
      <c r="F22" s="16"/>
      <c r="G22" s="18" t="s">
        <v>1457</v>
      </c>
      <c r="H22" s="16"/>
      <c r="I22" s="18" t="s">
        <v>3665</v>
      </c>
      <c r="J22" s="16"/>
      <c r="K22" s="18" t="s">
        <v>4403</v>
      </c>
      <c r="L22" s="16"/>
      <c r="M22" s="18" t="s">
        <v>5072</v>
      </c>
      <c r="N22" s="16"/>
      <c r="O22" s="18" t="s">
        <v>5820</v>
      </c>
      <c r="P22" s="16"/>
      <c r="Q22" s="18" t="s">
        <v>6453</v>
      </c>
      <c r="R22" s="16"/>
      <c r="S22" s="18" t="s">
        <v>7837</v>
      </c>
      <c r="T22" s="20"/>
    </row>
    <row r="23" spans="1:20" ht="15.95" customHeight="1" x14ac:dyDescent="0.25">
      <c r="A23" s="18" t="s">
        <v>6809</v>
      </c>
      <c r="B23" s="16"/>
      <c r="C23" s="18" t="s">
        <v>6865</v>
      </c>
      <c r="D23" s="16"/>
      <c r="E23" s="18" t="s">
        <v>6974</v>
      </c>
      <c r="F23" s="16"/>
      <c r="G23" s="18" t="s">
        <v>6837</v>
      </c>
      <c r="H23" s="16"/>
      <c r="I23" s="18" t="s">
        <v>7035</v>
      </c>
      <c r="J23" s="16"/>
      <c r="K23" s="18" t="s">
        <v>7004</v>
      </c>
      <c r="L23" s="16"/>
      <c r="M23" s="18" t="s">
        <v>6894</v>
      </c>
      <c r="N23" s="16"/>
      <c r="O23" s="18" t="s">
        <v>6924</v>
      </c>
      <c r="P23" s="16"/>
      <c r="Q23" s="18" t="s">
        <v>6948</v>
      </c>
      <c r="R23" s="16"/>
      <c r="S23" s="18" t="s">
        <v>7838</v>
      </c>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14" priority="21" stopIfTrue="1">
      <formula>NOT(ISERROR(A3))</formula>
    </cfRule>
  </conditionalFormatting>
  <conditionalFormatting sqref="A3:T8 A9 C9 E9 G9 I9 K9 M9 O9 Q9 S9:T9 A10:T51">
    <cfRule type="notContainsBlanks" dxfId="113" priority="22">
      <formula>LEN(TRIM(A3))&gt;0</formula>
    </cfRule>
  </conditionalFormatting>
  <conditionalFormatting sqref="A3:T51">
    <cfRule type="containsErrors" dxfId="112" priority="2" stopIfTrue="1">
      <formula>ISERROR(A3)</formula>
    </cfRule>
  </conditionalFormatting>
  <conditionalFormatting sqref="B9">
    <cfRule type="notContainsBlanks" dxfId="111" priority="19">
      <formula>LEN(TRIM(B9))&gt;0</formula>
    </cfRule>
  </conditionalFormatting>
  <conditionalFormatting sqref="D9">
    <cfRule type="notContainsBlanks" dxfId="110" priority="17">
      <formula>LEN(TRIM(D9))&gt;0</formula>
    </cfRule>
  </conditionalFormatting>
  <conditionalFormatting sqref="F9">
    <cfRule type="notContainsBlanks" dxfId="109" priority="15">
      <formula>LEN(TRIM(F9))&gt;0</formula>
    </cfRule>
  </conditionalFormatting>
  <conditionalFormatting sqref="H9">
    <cfRule type="notContainsBlanks" dxfId="108" priority="13">
      <formula>LEN(TRIM(H9))&gt;0</formula>
    </cfRule>
  </conditionalFormatting>
  <conditionalFormatting sqref="J9">
    <cfRule type="notContainsBlanks" dxfId="107" priority="11">
      <formula>LEN(TRIM(J9))&gt;0</formula>
    </cfRule>
  </conditionalFormatting>
  <conditionalFormatting sqref="L9">
    <cfRule type="notContainsBlanks" dxfId="106" priority="9">
      <formula>LEN(TRIM(L9))&gt;0</formula>
    </cfRule>
  </conditionalFormatting>
  <conditionalFormatting sqref="N9">
    <cfRule type="notContainsBlanks" dxfId="105" priority="7">
      <formula>LEN(TRIM(N9))&gt;0</formula>
    </cfRule>
  </conditionalFormatting>
  <conditionalFormatting sqref="P9">
    <cfRule type="notContainsBlanks" dxfId="104" priority="5">
      <formula>LEN(TRIM(P9))&gt;0</formula>
    </cfRule>
  </conditionalFormatting>
  <conditionalFormatting sqref="R9">
    <cfRule type="notContainsBlanks" dxfId="103" priority="3">
      <formula>LEN(TRIM(R9))&gt;0</formula>
    </cfRule>
  </conditionalFormatting>
  <conditionalFormatting sqref="T9">
    <cfRule type="notContainsBlanks" dxfId="102" priority="1">
      <formula>LEN(TRIM(T9))&gt;0</formula>
    </cfRule>
  </conditionalFormatting>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F92D8-0E02-4B9C-A5C5-D37975D1575D}">
  <sheetPr codeName="Sheet70"/>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8" t="s">
        <v>84</v>
      </c>
    </row>
    <row r="3" spans="1:20" ht="15.95" customHeight="1" x14ac:dyDescent="0.25">
      <c r="A3" s="17" t="s">
        <v>339</v>
      </c>
      <c r="B3" s="16" t="str">
        <f>TRIM(_xlfn.TEXTBEFORE(A3, ":"))</f>
        <v>Item Class</v>
      </c>
      <c r="C3" s="17" t="s">
        <v>1961</v>
      </c>
      <c r="D3" s="16" t="str">
        <f>TRIM(_xlfn.TEXTBEFORE(C3, ":"))</f>
        <v>Gegenstandsklasse</v>
      </c>
      <c r="E3" s="17" t="s">
        <v>2682</v>
      </c>
      <c r="F3" s="16" t="str">
        <f>TRIM(_xlfn.TEXTBEFORE(E3, ":"))</f>
        <v>Clase de objeto</v>
      </c>
      <c r="G3" s="17" t="s">
        <v>1218</v>
      </c>
      <c r="H3" s="16" t="str">
        <f>TRIM(_xlfn.TEXTBEFORE(G3, ":"))</f>
        <v>Classe d'objet</v>
      </c>
      <c r="I3" s="17" t="s">
        <v>3409</v>
      </c>
      <c r="J3" s="16" t="str">
        <f>TRIM(_xlfn.TEXTBEFORE(I3, ":"))</f>
        <v>アイテムクラス</v>
      </c>
      <c r="K3" s="17" t="s">
        <v>4153</v>
      </c>
      <c r="L3" s="16" t="str">
        <f>TRIM(_xlfn.TEXTBEFORE(K3, ":"))</f>
        <v>아이템 종류</v>
      </c>
      <c r="M3" s="17" t="s">
        <v>4862</v>
      </c>
      <c r="N3" s="16" t="str">
        <f>TRIM(_xlfn.TEXTBEFORE(M3, ":"))</f>
        <v>Classe do Item</v>
      </c>
      <c r="O3" s="17" t="s">
        <v>5567</v>
      </c>
      <c r="P3" s="16" t="str">
        <f>TRIM(_xlfn.TEXTBEFORE(O3, ":"))</f>
        <v>Класс предмета</v>
      </c>
      <c r="Q3" s="17" t="s">
        <v>6252</v>
      </c>
      <c r="R3" s="16" t="str">
        <f>TRIM(_xlfn.TEXTBEFORE(Q3, ":"))</f>
        <v>ชนิดไอเทม</v>
      </c>
      <c r="S3" s="16" t="s">
        <v>7814</v>
      </c>
      <c r="T3" s="20" t="str">
        <f>TRIM(_xlfn.TEXTBEFORE(S3, ":"))</f>
        <v>物品種類</v>
      </c>
    </row>
    <row r="4" spans="1:20" ht="15.95" customHeight="1" x14ac:dyDescent="0.25">
      <c r="A4" s="18" t="s">
        <v>470</v>
      </c>
      <c r="B4" s="16" t="str">
        <f>TRIM(_xlfn.TEXTAFTER(A3, ":"))</f>
        <v>Bows</v>
      </c>
      <c r="C4" s="18" t="s">
        <v>1681</v>
      </c>
      <c r="D4" s="16" t="str">
        <f>TRIM(_xlfn.TEXTAFTER(C3, ":"))</f>
        <v>Bögen</v>
      </c>
      <c r="E4" s="18" t="s">
        <v>2400</v>
      </c>
      <c r="F4" s="16" t="str">
        <f>TRIM(_xlfn.TEXTAFTER(E3, ":"))</f>
        <v>Arcos</v>
      </c>
      <c r="G4" s="18" t="s">
        <v>948</v>
      </c>
      <c r="H4" s="16" t="str">
        <f>TRIM(_xlfn.TEXTAFTER(G3, ":"))</f>
        <v>Arcs</v>
      </c>
      <c r="I4" s="18" t="s">
        <v>3118</v>
      </c>
      <c r="J4" s="16" t="str">
        <f>TRIM(_xlfn.TEXTAFTER(I3, ":"))</f>
        <v>弓</v>
      </c>
      <c r="K4" s="18" t="s">
        <v>3865</v>
      </c>
      <c r="L4" s="16" t="str">
        <f>TRIM(_xlfn.TEXTAFTER(K3, ":"))</f>
        <v>활</v>
      </c>
      <c r="M4" s="18" t="s">
        <v>4595</v>
      </c>
      <c r="N4" s="16" t="str">
        <f>TRIM(_xlfn.TEXTAFTER(M3, ":"))</f>
        <v>Arcos</v>
      </c>
      <c r="O4" s="18" t="s">
        <v>5278</v>
      </c>
      <c r="P4" s="16" t="str">
        <f>TRIM(_xlfn.TEXTAFTER(O3, ":"))</f>
        <v>Луки</v>
      </c>
      <c r="Q4" s="18" t="s">
        <v>6012</v>
      </c>
      <c r="R4" s="16" t="str">
        <f>TRIM(_xlfn.TEXTAFTER(Q3, ":"))</f>
        <v>ธนู</v>
      </c>
      <c r="S4" s="16" t="s">
        <v>7493</v>
      </c>
      <c r="T4" s="20" t="str">
        <f>TRIM(_xlfn.TEXTAFTER(S3, ":"))</f>
        <v>弓</v>
      </c>
    </row>
    <row r="5" spans="1:20" ht="15.95" customHeight="1" x14ac:dyDescent="0.25">
      <c r="A5" s="18" t="s">
        <v>6810</v>
      </c>
      <c r="B5" s="16" t="str">
        <f>TRIM(_xlfn.TEXTBEFORE(A4, ":"))</f>
        <v>Rarity</v>
      </c>
      <c r="C5" s="18" t="s">
        <v>6866</v>
      </c>
      <c r="D5" s="16" t="str">
        <f>TRIM(_xlfn.TEXTBEFORE(C4, ":"))</f>
        <v>Seltenheit</v>
      </c>
      <c r="E5" s="18" t="s">
        <v>6975</v>
      </c>
      <c r="F5" s="16" t="str">
        <f>TRIM(_xlfn.TEXTBEFORE(E4, ":"))</f>
        <v>Rareza</v>
      </c>
      <c r="G5" s="18" t="s">
        <v>6838</v>
      </c>
      <c r="H5" s="16" t="str">
        <f>TRIM(_xlfn.TEXTBEFORE(G4, ":"))</f>
        <v>Rareté</v>
      </c>
      <c r="I5" s="18" t="s">
        <v>7036</v>
      </c>
      <c r="J5" s="16" t="str">
        <f>TRIM(_xlfn.TEXTBEFORE(I4, ":"))</f>
        <v>レアリティ</v>
      </c>
      <c r="K5" s="18" t="s">
        <v>7005</v>
      </c>
      <c r="L5" s="16" t="str">
        <f>TRIM(_xlfn.TEXTBEFORE(K4, ":"))</f>
        <v>아이템 희귀도</v>
      </c>
      <c r="M5" s="18" t="s">
        <v>6895</v>
      </c>
      <c r="N5" s="16" t="str">
        <f>TRIM(_xlfn.TEXTBEFORE(M4, ":"))</f>
        <v>Raridade</v>
      </c>
      <c r="O5" s="18" t="s">
        <v>6925</v>
      </c>
      <c r="P5" s="16" t="str">
        <f>TRIM(_xlfn.TEXTBEFORE(O4, ":"))</f>
        <v>Редкость</v>
      </c>
      <c r="Q5" s="18" t="s">
        <v>6810</v>
      </c>
      <c r="R5" s="16" t="str">
        <f>TRIM(_xlfn.TEXTBEFORE(Q4, ":"))</f>
        <v>ความหายาก</v>
      </c>
      <c r="S5" s="18" t="s">
        <v>7839</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6811</v>
      </c>
      <c r="B7" s="16" t="str">
        <f>TRIM(_xlfn.TEXTBEFORE(A7,":"))</f>
        <v>Chaos Damage</v>
      </c>
      <c r="C7" s="18" t="s">
        <v>6867</v>
      </c>
      <c r="D7" s="16" t="str">
        <f>TRIM(_xlfn.TEXTBEFORE(C7,":"))</f>
        <v>Chaosschaden</v>
      </c>
      <c r="E7" s="18" t="s">
        <v>6976</v>
      </c>
      <c r="F7" s="16" t="str">
        <f>TRIM(_xlfn.TEXTBEFORE(E7,":"))</f>
        <v>Daño de caos</v>
      </c>
      <c r="G7" s="18" t="s">
        <v>6839</v>
      </c>
      <c r="H7" s="16" t="str">
        <f>TRIM(_xlfn.TEXTBEFORE(G7,":"))</f>
        <v>Dégâts de Chaos</v>
      </c>
      <c r="I7" s="18" t="s">
        <v>7037</v>
      </c>
      <c r="J7" s="16" t="str">
        <f>TRIM(_xlfn.TEXTBEFORE(I7,":"))</f>
        <v>混沌ダメージ</v>
      </c>
      <c r="K7" s="18" t="s">
        <v>7006</v>
      </c>
      <c r="L7" s="16" t="str">
        <f>TRIM(_xlfn.TEXTBEFORE(K7,":"))</f>
        <v>카오스 피해</v>
      </c>
      <c r="M7" s="18" t="s">
        <v>6896</v>
      </c>
      <c r="N7" s="16" t="str">
        <f>TRIM(_xlfn.TEXTBEFORE(M7,":"))</f>
        <v>Dano de Caos</v>
      </c>
      <c r="O7" s="18" t="s">
        <v>6926</v>
      </c>
      <c r="P7" s="16" t="str">
        <f>TRIM(_xlfn.TEXTBEFORE(O7,":"))</f>
        <v>Урон хаосом</v>
      </c>
      <c r="Q7" s="18" t="s">
        <v>6949</v>
      </c>
      <c r="R7" s="16" t="str">
        <f>TRIM(_xlfn.TEXTBEFORE(Q7,":"))</f>
        <v>ความเสียหายเคออส</v>
      </c>
      <c r="S7" s="18" t="s">
        <v>7840</v>
      </c>
      <c r="T7" s="20"/>
    </row>
    <row r="8" spans="1:20" ht="15.95" customHeight="1" x14ac:dyDescent="0.25">
      <c r="A8" s="18" t="s">
        <v>6789</v>
      </c>
      <c r="B8" s="16"/>
      <c r="C8" s="18" t="s">
        <v>2108</v>
      </c>
      <c r="D8" s="16"/>
      <c r="E8" s="18" t="s">
        <v>6957</v>
      </c>
      <c r="F8" s="16"/>
      <c r="G8" s="18" t="s">
        <v>6820</v>
      </c>
      <c r="H8" s="16"/>
      <c r="I8" s="18" t="s">
        <v>7015</v>
      </c>
      <c r="J8" s="16"/>
      <c r="K8" s="18" t="s">
        <v>6984</v>
      </c>
      <c r="L8" s="16"/>
      <c r="M8" s="18" t="s">
        <v>6876</v>
      </c>
      <c r="N8" s="16"/>
      <c r="O8" s="18" t="s">
        <v>6905</v>
      </c>
      <c r="P8" s="16"/>
      <c r="Q8" s="18" t="s">
        <v>6934</v>
      </c>
      <c r="R8" s="16"/>
      <c r="S8" s="18" t="s">
        <v>7540</v>
      </c>
      <c r="T8" s="20"/>
    </row>
    <row r="9" spans="1:20" ht="15.95" customHeight="1" x14ac:dyDescent="0.25">
      <c r="A9" s="18" t="s">
        <v>1538</v>
      </c>
      <c r="B9" s="16"/>
      <c r="C9" s="18" t="s">
        <v>2280</v>
      </c>
      <c r="D9" s="16"/>
      <c r="E9" s="18" t="s">
        <v>3001</v>
      </c>
      <c r="F9" s="16"/>
      <c r="G9" s="18" t="s">
        <v>1557</v>
      </c>
      <c r="H9" s="16"/>
      <c r="I9" s="18" t="s">
        <v>3743</v>
      </c>
      <c r="J9" s="16"/>
      <c r="K9" s="18" t="s">
        <v>4481</v>
      </c>
      <c r="L9" s="16"/>
      <c r="M9" s="18" t="s">
        <v>5149</v>
      </c>
      <c r="N9" s="16"/>
      <c r="O9" s="18" t="s">
        <v>5899</v>
      </c>
      <c r="P9" s="16"/>
      <c r="Q9" s="18" t="s">
        <v>6522</v>
      </c>
      <c r="R9" s="16"/>
      <c r="S9" s="18" t="s">
        <v>7818</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81</v>
      </c>
      <c r="B11" s="16"/>
      <c r="C11" s="18" t="s">
        <v>1589</v>
      </c>
      <c r="D11" s="16"/>
      <c r="E11" s="18" t="s">
        <v>2308</v>
      </c>
      <c r="F11" s="16"/>
      <c r="G11" s="18" t="s">
        <v>5</v>
      </c>
      <c r="H11" s="16"/>
      <c r="I11" s="18" t="s">
        <v>3018</v>
      </c>
      <c r="J11" s="16"/>
      <c r="K11" s="18" t="s">
        <v>3772</v>
      </c>
      <c r="L11" s="16"/>
      <c r="M11" s="18" t="s">
        <v>2308</v>
      </c>
      <c r="N11" s="16"/>
      <c r="O11" s="18" t="s">
        <v>5183</v>
      </c>
      <c r="P11" s="16"/>
      <c r="Q11" s="18" t="s">
        <v>5928</v>
      </c>
      <c r="R11" s="16"/>
      <c r="S11" s="18" t="s">
        <v>7496</v>
      </c>
      <c r="T11" s="20"/>
    </row>
    <row r="12" spans="1:20" ht="15.95" customHeight="1" x14ac:dyDescent="0.25">
      <c r="A12" s="18" t="s">
        <v>6812</v>
      </c>
      <c r="B12" s="16"/>
      <c r="C12" s="18" t="s">
        <v>6868</v>
      </c>
      <c r="D12" s="16"/>
      <c r="E12" s="18" t="s">
        <v>6977</v>
      </c>
      <c r="F12" s="16"/>
      <c r="G12" s="18" t="s">
        <v>6840</v>
      </c>
      <c r="H12" s="16"/>
      <c r="I12" s="18" t="s">
        <v>7038</v>
      </c>
      <c r="J12" s="16"/>
      <c r="K12" s="18" t="s">
        <v>7007</v>
      </c>
      <c r="L12" s="16"/>
      <c r="M12" s="18" t="s">
        <v>6897</v>
      </c>
      <c r="N12" s="16"/>
      <c r="O12" s="18" t="s">
        <v>6927</v>
      </c>
      <c r="P12" s="16"/>
      <c r="Q12" s="18" t="s">
        <v>6950</v>
      </c>
      <c r="R12" s="16"/>
      <c r="S12" s="18" t="s">
        <v>7567</v>
      </c>
      <c r="T12" s="20"/>
    </row>
    <row r="13" spans="1:20" ht="15.95" customHeight="1" x14ac:dyDescent="0.25">
      <c r="A13" s="18" t="s">
        <v>6813</v>
      </c>
      <c r="B13" s="16"/>
      <c r="C13" s="18" t="s">
        <v>6869</v>
      </c>
      <c r="D13" s="16"/>
      <c r="E13" s="18" t="s">
        <v>6898</v>
      </c>
      <c r="F13" s="16"/>
      <c r="G13" s="18" t="s">
        <v>6813</v>
      </c>
      <c r="H13" s="16"/>
      <c r="I13" s="18" t="s">
        <v>7039</v>
      </c>
      <c r="J13" s="16"/>
      <c r="K13" s="18" t="s">
        <v>7008</v>
      </c>
      <c r="L13" s="16"/>
      <c r="M13" s="18" t="s">
        <v>6898</v>
      </c>
      <c r="N13" s="16"/>
      <c r="O13" s="18" t="s">
        <v>6928</v>
      </c>
      <c r="P13" s="16"/>
      <c r="Q13" s="18" t="s">
        <v>6813</v>
      </c>
      <c r="R13" s="16"/>
      <c r="S13" s="18" t="s">
        <v>7841</v>
      </c>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5.95" customHeight="1" x14ac:dyDescent="0.25">
      <c r="A15" s="18" t="s">
        <v>6791</v>
      </c>
      <c r="B15" s="16"/>
      <c r="C15" s="18" t="s">
        <v>6848</v>
      </c>
      <c r="D15" s="16"/>
      <c r="E15" s="18" t="s">
        <v>6958</v>
      </c>
      <c r="F15" s="16"/>
      <c r="G15" s="18" t="s">
        <v>6821</v>
      </c>
      <c r="H15" s="16"/>
      <c r="I15" s="18" t="s">
        <v>7017</v>
      </c>
      <c r="J15" s="16"/>
      <c r="K15" s="18" t="s">
        <v>6986</v>
      </c>
      <c r="L15" s="16"/>
      <c r="M15" s="18" t="s">
        <v>6878</v>
      </c>
      <c r="N15" s="16"/>
      <c r="O15" s="18" t="s">
        <v>6907</v>
      </c>
      <c r="P15" s="16"/>
      <c r="Q15" s="18" t="s">
        <v>6935</v>
      </c>
      <c r="R15" s="16"/>
      <c r="S15" s="18" t="s">
        <v>7821</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6814</v>
      </c>
      <c r="B17" s="16"/>
      <c r="C17" s="18" t="s">
        <v>6870</v>
      </c>
      <c r="D17" s="16"/>
      <c r="E17" s="18" t="s">
        <v>6978</v>
      </c>
      <c r="F17" s="16"/>
      <c r="G17" s="18" t="s">
        <v>6841</v>
      </c>
      <c r="H17" s="16"/>
      <c r="I17" s="18" t="s">
        <v>7040</v>
      </c>
      <c r="J17" s="16"/>
      <c r="K17" s="18" t="s">
        <v>7009</v>
      </c>
      <c r="L17" s="16"/>
      <c r="M17" s="18" t="s">
        <v>6899</v>
      </c>
      <c r="N17" s="16"/>
      <c r="O17" s="18" t="s">
        <v>6929</v>
      </c>
      <c r="P17" s="16"/>
      <c r="Q17" s="18" t="s">
        <v>6951</v>
      </c>
      <c r="R17" s="16"/>
      <c r="S17" s="18" t="s">
        <v>7842</v>
      </c>
      <c r="T17" s="20"/>
    </row>
    <row r="18" spans="1:20" ht="15.95" customHeight="1" x14ac:dyDescent="0.25">
      <c r="A18" s="18" t="s">
        <v>6815</v>
      </c>
      <c r="B18" s="16"/>
      <c r="C18" s="18" t="s">
        <v>6871</v>
      </c>
      <c r="D18" s="16"/>
      <c r="E18" s="18" t="s">
        <v>6979</v>
      </c>
      <c r="F18" s="16"/>
      <c r="G18" s="18" t="s">
        <v>6842</v>
      </c>
      <c r="H18" s="16"/>
      <c r="I18" s="18" t="s">
        <v>7041</v>
      </c>
      <c r="J18" s="16"/>
      <c r="K18" s="18" t="s">
        <v>7010</v>
      </c>
      <c r="L18" s="16"/>
      <c r="M18" s="18" t="s">
        <v>6900</v>
      </c>
      <c r="N18" s="16"/>
      <c r="O18" s="18" t="s">
        <v>6930</v>
      </c>
      <c r="P18" s="16"/>
      <c r="Q18" s="18" t="s">
        <v>6952</v>
      </c>
      <c r="R18" s="16"/>
      <c r="S18" s="18" t="s">
        <v>7843</v>
      </c>
      <c r="T18" s="20"/>
    </row>
    <row r="19" spans="1:20" ht="15.95" customHeight="1" x14ac:dyDescent="0.25">
      <c r="A19" s="18" t="s">
        <v>6816</v>
      </c>
      <c r="B19" s="16"/>
      <c r="C19" s="18" t="s">
        <v>6872</v>
      </c>
      <c r="D19" s="16"/>
      <c r="E19" s="18" t="s">
        <v>6980</v>
      </c>
      <c r="F19" s="16"/>
      <c r="G19" s="18" t="s">
        <v>6843</v>
      </c>
      <c r="H19" s="16"/>
      <c r="I19" s="18" t="s">
        <v>7042</v>
      </c>
      <c r="J19" s="16"/>
      <c r="K19" s="18" t="s">
        <v>7011</v>
      </c>
      <c r="L19" s="16"/>
      <c r="M19" s="18" t="s">
        <v>6901</v>
      </c>
      <c r="N19" s="16"/>
      <c r="O19" s="18" t="s">
        <v>6931</v>
      </c>
      <c r="P19" s="16"/>
      <c r="Q19" s="18" t="s">
        <v>6953</v>
      </c>
      <c r="R19" s="16"/>
      <c r="S19" s="18" t="s">
        <v>7844</v>
      </c>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5:S51">
    <cfRule type="notContainsErrors" dxfId="101" priority="28" stopIfTrue="1">
      <formula>NOT(ISERROR(A3))</formula>
    </cfRule>
  </conditionalFormatting>
  <conditionalFormatting sqref="A3:R4 A5:T6 A7 C7 E7 G7 I7 K7 M7 O7 Q7 S7:T7 A8:T51">
    <cfRule type="notContainsBlanks" dxfId="100" priority="29">
      <formula>LEN(TRIM(A3))&gt;0</formula>
    </cfRule>
  </conditionalFormatting>
  <conditionalFormatting sqref="A3:T51">
    <cfRule type="containsErrors" dxfId="99" priority="1" stopIfTrue="1">
      <formula>ISERROR(A3)</formula>
    </cfRule>
  </conditionalFormatting>
  <conditionalFormatting sqref="B7">
    <cfRule type="notContainsBlanks" dxfId="98" priority="26">
      <formula>LEN(TRIM(B7))&gt;0</formula>
    </cfRule>
  </conditionalFormatting>
  <conditionalFormatting sqref="D7">
    <cfRule type="notContainsBlanks" dxfId="97" priority="24">
      <formula>LEN(TRIM(D7))&gt;0</formula>
    </cfRule>
  </conditionalFormatting>
  <conditionalFormatting sqref="F7">
    <cfRule type="notContainsBlanks" dxfId="96" priority="22">
      <formula>LEN(TRIM(F7))&gt;0</formula>
    </cfRule>
  </conditionalFormatting>
  <conditionalFormatting sqref="H7">
    <cfRule type="notContainsBlanks" dxfId="95" priority="20">
      <formula>LEN(TRIM(H7))&gt;0</formula>
    </cfRule>
  </conditionalFormatting>
  <conditionalFormatting sqref="J7">
    <cfRule type="notContainsBlanks" dxfId="94" priority="18">
      <formula>LEN(TRIM(J7))&gt;0</formula>
    </cfRule>
  </conditionalFormatting>
  <conditionalFormatting sqref="L7">
    <cfRule type="notContainsBlanks" dxfId="93" priority="16">
      <formula>LEN(TRIM(L7))&gt;0</formula>
    </cfRule>
  </conditionalFormatting>
  <conditionalFormatting sqref="N7">
    <cfRule type="notContainsBlanks" dxfId="92" priority="14">
      <formula>LEN(TRIM(N7))&gt;0</formula>
    </cfRule>
  </conditionalFormatting>
  <conditionalFormatting sqref="P7">
    <cfRule type="notContainsBlanks" dxfId="91" priority="12">
      <formula>LEN(TRIM(P7))&gt;0</formula>
    </cfRule>
  </conditionalFormatting>
  <conditionalFormatting sqref="R7">
    <cfRule type="notContainsBlanks" dxfId="90" priority="10">
      <formula>LEN(TRIM(R7))&gt;0</formula>
    </cfRule>
  </conditionalFormatting>
  <conditionalFormatting sqref="S3:T4">
    <cfRule type="notContainsBlanks" dxfId="89" priority="2">
      <formula>LEN(TRIM(S3))&gt;0</formula>
    </cfRule>
  </conditionalFormatting>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E4D232-4A4E-4AB3-9D1D-D0BA66D1E8E4}">
  <sheetPr codeName="Sheet71"/>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8" t="s">
        <v>84</v>
      </c>
    </row>
    <row r="3" spans="1:20" ht="15.95" customHeight="1" x14ac:dyDescent="0.25">
      <c r="A3" s="17"/>
      <c r="B3" s="16" t="e">
        <f>TRIM(_xlfn.TEXTBEFORE(A3, ":"))</f>
        <v>#N/A</v>
      </c>
      <c r="C3" s="17"/>
      <c r="D3" s="16" t="e">
        <f>TRIM(_xlfn.TEXTBEFORE(C3, ":"))</f>
        <v>#N/A</v>
      </c>
      <c r="E3" s="17"/>
      <c r="F3" s="16" t="e">
        <f>TRIM(_xlfn.TEXTBEFORE(E3, ":"))</f>
        <v>#N/A</v>
      </c>
      <c r="G3" s="17"/>
      <c r="H3" s="16" t="e">
        <f>TRIM(_xlfn.TEXTBEFORE(G3, ":"))</f>
        <v>#N/A</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c r="B4" s="16" t="e">
        <f>TRIM(_xlfn.TEXTAFTER(A3, ":"))</f>
        <v>#N/A</v>
      </c>
      <c r="C4" s="18"/>
      <c r="D4" s="16" t="e">
        <f>TRIM(_xlfn.TEXTAFTER(C3, ":"))</f>
        <v>#N/A</v>
      </c>
      <c r="E4" s="18"/>
      <c r="F4" s="16" t="e">
        <f>TRIM(_xlfn.TEXTAFTER(E3, ":"))</f>
        <v>#N/A</v>
      </c>
      <c r="G4" s="18"/>
      <c r="H4" s="16" t="e">
        <f>TRIM(_xlfn.TEXTAFTER(G3, ":"))</f>
        <v>#N/A</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c r="B5" s="16" t="e">
        <f>TRIM(_xlfn.TEXTBEFORE(A4, ":"))</f>
        <v>#N/A</v>
      </c>
      <c r="C5" s="18"/>
      <c r="D5" s="16" t="e">
        <f>TRIM(_xlfn.TEXTBEFORE(C4, ":"))</f>
        <v>#N/A</v>
      </c>
      <c r="E5" s="18"/>
      <c r="F5" s="16" t="e">
        <f>TRIM(_xlfn.TEXTBEFORE(E4, ":"))</f>
        <v>#N/A</v>
      </c>
      <c r="G5" s="18"/>
      <c r="H5" s="16" t="e">
        <f>TRIM(_xlfn.TEXTBEFORE(G4, ":"))</f>
        <v>#N/A</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c r="B6" s="16" t="e">
        <f>TRIM(_xlfn.TEXTAFTER(A4,":"))</f>
        <v>#N/A</v>
      </c>
      <c r="C6" s="18"/>
      <c r="D6" s="16" t="e">
        <f>TRIM(_xlfn.TEXTAFTER(C4,":"))</f>
        <v>#N/A</v>
      </c>
      <c r="E6" s="18"/>
      <c r="F6" s="16" t="e">
        <f>TRIM(_xlfn.TEXTAFTER(E4,":"))</f>
        <v>#N/A</v>
      </c>
      <c r="G6" s="18"/>
      <c r="H6" s="16" t="e">
        <f>TRIM(_xlfn.TEXTAFTER(G4,":"))</f>
        <v>#N/A</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c r="B7" s="16"/>
      <c r="C7" s="18"/>
      <c r="D7" s="16"/>
      <c r="E7" s="18"/>
      <c r="F7" s="16"/>
      <c r="G7" s="18"/>
      <c r="H7" s="16"/>
      <c r="I7" s="18"/>
      <c r="J7" s="16"/>
      <c r="K7" s="18"/>
      <c r="L7" s="16"/>
      <c r="M7" s="18"/>
      <c r="N7" s="16"/>
      <c r="O7" s="18"/>
      <c r="P7" s="16"/>
      <c r="Q7" s="18"/>
      <c r="R7" s="16"/>
      <c r="S7" s="18"/>
      <c r="T7" s="20"/>
    </row>
    <row r="8" spans="1:20" ht="15.95" customHeight="1" x14ac:dyDescent="0.25">
      <c r="A8" s="18"/>
      <c r="B8" s="16"/>
      <c r="C8" s="18"/>
      <c r="D8" s="16"/>
      <c r="E8" s="18"/>
      <c r="F8" s="16"/>
      <c r="G8" s="18"/>
      <c r="H8" s="16"/>
      <c r="I8" s="18"/>
      <c r="J8" s="16"/>
      <c r="K8" s="18"/>
      <c r="L8" s="16"/>
      <c r="M8" s="18"/>
      <c r="N8" s="16"/>
      <c r="O8" s="18"/>
      <c r="P8" s="16"/>
      <c r="Q8" s="18"/>
      <c r="R8" s="16"/>
      <c r="S8" s="18"/>
      <c r="T8" s="20"/>
    </row>
    <row r="9" spans="1:20" ht="15.95" customHeight="1" x14ac:dyDescent="0.25">
      <c r="A9" s="18"/>
      <c r="B9" s="16"/>
      <c r="C9" s="18"/>
      <c r="D9" s="16"/>
      <c r="E9" s="18"/>
      <c r="F9" s="16"/>
      <c r="G9" s="18"/>
      <c r="H9" s="16"/>
      <c r="I9" s="18"/>
      <c r="J9" s="16"/>
      <c r="K9" s="18"/>
      <c r="L9" s="16"/>
      <c r="M9" s="18"/>
      <c r="N9" s="16"/>
      <c r="O9" s="18"/>
      <c r="P9" s="16"/>
      <c r="Q9" s="18"/>
      <c r="R9" s="16"/>
      <c r="S9" s="18"/>
      <c r="T9" s="20"/>
    </row>
    <row r="10" spans="1:20" ht="15.95" customHeight="1" x14ac:dyDescent="0.25">
      <c r="A10" s="18"/>
      <c r="B10" s="16"/>
      <c r="C10" s="18"/>
      <c r="D10" s="16"/>
      <c r="E10" s="18"/>
      <c r="F10" s="16"/>
      <c r="G10" s="18"/>
      <c r="H10" s="16"/>
      <c r="I10" s="18"/>
      <c r="J10" s="16"/>
      <c r="K10" s="18"/>
      <c r="L10" s="16"/>
      <c r="M10" s="18"/>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88" priority="2" stopIfTrue="1">
      <formula>NOT(ISERROR(A3))</formula>
    </cfRule>
  </conditionalFormatting>
  <conditionalFormatting sqref="A3:T51">
    <cfRule type="containsErrors" dxfId="87" priority="1" stopIfTrue="1">
      <formula>ISERROR(A3)</formula>
    </cfRule>
    <cfRule type="notContainsBlanks" dxfId="86" priority="3">
      <formula>LEN(TRIM(A3))&gt;0</formula>
    </cfRule>
  </conditionalFormatting>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10BF18-DA50-4D8F-8239-02690F1EFC22}">
  <sheetPr codeName="Sheet72"/>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8" t="s">
        <v>84</v>
      </c>
    </row>
    <row r="3" spans="1:20" ht="15.95" customHeight="1" x14ac:dyDescent="0.25">
      <c r="A3" s="17" t="s">
        <v>7051</v>
      </c>
      <c r="B3" s="16" t="str">
        <f>TRIM(_xlfn.TEXTBEFORE(A3, ":"))</f>
        <v>Item Class</v>
      </c>
      <c r="C3" s="17" t="s">
        <v>7211</v>
      </c>
      <c r="D3" s="16" t="str">
        <f>TRIM(_xlfn.TEXTBEFORE(C3, ":"))</f>
        <v>Gegenstandsklasse</v>
      </c>
      <c r="E3" s="17" t="s">
        <v>7588</v>
      </c>
      <c r="F3" s="16" t="str">
        <f>TRIM(_xlfn.TEXTBEFORE(E3, ":"))</f>
        <v>Clase de objeto</v>
      </c>
      <c r="G3" s="17" t="s">
        <v>7138</v>
      </c>
      <c r="H3" s="16" t="str">
        <f>TRIM(_xlfn.TEXTBEFORE(G3, ":"))</f>
        <v>Classe d'objet</v>
      </c>
      <c r="I3" s="17" t="s">
        <v>7736</v>
      </c>
      <c r="J3" s="16" t="str">
        <f>TRIM(_xlfn.TEXTBEFORE(I3, ":"))</f>
        <v>アイテムクラス</v>
      </c>
      <c r="K3" s="17" t="s">
        <v>7659</v>
      </c>
      <c r="L3" s="16" t="str">
        <f>TRIM(_xlfn.TEXTBEFORE(K3, ":"))</f>
        <v>아이템 종류</v>
      </c>
      <c r="M3" s="17" t="s">
        <v>7281</v>
      </c>
      <c r="N3" s="16" t="str">
        <f>TRIM(_xlfn.TEXTBEFORE(M3, ":"))</f>
        <v>Classe do Item</v>
      </c>
      <c r="O3" s="17" t="s">
        <v>7353</v>
      </c>
      <c r="P3" s="16" t="str">
        <f>TRIM(_xlfn.TEXTBEFORE(O3, ":"))</f>
        <v>Класс предмета</v>
      </c>
      <c r="Q3" s="17" t="s">
        <v>7427</v>
      </c>
      <c r="R3" s="16" t="str">
        <f>TRIM(_xlfn.TEXTBEFORE(Q3, ":"))</f>
        <v>ชนิดไอเทม</v>
      </c>
      <c r="S3" s="17" t="s">
        <v>7492</v>
      </c>
      <c r="T3" s="20" t="str">
        <f>TRIM(_xlfn.TEXTBEFORE(S3, ":"))</f>
        <v>物品種類</v>
      </c>
    </row>
    <row r="4" spans="1:20" ht="15.95" customHeight="1" x14ac:dyDescent="0.25">
      <c r="A4" s="18" t="s">
        <v>470</v>
      </c>
      <c r="B4" s="16" t="str">
        <f>TRIM(_xlfn.TEXTAFTER(A3, ":"))</f>
        <v>Foci</v>
      </c>
      <c r="C4" s="18" t="s">
        <v>1681</v>
      </c>
      <c r="D4" s="16" t="str">
        <f>TRIM(_xlfn.TEXTAFTER(C3, ":"))</f>
        <v>Fokusse</v>
      </c>
      <c r="E4" s="18" t="s">
        <v>2400</v>
      </c>
      <c r="F4" s="16" t="str">
        <f>TRIM(_xlfn.TEXTAFTER(E3, ":"))</f>
        <v>Focos</v>
      </c>
      <c r="G4" s="18" t="s">
        <v>948</v>
      </c>
      <c r="H4" s="16" t="str">
        <f>TRIM(_xlfn.TEXTAFTER(G3, ":"))</f>
        <v>Focus</v>
      </c>
      <c r="I4" s="18" t="s">
        <v>3118</v>
      </c>
      <c r="J4" s="16" t="str">
        <f>TRIM(_xlfn.TEXTAFTER(I3, ":"))</f>
        <v>フォーカス</v>
      </c>
      <c r="K4" s="18" t="s">
        <v>3865</v>
      </c>
      <c r="L4" s="16" t="str">
        <f>TRIM(_xlfn.TEXTAFTER(K3, ":"))</f>
        <v>집중구</v>
      </c>
      <c r="M4" s="18" t="s">
        <v>4595</v>
      </c>
      <c r="N4" s="16" t="str">
        <f>TRIM(_xlfn.TEXTAFTER(M3, ":"))</f>
        <v>Focos</v>
      </c>
      <c r="O4" s="18" t="s">
        <v>5278</v>
      </c>
      <c r="P4" s="16" t="str">
        <f>TRIM(_xlfn.TEXTAFTER(O3, ":"))</f>
        <v>Фокусы</v>
      </c>
      <c r="Q4" s="18" t="s">
        <v>6012</v>
      </c>
      <c r="R4" s="16" t="str">
        <f>TRIM(_xlfn.TEXTAFTER(Q3, ":"))</f>
        <v>โฟกัส</v>
      </c>
      <c r="S4" s="18" t="s">
        <v>7493</v>
      </c>
      <c r="T4" s="20" t="str">
        <f>TRIM(_xlfn.TEXTAFTER(S3, ":"))</f>
        <v>法器</v>
      </c>
    </row>
    <row r="5" spans="1:20" ht="15.95" customHeight="1" x14ac:dyDescent="0.25">
      <c r="A5" s="18" t="s">
        <v>7052</v>
      </c>
      <c r="B5" s="16" t="str">
        <f>TRIM(_xlfn.TEXTBEFORE(A4, ":"))</f>
        <v>Rarity</v>
      </c>
      <c r="C5" s="18" t="s">
        <v>7212</v>
      </c>
      <c r="D5" s="16" t="str">
        <f>TRIM(_xlfn.TEXTBEFORE(C4, ":"))</f>
        <v>Seltenheit</v>
      </c>
      <c r="E5" s="18" t="s">
        <v>7589</v>
      </c>
      <c r="F5" s="16" t="str">
        <f>TRIM(_xlfn.TEXTBEFORE(E4, ":"))</f>
        <v>Rareza</v>
      </c>
      <c r="G5" s="18" t="s">
        <v>7139</v>
      </c>
      <c r="H5" s="16" t="str">
        <f>TRIM(_xlfn.TEXTBEFORE(G4, ":"))</f>
        <v>Rareté</v>
      </c>
      <c r="I5" s="18" t="s">
        <v>7737</v>
      </c>
      <c r="J5" s="16" t="str">
        <f>TRIM(_xlfn.TEXTBEFORE(I4, ":"))</f>
        <v>レアリティ</v>
      </c>
      <c r="K5" s="18" t="s">
        <v>7660</v>
      </c>
      <c r="L5" s="16" t="str">
        <f>TRIM(_xlfn.TEXTBEFORE(K4, ":"))</f>
        <v>아이템 희귀도</v>
      </c>
      <c r="M5" s="18" t="s">
        <v>7282</v>
      </c>
      <c r="N5" s="16" t="str">
        <f>TRIM(_xlfn.TEXTBEFORE(M4, ":"))</f>
        <v>Raridade</v>
      </c>
      <c r="O5" s="18" t="s">
        <v>7354</v>
      </c>
      <c r="P5" s="16" t="str">
        <f>TRIM(_xlfn.TEXTBEFORE(O4, ":"))</f>
        <v>Редкость</v>
      </c>
      <c r="Q5" s="18" t="s">
        <v>7052</v>
      </c>
      <c r="R5" s="16" t="str">
        <f>TRIM(_xlfn.TEXTBEFORE(Q4, ":"))</f>
        <v>ความหายาก</v>
      </c>
      <c r="S5" s="18" t="s">
        <v>7494</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7053</v>
      </c>
      <c r="B7" s="16"/>
      <c r="C7" s="18" t="s">
        <v>7213</v>
      </c>
      <c r="D7" s="16"/>
      <c r="E7" s="18" t="s">
        <v>7590</v>
      </c>
      <c r="F7" s="16"/>
      <c r="G7" s="18" t="s">
        <v>7140</v>
      </c>
      <c r="H7" s="16"/>
      <c r="I7" s="18" t="s">
        <v>7738</v>
      </c>
      <c r="J7" s="16"/>
      <c r="K7" s="18" t="s">
        <v>7661</v>
      </c>
      <c r="L7" s="16"/>
      <c r="M7" s="18" t="s">
        <v>7283</v>
      </c>
      <c r="N7" s="16"/>
      <c r="O7" s="18" t="s">
        <v>7355</v>
      </c>
      <c r="P7" s="16"/>
      <c r="Q7" s="18" t="s">
        <v>7428</v>
      </c>
      <c r="R7" s="16"/>
      <c r="S7" s="18" t="s">
        <v>7495</v>
      </c>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81</v>
      </c>
      <c r="B9" s="16"/>
      <c r="C9" s="18" t="s">
        <v>1589</v>
      </c>
      <c r="D9" s="16"/>
      <c r="E9" s="18" t="s">
        <v>2308</v>
      </c>
      <c r="F9" s="16"/>
      <c r="G9" s="18" t="s">
        <v>5</v>
      </c>
      <c r="H9" s="16"/>
      <c r="I9" s="18" t="s">
        <v>3018</v>
      </c>
      <c r="J9" s="16"/>
      <c r="K9" s="18" t="s">
        <v>3772</v>
      </c>
      <c r="L9" s="16"/>
      <c r="M9" s="18" t="s">
        <v>2308</v>
      </c>
      <c r="N9" s="16"/>
      <c r="O9" s="18" t="s">
        <v>5183</v>
      </c>
      <c r="P9" s="16"/>
      <c r="Q9" s="18" t="s">
        <v>5928</v>
      </c>
      <c r="R9" s="16"/>
      <c r="S9" s="18" t="s">
        <v>7496</v>
      </c>
      <c r="T9" s="20"/>
    </row>
    <row r="10" spans="1:20" ht="15.95" customHeight="1" x14ac:dyDescent="0.25">
      <c r="A10" s="18" t="s">
        <v>7054</v>
      </c>
      <c r="B10" s="16"/>
      <c r="C10" s="18" t="s">
        <v>7214</v>
      </c>
      <c r="D10" s="16"/>
      <c r="E10" s="18" t="s">
        <v>7591</v>
      </c>
      <c r="F10" s="16"/>
      <c r="G10" s="18" t="s">
        <v>7141</v>
      </c>
      <c r="H10" s="16"/>
      <c r="I10" s="18" t="s">
        <v>7739</v>
      </c>
      <c r="J10" s="16"/>
      <c r="K10" s="18" t="s">
        <v>7662</v>
      </c>
      <c r="L10" s="16"/>
      <c r="M10" s="18" t="s">
        <v>7284</v>
      </c>
      <c r="N10" s="16"/>
      <c r="O10" s="18" t="s">
        <v>7356</v>
      </c>
      <c r="P10" s="16"/>
      <c r="Q10" s="18" t="s">
        <v>7429</v>
      </c>
      <c r="R10" s="16"/>
      <c r="S10" s="18" t="s">
        <v>7497</v>
      </c>
      <c r="T10" s="20"/>
    </row>
    <row r="11" spans="1:20" ht="15.95" customHeight="1" x14ac:dyDescent="0.25">
      <c r="A11" s="18" t="s">
        <v>7055</v>
      </c>
      <c r="B11" s="16"/>
      <c r="C11" s="18" t="s">
        <v>7055</v>
      </c>
      <c r="D11" s="16"/>
      <c r="E11" s="18" t="s">
        <v>7055</v>
      </c>
      <c r="F11" s="16"/>
      <c r="G11" s="18" t="s">
        <v>7055</v>
      </c>
      <c r="H11" s="16"/>
      <c r="I11" s="18" t="s">
        <v>7740</v>
      </c>
      <c r="J11" s="16"/>
      <c r="K11" s="18" t="s">
        <v>7663</v>
      </c>
      <c r="L11" s="16"/>
      <c r="M11" s="18" t="s">
        <v>7055</v>
      </c>
      <c r="N11" s="16"/>
      <c r="O11" s="18" t="s">
        <v>7357</v>
      </c>
      <c r="P11" s="16"/>
      <c r="Q11" s="18" t="s">
        <v>7055</v>
      </c>
      <c r="R11" s="16"/>
      <c r="S11" s="18" t="s">
        <v>7498</v>
      </c>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292</v>
      </c>
      <c r="B13" s="16"/>
      <c r="C13" s="18" t="s">
        <v>1743</v>
      </c>
      <c r="D13" s="16"/>
      <c r="E13" s="18" t="s">
        <v>2462</v>
      </c>
      <c r="F13" s="16"/>
      <c r="G13" s="18" t="s">
        <v>1011</v>
      </c>
      <c r="H13" s="16"/>
      <c r="I13" s="18" t="s">
        <v>3180</v>
      </c>
      <c r="J13" s="16"/>
      <c r="K13" s="18" t="s">
        <v>3927</v>
      </c>
      <c r="L13" s="16"/>
      <c r="M13" s="18" t="s">
        <v>4656</v>
      </c>
      <c r="N13" s="16"/>
      <c r="O13" s="18" t="s">
        <v>5341</v>
      </c>
      <c r="P13" s="16"/>
      <c r="Q13" s="18" t="s">
        <v>6072</v>
      </c>
      <c r="R13" s="16"/>
      <c r="S13" s="18" t="s">
        <v>7499</v>
      </c>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5.95" customHeight="1" x14ac:dyDescent="0.25">
      <c r="A15" s="18" t="s">
        <v>7056</v>
      </c>
      <c r="B15" s="16"/>
      <c r="C15" s="18" t="s">
        <v>7215</v>
      </c>
      <c r="D15" s="16"/>
      <c r="E15" s="18" t="s">
        <v>7592</v>
      </c>
      <c r="F15" s="16"/>
      <c r="G15" s="18" t="s">
        <v>7142</v>
      </c>
      <c r="H15" s="16"/>
      <c r="I15" s="18" t="s">
        <v>7741</v>
      </c>
      <c r="J15" s="16"/>
      <c r="K15" s="18" t="s">
        <v>7664</v>
      </c>
      <c r="L15" s="16"/>
      <c r="M15" s="18" t="s">
        <v>7285</v>
      </c>
      <c r="N15" s="16"/>
      <c r="O15" s="18" t="s">
        <v>7358</v>
      </c>
      <c r="P15" s="16"/>
      <c r="Q15" s="18" t="s">
        <v>7430</v>
      </c>
      <c r="R15" s="16"/>
      <c r="S15" s="18" t="s">
        <v>7500</v>
      </c>
      <c r="T15" s="20"/>
    </row>
    <row r="16" spans="1:20" ht="15.95" customHeight="1" x14ac:dyDescent="0.25">
      <c r="A16" s="18" t="s">
        <v>7057</v>
      </c>
      <c r="B16" s="16"/>
      <c r="C16" s="18" t="s">
        <v>7216</v>
      </c>
      <c r="D16" s="16"/>
      <c r="E16" s="18" t="s">
        <v>7593</v>
      </c>
      <c r="F16" s="16"/>
      <c r="G16" s="18" t="s">
        <v>7143</v>
      </c>
      <c r="H16" s="16"/>
      <c r="I16" s="18" t="s">
        <v>7742</v>
      </c>
      <c r="J16" s="16"/>
      <c r="K16" s="18" t="s">
        <v>7665</v>
      </c>
      <c r="L16" s="16"/>
      <c r="M16" s="18" t="s">
        <v>7286</v>
      </c>
      <c r="N16" s="16"/>
      <c r="O16" s="18" t="s">
        <v>7359</v>
      </c>
      <c r="P16" s="16"/>
      <c r="Q16" s="18" t="s">
        <v>7431</v>
      </c>
      <c r="R16" s="16"/>
      <c r="S16" s="18" t="s">
        <v>7501</v>
      </c>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85" priority="2" stopIfTrue="1">
      <formula>NOT(ISERROR(A3))</formula>
    </cfRule>
  </conditionalFormatting>
  <conditionalFormatting sqref="A3:T51">
    <cfRule type="containsErrors" dxfId="84" priority="1" stopIfTrue="1">
      <formula>ISERROR(A3)</formula>
    </cfRule>
    <cfRule type="notContainsBlanks" dxfId="83" priority="3">
      <formula>LEN(TRIM(A3))&gt;0</formula>
    </cfRule>
  </conditionalFormatting>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9A2321-F539-41C3-93FB-A00E6332740E}">
  <sheetPr codeName="Sheet73"/>
  <dimension ref="A1:T51"/>
  <sheetViews>
    <sheetView workbookViewId="0">
      <selection activeCell="I3" sqref="I3:I12"/>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8" t="s">
        <v>84</v>
      </c>
    </row>
    <row r="3" spans="1:20" ht="15.95" customHeight="1" x14ac:dyDescent="0.25">
      <c r="A3" s="17" t="s">
        <v>7094</v>
      </c>
      <c r="B3" s="16" t="str">
        <f>TRIM(_xlfn.TEXTBEFORE(A3, ":"))</f>
        <v>Item Class</v>
      </c>
      <c r="C3" s="17" t="s">
        <v>7217</v>
      </c>
      <c r="D3" s="16" t="str">
        <f>TRIM(_xlfn.TEXTBEFORE(C3, ":"))</f>
        <v>Gegenstandsklasse</v>
      </c>
      <c r="E3" s="17" t="s">
        <v>7594</v>
      </c>
      <c r="F3" s="16" t="str">
        <f>TRIM(_xlfn.TEXTBEFORE(E3, ":"))</f>
        <v>Clase de objeto</v>
      </c>
      <c r="G3" s="17" t="s">
        <v>7144</v>
      </c>
      <c r="H3" s="16" t="str">
        <f>TRIM(_xlfn.TEXTBEFORE(G3, ":"))</f>
        <v>Classe d'objet</v>
      </c>
      <c r="I3" s="17" t="s">
        <v>7743</v>
      </c>
      <c r="J3" s="16" t="str">
        <f>TRIM(_xlfn.TEXTBEFORE(I3, ":"))</f>
        <v>アイテムクラス</v>
      </c>
      <c r="K3" s="17" t="s">
        <v>7666</v>
      </c>
      <c r="L3" s="16" t="str">
        <f>TRIM(_xlfn.TEXTBEFORE(K3, ":"))</f>
        <v>아이템 종류</v>
      </c>
      <c r="M3" s="17" t="s">
        <v>7287</v>
      </c>
      <c r="N3" s="16" t="str">
        <f>TRIM(_xlfn.TEXTBEFORE(M3, ":"))</f>
        <v>Classe do Item</v>
      </c>
      <c r="O3" s="17" t="s">
        <v>7360</v>
      </c>
      <c r="P3" s="16" t="str">
        <f>TRIM(_xlfn.TEXTBEFORE(O3, ":"))</f>
        <v>Класс предмета</v>
      </c>
      <c r="Q3" s="17" t="s">
        <v>7432</v>
      </c>
      <c r="R3" s="16" t="str">
        <f>TRIM(_xlfn.TEXTBEFORE(Q3, ":"))</f>
        <v>ชนิดไอเทม</v>
      </c>
      <c r="S3" s="17" t="s">
        <v>7502</v>
      </c>
      <c r="T3" s="20" t="str">
        <f>TRIM(_xlfn.TEXTBEFORE(S3, ":"))</f>
        <v>物品種類</v>
      </c>
    </row>
    <row r="4" spans="1:20" ht="15.95" customHeight="1" x14ac:dyDescent="0.25">
      <c r="A4" s="18" t="s">
        <v>553</v>
      </c>
      <c r="B4" s="16" t="str">
        <f>TRIM(_xlfn.TEXTAFTER(A3, ":"))</f>
        <v>Socketable</v>
      </c>
      <c r="C4" s="18" t="s">
        <v>1625</v>
      </c>
      <c r="D4" s="16" t="str">
        <f>TRIM(_xlfn.TEXTAFTER(C3, ":"))</f>
        <v>Einfassbar</v>
      </c>
      <c r="E4" s="18" t="s">
        <v>2293</v>
      </c>
      <c r="F4" s="16" t="str">
        <f>TRIM(_xlfn.TEXTAFTER(E3, ":"))</f>
        <v>Engarzable</v>
      </c>
      <c r="G4" s="18" t="s">
        <v>848</v>
      </c>
      <c r="H4" s="16" t="str">
        <f>TRIM(_xlfn.TEXTAFTER(G3, ":"))</f>
        <v>Enchâssable</v>
      </c>
      <c r="I4" s="18" t="s">
        <v>3061</v>
      </c>
      <c r="J4" s="16" t="str">
        <f>TRIM(_xlfn.TEXTAFTER(I3, ":"))</f>
        <v>ソケット可能</v>
      </c>
      <c r="K4" s="18" t="s">
        <v>3755</v>
      </c>
      <c r="L4" s="16" t="str">
        <f>TRIM(_xlfn.TEXTAFTER(K3, ":"))</f>
        <v>홈에 장착 가능</v>
      </c>
      <c r="M4" s="18" t="s">
        <v>4539</v>
      </c>
      <c r="N4" s="16" t="str">
        <f>TRIM(_xlfn.TEXTAFTER(M3, ":"))</f>
        <v>Encaixável</v>
      </c>
      <c r="O4" s="18" t="s">
        <v>5223</v>
      </c>
      <c r="P4" s="16" t="str">
        <f>TRIM(_xlfn.TEXTAFTER(O3, ":"))</f>
        <v>Размещаемое</v>
      </c>
      <c r="Q4" s="18" t="s">
        <v>5911</v>
      </c>
      <c r="R4" s="16" t="str">
        <f>TRIM(_xlfn.TEXTAFTER(Q3, ":"))</f>
        <v>ไอเทมใส่รู</v>
      </c>
      <c r="S4" s="18" t="s">
        <v>7503</v>
      </c>
      <c r="T4" s="20" t="str">
        <f>TRIM(_xlfn.TEXTAFTER(S3, ":"))</f>
        <v>可鑲嵌</v>
      </c>
    </row>
    <row r="5" spans="1:20" ht="15.95" customHeight="1" x14ac:dyDescent="0.25">
      <c r="A5" s="18" t="s">
        <v>7095</v>
      </c>
      <c r="B5" s="16" t="str">
        <f>TRIM(_xlfn.TEXTBEFORE(A4, ":"))</f>
        <v>Rarity</v>
      </c>
      <c r="C5" s="18" t="s">
        <v>7218</v>
      </c>
      <c r="D5" s="16" t="str">
        <f>TRIM(_xlfn.TEXTBEFORE(C4, ":"))</f>
        <v>Seltenheit</v>
      </c>
      <c r="E5" s="18" t="s">
        <v>7595</v>
      </c>
      <c r="F5" s="16" t="str">
        <f>TRIM(_xlfn.TEXTBEFORE(E4, ":"))</f>
        <v>Rareza</v>
      </c>
      <c r="G5" s="18" t="s">
        <v>7145</v>
      </c>
      <c r="H5" s="16" t="str">
        <f>TRIM(_xlfn.TEXTBEFORE(G4, ":"))</f>
        <v>Rareté</v>
      </c>
      <c r="I5" s="18" t="s">
        <v>7744</v>
      </c>
      <c r="J5" s="16" t="str">
        <f>TRIM(_xlfn.TEXTBEFORE(I4, ":"))</f>
        <v>レアリティ</v>
      </c>
      <c r="K5" s="18" t="s">
        <v>7667</v>
      </c>
      <c r="L5" s="16" t="str">
        <f>TRIM(_xlfn.TEXTBEFORE(K4, ":"))</f>
        <v>아이템 희귀도</v>
      </c>
      <c r="M5" s="18" t="s">
        <v>7288</v>
      </c>
      <c r="N5" s="16" t="str">
        <f>TRIM(_xlfn.TEXTBEFORE(M4, ":"))</f>
        <v>Raridade</v>
      </c>
      <c r="O5" s="18" t="s">
        <v>7361</v>
      </c>
      <c r="P5" s="16" t="str">
        <f>TRIM(_xlfn.TEXTBEFORE(O4, ":"))</f>
        <v>Редкость</v>
      </c>
      <c r="Q5" s="18" t="s">
        <v>7433</v>
      </c>
      <c r="R5" s="16" t="str">
        <f>TRIM(_xlfn.TEXTBEFORE(Q4, ":"))</f>
        <v>ความหายาก</v>
      </c>
      <c r="S5" s="18" t="s">
        <v>7504</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585</v>
      </c>
      <c r="B7" s="16"/>
      <c r="C7" s="18" t="s">
        <v>1632</v>
      </c>
      <c r="D7" s="16"/>
      <c r="E7" s="18" t="s">
        <v>2353</v>
      </c>
      <c r="F7" s="16"/>
      <c r="G7" s="18" t="s">
        <v>901</v>
      </c>
      <c r="H7" s="16"/>
      <c r="I7" s="18" t="s">
        <v>3068</v>
      </c>
      <c r="J7" s="16"/>
      <c r="K7" s="18" t="s">
        <v>3818</v>
      </c>
      <c r="L7" s="16"/>
      <c r="M7" s="18" t="s">
        <v>4546</v>
      </c>
      <c r="N7" s="16"/>
      <c r="O7" s="18" t="s">
        <v>5230</v>
      </c>
      <c r="P7" s="16"/>
      <c r="Q7" s="18" t="s">
        <v>5969</v>
      </c>
      <c r="R7" s="16"/>
      <c r="S7" s="18" t="s">
        <v>7505</v>
      </c>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7096</v>
      </c>
      <c r="B9" s="16"/>
      <c r="C9" s="18" t="s">
        <v>7219</v>
      </c>
      <c r="D9" s="16"/>
      <c r="E9" s="18" t="s">
        <v>7596</v>
      </c>
      <c r="F9" s="16"/>
      <c r="G9" s="18" t="s">
        <v>7146</v>
      </c>
      <c r="H9" s="16"/>
      <c r="I9" s="18" t="s">
        <v>7745</v>
      </c>
      <c r="J9" s="16"/>
      <c r="K9" s="18" t="s">
        <v>7668</v>
      </c>
      <c r="L9" s="16"/>
      <c r="M9" s="18" t="s">
        <v>7289</v>
      </c>
      <c r="N9" s="16"/>
      <c r="O9" s="18" t="s">
        <v>7362</v>
      </c>
      <c r="P9" s="16"/>
      <c r="Q9" s="18" t="s">
        <v>7434</v>
      </c>
      <c r="R9" s="16"/>
      <c r="S9" s="18" t="s">
        <v>7506</v>
      </c>
      <c r="T9" s="20"/>
    </row>
    <row r="10" spans="1:20" ht="15.95" customHeight="1" x14ac:dyDescent="0.25">
      <c r="A10" s="18" t="s">
        <v>7097</v>
      </c>
      <c r="B10" s="16"/>
      <c r="C10" s="18" t="s">
        <v>7220</v>
      </c>
      <c r="D10" s="16"/>
      <c r="E10" s="18" t="s">
        <v>7597</v>
      </c>
      <c r="F10" s="16"/>
      <c r="G10" s="18" t="s">
        <v>7147</v>
      </c>
      <c r="H10" s="16"/>
      <c r="I10" s="18" t="s">
        <v>7746</v>
      </c>
      <c r="J10" s="16"/>
      <c r="K10" s="18" t="s">
        <v>7669</v>
      </c>
      <c r="L10" s="16"/>
      <c r="M10" s="18" t="s">
        <v>7290</v>
      </c>
      <c r="N10" s="16"/>
      <c r="O10" s="18" t="s">
        <v>7363</v>
      </c>
      <c r="P10" s="16"/>
      <c r="Q10" s="18" t="s">
        <v>7435</v>
      </c>
      <c r="R10" s="16"/>
      <c r="S10" s="18" t="s">
        <v>7507</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7098</v>
      </c>
      <c r="B12" s="16"/>
      <c r="C12" s="18" t="s">
        <v>7221</v>
      </c>
      <c r="D12" s="16"/>
      <c r="E12" s="18" t="s">
        <v>7598</v>
      </c>
      <c r="F12" s="16"/>
      <c r="G12" s="18" t="s">
        <v>7148</v>
      </c>
      <c r="H12" s="16"/>
      <c r="I12" s="18" t="s">
        <v>7747</v>
      </c>
      <c r="J12" s="16"/>
      <c r="K12" s="18" t="s">
        <v>7670</v>
      </c>
      <c r="L12" s="16"/>
      <c r="M12" s="18" t="s">
        <v>7291</v>
      </c>
      <c r="N12" s="16"/>
      <c r="O12" s="18" t="s">
        <v>7364</v>
      </c>
      <c r="P12" s="16"/>
      <c r="Q12" s="18" t="s">
        <v>7436</v>
      </c>
      <c r="R12" s="16"/>
      <c r="S12" s="18" t="s">
        <v>7508</v>
      </c>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82" priority="2" stopIfTrue="1">
      <formula>NOT(ISERROR(A3))</formula>
    </cfRule>
  </conditionalFormatting>
  <conditionalFormatting sqref="A3:T51">
    <cfRule type="containsErrors" dxfId="81" priority="1" stopIfTrue="1">
      <formula>ISERROR(A3)</formula>
    </cfRule>
    <cfRule type="notContainsBlanks" dxfId="80" priority="3">
      <formula>LEN(TRIM(A3))&gt;0</formula>
    </cfRule>
  </conditionalFormatting>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DB56C7-49EA-4387-A5DA-86207297CCA4}">
  <sheetPr codeName="Sheet74"/>
  <dimension ref="A1:T51"/>
  <sheetViews>
    <sheetView workbookViewId="0">
      <selection activeCell="I3" sqref="I3:I1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8" t="s">
        <v>84</v>
      </c>
    </row>
    <row r="3" spans="1:20" ht="15.95" customHeight="1" x14ac:dyDescent="0.25">
      <c r="A3" s="17" t="s">
        <v>7075</v>
      </c>
      <c r="B3" s="16" t="str">
        <f>TRIM(_xlfn.TEXTBEFORE(A3, ":"))</f>
        <v>Item Class</v>
      </c>
      <c r="C3" s="17" t="s">
        <v>7222</v>
      </c>
      <c r="D3" s="16" t="str">
        <f>TRIM(_xlfn.TEXTBEFORE(C3, ":"))</f>
        <v>Gegenstandsklasse</v>
      </c>
      <c r="E3" s="17" t="s">
        <v>7599</v>
      </c>
      <c r="F3" s="16" t="str">
        <f>TRIM(_xlfn.TEXTBEFORE(E3, ":"))</f>
        <v>Clase de objeto</v>
      </c>
      <c r="G3" s="17" t="s">
        <v>7149</v>
      </c>
      <c r="H3" s="16" t="str">
        <f>TRIM(_xlfn.TEXTBEFORE(G3, ":"))</f>
        <v>Classe d'objet</v>
      </c>
      <c r="I3" s="17" t="s">
        <v>7748</v>
      </c>
      <c r="J3" s="16" t="str">
        <f>TRIM(_xlfn.TEXTBEFORE(I3, ":"))</f>
        <v>アイテムクラス</v>
      </c>
      <c r="K3" s="17" t="s">
        <v>7671</v>
      </c>
      <c r="L3" s="16" t="str">
        <f>TRIM(_xlfn.TEXTBEFORE(K3, ":"))</f>
        <v>아이템 종류</v>
      </c>
      <c r="M3" s="17" t="s">
        <v>7292</v>
      </c>
      <c r="N3" s="16" t="str">
        <f>TRIM(_xlfn.TEXTBEFORE(M3, ":"))</f>
        <v>Classe do Item</v>
      </c>
      <c r="O3" s="17" t="s">
        <v>7365</v>
      </c>
      <c r="P3" s="16" t="str">
        <f>TRIM(_xlfn.TEXTBEFORE(O3, ":"))</f>
        <v>Класс предмета</v>
      </c>
      <c r="Q3" s="17" t="s">
        <v>7437</v>
      </c>
      <c r="R3" s="16" t="str">
        <f>TRIM(_xlfn.TEXTBEFORE(Q3, ":"))</f>
        <v>ชนิดไอเทม</v>
      </c>
      <c r="S3" s="17" t="s">
        <v>7509</v>
      </c>
      <c r="T3" s="20" t="str">
        <f>TRIM(_xlfn.TEXTBEFORE(S3, ":"))</f>
        <v>物品種類</v>
      </c>
    </row>
    <row r="4" spans="1:20" ht="15.95" customHeight="1" x14ac:dyDescent="0.25">
      <c r="A4" s="18" t="s">
        <v>496</v>
      </c>
      <c r="B4" s="16" t="str">
        <f>TRIM(_xlfn.TEXTAFTER(A3, ":"))</f>
        <v>Waystones</v>
      </c>
      <c r="C4" s="18" t="s">
        <v>1652</v>
      </c>
      <c r="D4" s="16" t="str">
        <f>TRIM(_xlfn.TEXTAFTER(C3, ":"))</f>
        <v>Wegsteine</v>
      </c>
      <c r="E4" s="18" t="s">
        <v>2372</v>
      </c>
      <c r="F4" s="16" t="str">
        <f>TRIM(_xlfn.TEXTAFTER(E3, ":"))</f>
        <v>Piedras guía</v>
      </c>
      <c r="G4" s="18" t="s">
        <v>919</v>
      </c>
      <c r="H4" s="16" t="str">
        <f>TRIM(_xlfn.TEXTAFTER(G3, ":"))</f>
        <v>Pierres de téléportation</v>
      </c>
      <c r="I4" s="18" t="s">
        <v>3087</v>
      </c>
      <c r="J4" s="16" t="str">
        <f>TRIM(_xlfn.TEXTAFTER(I3, ":"))</f>
        <v>ウェイストーン</v>
      </c>
      <c r="K4" s="18" t="s">
        <v>3837</v>
      </c>
      <c r="L4" s="16" t="str">
        <f>TRIM(_xlfn.TEXTAFTER(K3, ":"))</f>
        <v>경로석</v>
      </c>
      <c r="M4" s="18" t="s">
        <v>4566</v>
      </c>
      <c r="N4" s="16" t="str">
        <f>TRIM(_xlfn.TEXTAFTER(M3, ":"))</f>
        <v>Pedras Guia</v>
      </c>
      <c r="O4" s="18" t="s">
        <v>5249</v>
      </c>
      <c r="P4" s="16" t="str">
        <f>TRIM(_xlfn.TEXTAFTER(O3, ":"))</f>
        <v>Путевые камни</v>
      </c>
      <c r="Q4" s="18" t="s">
        <v>5986</v>
      </c>
      <c r="R4" s="16" t="str">
        <f>TRIM(_xlfn.TEXTAFTER(Q3, ":"))</f>
        <v>ศิลานำทาง</v>
      </c>
      <c r="S4" s="18" t="s">
        <v>7510</v>
      </c>
      <c r="T4" s="20" t="str">
        <f>TRIM(_xlfn.TEXTAFTER(S3, ":"))</f>
        <v>換界石</v>
      </c>
    </row>
    <row r="5" spans="1:20" ht="15.95" customHeight="1" x14ac:dyDescent="0.25">
      <c r="A5" s="18" t="s">
        <v>7076</v>
      </c>
      <c r="B5" s="16" t="str">
        <f>TRIM(_xlfn.TEXTBEFORE(A4, ":"))</f>
        <v>Rarity</v>
      </c>
      <c r="C5" s="18" t="s">
        <v>7223</v>
      </c>
      <c r="D5" s="16" t="str">
        <f>TRIM(_xlfn.TEXTBEFORE(C4, ":"))</f>
        <v>Seltenheit</v>
      </c>
      <c r="E5" s="18" t="s">
        <v>7600</v>
      </c>
      <c r="F5" s="16" t="str">
        <f>TRIM(_xlfn.TEXTBEFORE(E4, ":"))</f>
        <v>Rareza</v>
      </c>
      <c r="G5" s="18" t="s">
        <v>7150</v>
      </c>
      <c r="H5" s="16" t="str">
        <f>TRIM(_xlfn.TEXTBEFORE(G4, ":"))</f>
        <v>Rareté</v>
      </c>
      <c r="I5" s="18" t="s">
        <v>7749</v>
      </c>
      <c r="J5" s="16" t="str">
        <f>TRIM(_xlfn.TEXTBEFORE(I4, ":"))</f>
        <v>レアリティ</v>
      </c>
      <c r="K5" s="18" t="s">
        <v>7672</v>
      </c>
      <c r="L5" s="16" t="str">
        <f>TRIM(_xlfn.TEXTBEFORE(K4, ":"))</f>
        <v>아이템 희귀도</v>
      </c>
      <c r="M5" s="18" t="s">
        <v>7293</v>
      </c>
      <c r="N5" s="16" t="str">
        <f>TRIM(_xlfn.TEXTBEFORE(M4, ":"))</f>
        <v>Raridade</v>
      </c>
      <c r="O5" s="18" t="s">
        <v>7366</v>
      </c>
      <c r="P5" s="16" t="str">
        <f>TRIM(_xlfn.TEXTBEFORE(O4, ":"))</f>
        <v>Редкость</v>
      </c>
      <c r="Q5" s="18" t="s">
        <v>7438</v>
      </c>
      <c r="R5" s="16" t="str">
        <f>TRIM(_xlfn.TEXTBEFORE(Q4, ":"))</f>
        <v>ความหายาก</v>
      </c>
      <c r="S5" s="18" t="s">
        <v>7511</v>
      </c>
      <c r="T5" s="20" t="str">
        <f>TRIM(_xlfn.TEXTBEFORE(S4, ":"))</f>
        <v>稀有度</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t="s">
        <v>4</v>
      </c>
      <c r="T6" s="20" t="str">
        <f>TRIM(_xlfn.TEXTAFTER(S4,":"))</f>
        <v>普通</v>
      </c>
    </row>
    <row r="7" spans="1:20" ht="15.95" customHeight="1" x14ac:dyDescent="0.25">
      <c r="A7" s="18" t="s">
        <v>7077</v>
      </c>
      <c r="B7" s="16"/>
      <c r="C7" s="18" t="s">
        <v>7224</v>
      </c>
      <c r="D7" s="16"/>
      <c r="E7" s="18" t="s">
        <v>7601</v>
      </c>
      <c r="F7" s="16"/>
      <c r="G7" s="18" t="s">
        <v>7151</v>
      </c>
      <c r="H7" s="16"/>
      <c r="I7" s="18" t="s">
        <v>7750</v>
      </c>
      <c r="J7" s="16"/>
      <c r="K7" s="18" t="s">
        <v>7673</v>
      </c>
      <c r="L7" s="16"/>
      <c r="M7" s="18" t="s">
        <v>7294</v>
      </c>
      <c r="N7" s="16"/>
      <c r="O7" s="18" t="s">
        <v>7367</v>
      </c>
      <c r="P7" s="16"/>
      <c r="Q7" s="18" t="s">
        <v>7439</v>
      </c>
      <c r="R7" s="16"/>
      <c r="S7" s="18" t="s">
        <v>7512</v>
      </c>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191</v>
      </c>
      <c r="B9" s="16"/>
      <c r="C9" s="18" t="s">
        <v>2113</v>
      </c>
      <c r="D9" s="16"/>
      <c r="E9" s="18" t="s">
        <v>2832</v>
      </c>
      <c r="F9" s="16"/>
      <c r="G9" s="18" t="s">
        <v>1369</v>
      </c>
      <c r="H9" s="16"/>
      <c r="I9" s="18" t="s">
        <v>3571</v>
      </c>
      <c r="J9" s="16"/>
      <c r="K9" s="18" t="s">
        <v>4309</v>
      </c>
      <c r="L9" s="16"/>
      <c r="M9" s="18" t="s">
        <v>4988</v>
      </c>
      <c r="N9" s="16"/>
      <c r="O9" s="18" t="s">
        <v>5726</v>
      </c>
      <c r="P9" s="16"/>
      <c r="Q9" s="18" t="s">
        <v>6376</v>
      </c>
      <c r="R9" s="16"/>
      <c r="S9" s="18" t="s">
        <v>7513</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7078</v>
      </c>
      <c r="B11" s="16"/>
      <c r="C11" s="18" t="s">
        <v>7225</v>
      </c>
      <c r="D11" s="16"/>
      <c r="E11" s="18" t="s">
        <v>7602</v>
      </c>
      <c r="F11" s="16"/>
      <c r="G11" s="18" t="s">
        <v>7152</v>
      </c>
      <c r="H11" s="16"/>
      <c r="I11" s="18" t="s">
        <v>7751</v>
      </c>
      <c r="J11" s="16"/>
      <c r="K11" s="18" t="s">
        <v>7674</v>
      </c>
      <c r="L11" s="16"/>
      <c r="M11" s="18" t="s">
        <v>7295</v>
      </c>
      <c r="N11" s="16"/>
      <c r="O11" s="18" t="s">
        <v>7368</v>
      </c>
      <c r="P11" s="16"/>
      <c r="Q11" s="18" t="s">
        <v>7440</v>
      </c>
      <c r="R11" s="16"/>
      <c r="S11" s="18" t="s">
        <v>7514</v>
      </c>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79" priority="5" stopIfTrue="1">
      <formula>NOT(ISERROR(A3))</formula>
    </cfRule>
  </conditionalFormatting>
  <conditionalFormatting sqref="A3:B12 D3:T12 A13:T51">
    <cfRule type="notContainsBlanks" dxfId="78" priority="6">
      <formula>LEN(TRIM(A3))&gt;0</formula>
    </cfRule>
  </conditionalFormatting>
  <conditionalFormatting sqref="A3:T51">
    <cfRule type="containsErrors" dxfId="77" priority="1" stopIfTrue="1">
      <formula>ISERROR(A3)</formula>
    </cfRule>
  </conditionalFormatting>
  <conditionalFormatting sqref="C3:C12">
    <cfRule type="notContainsBlanks" dxfId="76" priority="3">
      <formula>LEN(TRIM(C3))&gt;0</formula>
    </cfRule>
  </conditionalFormatting>
  <conditionalFormatting sqref="C3:C51">
    <cfRule type="notContainsErrors" dxfId="75" priority="2" stopIfTrue="1">
      <formula>NOT(ISERROR(C3))</formula>
    </cfRule>
  </conditionalFormatting>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15A725-9F15-476B-B328-9EB9BDFBD6B0}">
  <sheetPr codeName="Sheet75"/>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8" t="s">
        <v>84</v>
      </c>
    </row>
    <row r="3" spans="1:20" ht="15.95" customHeight="1" x14ac:dyDescent="0.25">
      <c r="A3" s="17" t="s">
        <v>7079</v>
      </c>
      <c r="B3" s="16" t="str">
        <f>TRIM(_xlfn.TEXTBEFORE(A3, ":"))</f>
        <v>Item Class</v>
      </c>
      <c r="C3" s="17" t="s">
        <v>7226</v>
      </c>
      <c r="D3" s="16" t="str">
        <f>TRIM(_xlfn.TEXTBEFORE(C3, ":"))</f>
        <v>Gegenstandsklasse</v>
      </c>
      <c r="E3" s="17" t="s">
        <v>7603</v>
      </c>
      <c r="F3" s="16" t="str">
        <f>TRIM(_xlfn.TEXTBEFORE(E3, ":"))</f>
        <v>Clase de objeto</v>
      </c>
      <c r="G3" s="17" t="s">
        <v>7153</v>
      </c>
      <c r="H3" s="16" t="str">
        <f>TRIM(_xlfn.TEXTBEFORE(G3, ":"))</f>
        <v>Classe d'objet</v>
      </c>
      <c r="I3" s="17" t="s">
        <v>7752</v>
      </c>
      <c r="J3" s="16" t="str">
        <f>TRIM(_xlfn.TEXTBEFORE(I3, ":"))</f>
        <v>アイテムクラス</v>
      </c>
      <c r="K3" s="17" t="s">
        <v>7675</v>
      </c>
      <c r="L3" s="16" t="str">
        <f>TRIM(_xlfn.TEXTBEFORE(K3, ":"))</f>
        <v>아이템 종류</v>
      </c>
      <c r="M3" s="17" t="s">
        <v>7296</v>
      </c>
      <c r="N3" s="16" t="str">
        <f>TRIM(_xlfn.TEXTBEFORE(M3, ":"))</f>
        <v>Classe do Item</v>
      </c>
      <c r="O3" s="17" t="s">
        <v>7369</v>
      </c>
      <c r="P3" s="16" t="str">
        <f>TRIM(_xlfn.TEXTBEFORE(O3, ":"))</f>
        <v>Класс предмета</v>
      </c>
      <c r="Q3" s="17" t="s">
        <v>7441</v>
      </c>
      <c r="R3" s="16" t="str">
        <f>TRIM(_xlfn.TEXTBEFORE(Q3, ":"))</f>
        <v>ชนิดไอเทม</v>
      </c>
      <c r="S3" s="17" t="s">
        <v>7515</v>
      </c>
      <c r="T3" s="20" t="str">
        <f>TRIM(_xlfn.TEXTBEFORE(S3, ":"))</f>
        <v>物品種類</v>
      </c>
    </row>
    <row r="4" spans="1:20" ht="15.95" customHeight="1" x14ac:dyDescent="0.25">
      <c r="A4" s="18" t="s">
        <v>553</v>
      </c>
      <c r="B4" s="16" t="str">
        <f>TRIM(_xlfn.TEXTAFTER(A3, ":"))</f>
        <v>Trial Coins</v>
      </c>
      <c r="C4" s="18" t="s">
        <v>1625</v>
      </c>
      <c r="D4" s="16" t="str">
        <f>TRIM(_xlfn.TEXTAFTER(C3, ":"))</f>
        <v>Prüfungsmünzen</v>
      </c>
      <c r="E4" s="18" t="s">
        <v>2293</v>
      </c>
      <c r="F4" s="16" t="str">
        <f>TRIM(_xlfn.TEXTAFTER(E3, ":"))</f>
        <v>Monedas de la prueba</v>
      </c>
      <c r="G4" s="18" t="s">
        <v>848</v>
      </c>
      <c r="H4" s="16" t="str">
        <f>TRIM(_xlfn.TEXTAFTER(G3, ":"))</f>
        <v>Pièces de l'Épreuve</v>
      </c>
      <c r="I4" s="18" t="s">
        <v>3061</v>
      </c>
      <c r="J4" s="16" t="str">
        <f>TRIM(_xlfn.TEXTAFTER(I3, ":"))</f>
        <v>試練のコイン</v>
      </c>
      <c r="K4" s="18" t="s">
        <v>3755</v>
      </c>
      <c r="L4" s="16" t="str">
        <f>TRIM(_xlfn.TEXTAFTER(K3, ":"))</f>
        <v>시련 주화</v>
      </c>
      <c r="M4" s="18" t="s">
        <v>4539</v>
      </c>
      <c r="N4" s="16" t="str">
        <f>TRIM(_xlfn.TEXTAFTER(M3, ":"))</f>
        <v>Moedas da Provação</v>
      </c>
      <c r="O4" s="18" t="s">
        <v>5223</v>
      </c>
      <c r="P4" s="16" t="str">
        <f>TRIM(_xlfn.TEXTAFTER(O3, ":"))</f>
        <v>Монеты Испытания</v>
      </c>
      <c r="Q4" s="18" t="s">
        <v>5911</v>
      </c>
      <c r="R4" s="16" t="str">
        <f>TRIM(_xlfn.TEXTAFTER(Q3, ":"))</f>
        <v>เหรียญบททดสอบ</v>
      </c>
      <c r="S4" s="18" t="s">
        <v>7503</v>
      </c>
      <c r="T4" s="20" t="str">
        <f>TRIM(_xlfn.TEXTAFTER(S3, ":"))</f>
        <v>試煉代幣</v>
      </c>
    </row>
    <row r="5" spans="1:20" ht="15.95" customHeight="1" x14ac:dyDescent="0.25">
      <c r="A5" s="18" t="s">
        <v>7080</v>
      </c>
      <c r="B5" s="16" t="str">
        <f>TRIM(_xlfn.TEXTBEFORE(A4, ":"))</f>
        <v>Rarity</v>
      </c>
      <c r="C5" s="18" t="s">
        <v>7227</v>
      </c>
      <c r="D5" s="16" t="str">
        <f>TRIM(_xlfn.TEXTBEFORE(C4, ":"))</f>
        <v>Seltenheit</v>
      </c>
      <c r="E5" s="18" t="s">
        <v>7604</v>
      </c>
      <c r="F5" s="16" t="str">
        <f>TRIM(_xlfn.TEXTBEFORE(E4, ":"))</f>
        <v>Rareza</v>
      </c>
      <c r="G5" s="18" t="s">
        <v>7154</v>
      </c>
      <c r="H5" s="16" t="str">
        <f>TRIM(_xlfn.TEXTBEFORE(G4, ":"))</f>
        <v>Rareté</v>
      </c>
      <c r="I5" s="18" t="s">
        <v>7753</v>
      </c>
      <c r="J5" s="16" t="str">
        <f>TRIM(_xlfn.TEXTBEFORE(I4, ":"))</f>
        <v>レアリティ</v>
      </c>
      <c r="K5" s="18" t="s">
        <v>7676</v>
      </c>
      <c r="L5" s="16" t="str">
        <f>TRIM(_xlfn.TEXTBEFORE(K4, ":"))</f>
        <v>아이템 희귀도</v>
      </c>
      <c r="M5" s="18" t="s">
        <v>7297</v>
      </c>
      <c r="N5" s="16" t="str">
        <f>TRIM(_xlfn.TEXTBEFORE(M4, ":"))</f>
        <v>Raridade</v>
      </c>
      <c r="O5" s="18" t="s">
        <v>7370</v>
      </c>
      <c r="P5" s="16" t="str">
        <f>TRIM(_xlfn.TEXTBEFORE(O4, ":"))</f>
        <v>Редкость</v>
      </c>
      <c r="Q5" s="18" t="s">
        <v>7442</v>
      </c>
      <c r="R5" s="16" t="str">
        <f>TRIM(_xlfn.TEXTBEFORE(Q4, ":"))</f>
        <v>ความหายาก</v>
      </c>
      <c r="S5" s="18" t="s">
        <v>7516</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7081</v>
      </c>
      <c r="B7" s="16"/>
      <c r="C7" s="18" t="s">
        <v>7228</v>
      </c>
      <c r="D7" s="16"/>
      <c r="E7" s="18" t="s">
        <v>7605</v>
      </c>
      <c r="F7" s="16"/>
      <c r="G7" s="18" t="s">
        <v>7155</v>
      </c>
      <c r="H7" s="16"/>
      <c r="I7" s="18" t="s">
        <v>7754</v>
      </c>
      <c r="J7" s="16"/>
      <c r="K7" s="18" t="s">
        <v>7677</v>
      </c>
      <c r="L7" s="16"/>
      <c r="M7" s="18" t="s">
        <v>7298</v>
      </c>
      <c r="N7" s="16"/>
      <c r="O7" s="18" t="s">
        <v>7371</v>
      </c>
      <c r="P7" s="16"/>
      <c r="Q7" s="18" t="s">
        <v>7443</v>
      </c>
      <c r="R7" s="16"/>
      <c r="S7" s="18" t="s">
        <v>7517</v>
      </c>
      <c r="T7" s="20"/>
    </row>
    <row r="8" spans="1:20" ht="15.95" customHeight="1" x14ac:dyDescent="0.25">
      <c r="A8" s="18" t="s">
        <v>7082</v>
      </c>
      <c r="B8" s="16"/>
      <c r="C8" s="18" t="s">
        <v>7229</v>
      </c>
      <c r="D8" s="16"/>
      <c r="E8" s="18" t="s">
        <v>7606</v>
      </c>
      <c r="F8" s="16"/>
      <c r="G8" s="18" t="s">
        <v>7156</v>
      </c>
      <c r="H8" s="16"/>
      <c r="I8" s="18" t="s">
        <v>7755</v>
      </c>
      <c r="J8" s="16"/>
      <c r="K8" s="18" t="s">
        <v>7678</v>
      </c>
      <c r="L8" s="16"/>
      <c r="M8" s="18" t="s">
        <v>7299</v>
      </c>
      <c r="N8" s="16"/>
      <c r="O8" s="18" t="s">
        <v>7372</v>
      </c>
      <c r="P8" s="16"/>
      <c r="Q8" s="18" t="s">
        <v>7444</v>
      </c>
      <c r="R8" s="16"/>
      <c r="S8" s="18" t="s">
        <v>7518</v>
      </c>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t="s">
        <v>4</v>
      </c>
      <c r="T9" s="20"/>
    </row>
    <row r="10" spans="1:20" ht="15.95" customHeight="1" x14ac:dyDescent="0.25">
      <c r="A10" s="18" t="s">
        <v>7083</v>
      </c>
      <c r="B10" s="16"/>
      <c r="C10" s="18" t="s">
        <v>7230</v>
      </c>
      <c r="D10" s="16"/>
      <c r="E10" s="18" t="s">
        <v>7607</v>
      </c>
      <c r="F10" s="16"/>
      <c r="G10" s="18" t="s">
        <v>7157</v>
      </c>
      <c r="H10" s="16"/>
      <c r="I10" s="18" t="s">
        <v>7756</v>
      </c>
      <c r="J10" s="16"/>
      <c r="K10" s="18" t="s">
        <v>7679</v>
      </c>
      <c r="L10" s="16"/>
      <c r="M10" s="18" t="s">
        <v>7300</v>
      </c>
      <c r="N10" s="16"/>
      <c r="O10" s="18" t="s">
        <v>7373</v>
      </c>
      <c r="P10" s="16"/>
      <c r="Q10" s="18" t="s">
        <v>7445</v>
      </c>
      <c r="R10" s="16"/>
      <c r="S10" s="18" t="s">
        <v>7519</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7084</v>
      </c>
      <c r="B12" s="16"/>
      <c r="C12" s="18" t="s">
        <v>7231</v>
      </c>
      <c r="D12" s="16"/>
      <c r="E12" s="18" t="s">
        <v>7608</v>
      </c>
      <c r="F12" s="16"/>
      <c r="G12" s="18" t="s">
        <v>7158</v>
      </c>
      <c r="H12" s="16"/>
      <c r="I12" s="18" t="s">
        <v>7757</v>
      </c>
      <c r="J12" s="16"/>
      <c r="K12" s="18" t="s">
        <v>7680</v>
      </c>
      <c r="L12" s="16"/>
      <c r="M12" s="18" t="s">
        <v>7301</v>
      </c>
      <c r="N12" s="16"/>
      <c r="O12" s="18" t="s">
        <v>7374</v>
      </c>
      <c r="P12" s="16"/>
      <c r="Q12" s="18" t="s">
        <v>7446</v>
      </c>
      <c r="R12" s="16"/>
      <c r="S12" s="18" t="s">
        <v>7520</v>
      </c>
      <c r="T12" s="20"/>
    </row>
    <row r="13" spans="1:20" ht="15.95" customHeight="1" x14ac:dyDescent="0.25">
      <c r="A13" s="18" t="s">
        <v>4</v>
      </c>
      <c r="B13" s="16"/>
      <c r="C13" s="18" t="s">
        <v>4</v>
      </c>
      <c r="D13" s="16"/>
      <c r="E13" s="18" t="s">
        <v>4</v>
      </c>
      <c r="F13" s="16"/>
      <c r="G13" s="18" t="s">
        <v>7159</v>
      </c>
      <c r="H13" s="16"/>
      <c r="I13" s="18" t="s">
        <v>7758</v>
      </c>
      <c r="J13" s="16"/>
      <c r="K13" s="18" t="s">
        <v>4</v>
      </c>
      <c r="L13" s="16"/>
      <c r="M13" s="18" t="s">
        <v>4</v>
      </c>
      <c r="N13" s="16"/>
      <c r="O13" s="18" t="s">
        <v>7375</v>
      </c>
      <c r="P13" s="16"/>
      <c r="Q13" s="18" t="s">
        <v>4</v>
      </c>
      <c r="R13" s="16"/>
      <c r="S13" s="18" t="s">
        <v>7521</v>
      </c>
      <c r="T13" s="20"/>
    </row>
    <row r="14" spans="1:20" ht="15.95" customHeight="1" x14ac:dyDescent="0.25">
      <c r="A14" s="18" t="s">
        <v>7085</v>
      </c>
      <c r="B14" s="16"/>
      <c r="C14" s="18" t="s">
        <v>7232</v>
      </c>
      <c r="D14" s="16"/>
      <c r="E14" s="18" t="s">
        <v>7609</v>
      </c>
      <c r="F14" s="16"/>
      <c r="G14" s="18" t="s">
        <v>4</v>
      </c>
      <c r="H14" s="16"/>
      <c r="I14" s="18" t="s">
        <v>4</v>
      </c>
      <c r="J14" s="16"/>
      <c r="K14" s="18" t="s">
        <v>7681</v>
      </c>
      <c r="L14" s="16"/>
      <c r="M14" s="18" t="s">
        <v>7302</v>
      </c>
      <c r="N14" s="16"/>
      <c r="O14" s="18" t="s">
        <v>4</v>
      </c>
      <c r="P14" s="16"/>
      <c r="Q14" s="18" t="s">
        <v>7447</v>
      </c>
      <c r="R14" s="16"/>
      <c r="S14" s="18" t="s">
        <v>4</v>
      </c>
      <c r="T14" s="20"/>
    </row>
    <row r="15" spans="1:20" ht="15.95" customHeight="1" x14ac:dyDescent="0.25">
      <c r="A15" s="18"/>
      <c r="B15" s="16"/>
      <c r="C15" s="18"/>
      <c r="D15" s="16"/>
      <c r="E15" s="18"/>
      <c r="F15" s="16"/>
      <c r="G15" s="18" t="s">
        <v>7160</v>
      </c>
      <c r="H15" s="16"/>
      <c r="I15" s="18" t="s">
        <v>7759</v>
      </c>
      <c r="J15" s="16"/>
      <c r="K15" s="18"/>
      <c r="L15" s="16"/>
      <c r="M15" s="18"/>
      <c r="N15" s="16"/>
      <c r="O15" s="18" t="s">
        <v>7376</v>
      </c>
      <c r="P15" s="16"/>
      <c r="Q15" s="18"/>
      <c r="R15" s="16"/>
      <c r="S15" s="18" t="s">
        <v>7522</v>
      </c>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74" priority="5" stopIfTrue="1">
      <formula>NOT(ISERROR(A3))</formula>
    </cfRule>
  </conditionalFormatting>
  <conditionalFormatting sqref="A3:B12 D3:T12 A13:T51">
    <cfRule type="notContainsBlanks" dxfId="73" priority="6">
      <formula>LEN(TRIM(A3))&gt;0</formula>
    </cfRule>
  </conditionalFormatting>
  <conditionalFormatting sqref="A3:T51">
    <cfRule type="containsErrors" dxfId="72" priority="1" stopIfTrue="1">
      <formula>ISERROR(A3)</formula>
    </cfRule>
  </conditionalFormatting>
  <conditionalFormatting sqref="C3:C12">
    <cfRule type="notContainsBlanks" dxfId="71" priority="3">
      <formula>LEN(TRIM(C3))&gt;0</formula>
    </cfRule>
  </conditionalFormatting>
  <conditionalFormatting sqref="C3:C51">
    <cfRule type="notContainsErrors" dxfId="70" priority="2" stopIfTrue="1">
      <formula>NOT(ISERROR(C3))</formula>
    </cfRule>
  </conditionalFormatting>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CA0B81-82C8-497F-9C2E-BBB0645D2B86}">
  <sheetPr codeName="Sheet76"/>
  <dimension ref="A1:T51"/>
  <sheetViews>
    <sheetView workbookViewId="0">
      <selection activeCell="I3" sqref="I3:I1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8" t="s">
        <v>84</v>
      </c>
    </row>
    <row r="3" spans="1:20" ht="15.95" customHeight="1" x14ac:dyDescent="0.25">
      <c r="A3" s="17" t="s">
        <v>7086</v>
      </c>
      <c r="B3" s="16" t="str">
        <f>TRIM(_xlfn.TEXTBEFORE(A3, ":"))</f>
        <v>Item Class</v>
      </c>
      <c r="C3" s="17" t="s">
        <v>7233</v>
      </c>
      <c r="D3" s="16" t="str">
        <f>TRIM(_xlfn.TEXTBEFORE(C3, ":"))</f>
        <v>Gegenstandsklasse</v>
      </c>
      <c r="E3" s="17" t="s">
        <v>7610</v>
      </c>
      <c r="F3" s="16" t="str">
        <f>TRIM(_xlfn.TEXTBEFORE(E3, ":"))</f>
        <v>Clase de objeto</v>
      </c>
      <c r="G3" s="17" t="s">
        <v>7161</v>
      </c>
      <c r="H3" s="16" t="str">
        <f>TRIM(_xlfn.TEXTBEFORE(G3, ":"))</f>
        <v>Classe d'objet</v>
      </c>
      <c r="I3" s="17" t="s">
        <v>7760</v>
      </c>
      <c r="J3" s="16" t="str">
        <f>TRIM(_xlfn.TEXTBEFORE(I3, ":"))</f>
        <v>アイテムクラス</v>
      </c>
      <c r="K3" s="17" t="s">
        <v>7682</v>
      </c>
      <c r="L3" s="16" t="str">
        <f>TRIM(_xlfn.TEXTBEFORE(K3, ":"))</f>
        <v>아이템 종류</v>
      </c>
      <c r="M3" s="17" t="s">
        <v>7303</v>
      </c>
      <c r="N3" s="16" t="str">
        <f>TRIM(_xlfn.TEXTBEFORE(M3, ":"))</f>
        <v>Classe do Item</v>
      </c>
      <c r="O3" s="17" t="s">
        <v>7377</v>
      </c>
      <c r="P3" s="16" t="str">
        <f>TRIM(_xlfn.TEXTBEFORE(O3, ":"))</f>
        <v>Класс предмета</v>
      </c>
      <c r="Q3" s="17" t="s">
        <v>7448</v>
      </c>
      <c r="R3" s="16" t="str">
        <f>TRIM(_xlfn.TEXTBEFORE(Q3, ":"))</f>
        <v>ชนิดไอเทม</v>
      </c>
      <c r="S3" s="17" t="s">
        <v>7523</v>
      </c>
      <c r="T3" s="20" t="str">
        <f>TRIM(_xlfn.TEXTBEFORE(S3, ":"))</f>
        <v>物品種類</v>
      </c>
    </row>
    <row r="4" spans="1:20" ht="15.95" customHeight="1" x14ac:dyDescent="0.25">
      <c r="A4" s="18" t="s">
        <v>553</v>
      </c>
      <c r="B4" s="16" t="str">
        <f>TRIM(_xlfn.TEXTAFTER(A3, ":"))</f>
        <v>Inscribed Ultimatum</v>
      </c>
      <c r="C4" s="18" t="s">
        <v>1625</v>
      </c>
      <c r="D4" s="16" t="str">
        <f>TRIM(_xlfn.TEXTAFTER(C3, ":"))</f>
        <v>Inschrift des Ultimatums</v>
      </c>
      <c r="E4" s="18" t="s">
        <v>2293</v>
      </c>
      <c r="F4" s="16" t="str">
        <f>TRIM(_xlfn.TEXTAFTER(E3, ":"))</f>
        <v>Ultimátum inscrito</v>
      </c>
      <c r="G4" s="18" t="s">
        <v>848</v>
      </c>
      <c r="H4" s="16" t="str">
        <f>TRIM(_xlfn.TEXTAFTER(G3, ":"))</f>
        <v>Ultimatum gravé</v>
      </c>
      <c r="I4" s="18" t="s">
        <v>3061</v>
      </c>
      <c r="J4" s="16" t="str">
        <f>TRIM(_xlfn.TEXTAFTER(I3, ":"))</f>
        <v>刻印されたアルティメイタム</v>
      </c>
      <c r="K4" s="18" t="s">
        <v>3755</v>
      </c>
      <c r="L4" s="16" t="str">
        <f>TRIM(_xlfn.TEXTAFTER(K3, ":"))</f>
        <v>새겨진 결전</v>
      </c>
      <c r="M4" s="18" t="s">
        <v>4539</v>
      </c>
      <c r="N4" s="16" t="str">
        <f>TRIM(_xlfn.TEXTAFTER(M3, ":"))</f>
        <v>Ultimato Talhado</v>
      </c>
      <c r="O4" s="18" t="s">
        <v>5223</v>
      </c>
      <c r="P4" s="16" t="str">
        <f>TRIM(_xlfn.TEXTAFTER(O3, ":"))</f>
        <v>Начертанные Ультиматумы</v>
      </c>
      <c r="Q4" s="18" t="s">
        <v>5911</v>
      </c>
      <c r="R4" s="16" t="str">
        <f>TRIM(_xlfn.TEXTAFTER(Q3, ":"))</f>
        <v>คำขาดจารึก</v>
      </c>
      <c r="S4" s="18" t="s">
        <v>7503</v>
      </c>
      <c r="T4" s="20" t="str">
        <f>TRIM(_xlfn.TEXTAFTER(S3, ":"))</f>
        <v>最後通牒雕刻</v>
      </c>
    </row>
    <row r="5" spans="1:20" ht="15.95" customHeight="1" x14ac:dyDescent="0.25">
      <c r="A5" s="18" t="s">
        <v>7087</v>
      </c>
      <c r="B5" s="16" t="str">
        <f>TRIM(_xlfn.TEXTBEFORE(A4, ":"))</f>
        <v>Rarity</v>
      </c>
      <c r="C5" s="18" t="s">
        <v>7234</v>
      </c>
      <c r="D5" s="16" t="str">
        <f>TRIM(_xlfn.TEXTBEFORE(C4, ":"))</f>
        <v>Seltenheit</v>
      </c>
      <c r="E5" s="18" t="s">
        <v>7611</v>
      </c>
      <c r="F5" s="16" t="str">
        <f>TRIM(_xlfn.TEXTBEFORE(E4, ":"))</f>
        <v>Rareza</v>
      </c>
      <c r="G5" s="18" t="s">
        <v>7162</v>
      </c>
      <c r="H5" s="16" t="str">
        <f>TRIM(_xlfn.TEXTBEFORE(G4, ":"))</f>
        <v>Rareté</v>
      </c>
      <c r="I5" s="18" t="s">
        <v>7761</v>
      </c>
      <c r="J5" s="16" t="str">
        <f>TRIM(_xlfn.TEXTBEFORE(I4, ":"))</f>
        <v>レアリティ</v>
      </c>
      <c r="K5" s="18" t="s">
        <v>7683</v>
      </c>
      <c r="L5" s="16" t="str">
        <f>TRIM(_xlfn.TEXTBEFORE(K4, ":"))</f>
        <v>아이템 희귀도</v>
      </c>
      <c r="M5" s="18" t="s">
        <v>7304</v>
      </c>
      <c r="N5" s="16" t="str">
        <f>TRIM(_xlfn.TEXTBEFORE(M4, ":"))</f>
        <v>Raridade</v>
      </c>
      <c r="O5" s="18" t="s">
        <v>7087</v>
      </c>
      <c r="P5" s="16" t="str">
        <f>TRIM(_xlfn.TEXTBEFORE(O4, ":"))</f>
        <v>Редкость</v>
      </c>
      <c r="Q5" s="18" t="s">
        <v>7449</v>
      </c>
      <c r="R5" s="16" t="str">
        <f>TRIM(_xlfn.TEXTBEFORE(Q4, ":"))</f>
        <v>ความหายาก</v>
      </c>
      <c r="S5" s="18" t="s">
        <v>7524</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7088</v>
      </c>
      <c r="B7" s="16"/>
      <c r="C7" s="18" t="s">
        <v>7235</v>
      </c>
      <c r="D7" s="16"/>
      <c r="E7" s="18" t="s">
        <v>7612</v>
      </c>
      <c r="F7" s="16"/>
      <c r="G7" s="18" t="s">
        <v>7163</v>
      </c>
      <c r="H7" s="16"/>
      <c r="I7" s="18" t="s">
        <v>7762</v>
      </c>
      <c r="J7" s="16"/>
      <c r="K7" s="18" t="s">
        <v>7684</v>
      </c>
      <c r="L7" s="16"/>
      <c r="M7" s="18" t="s">
        <v>7305</v>
      </c>
      <c r="N7" s="16"/>
      <c r="O7" s="18" t="s">
        <v>7378</v>
      </c>
      <c r="P7" s="16"/>
      <c r="Q7" s="18" t="s">
        <v>7450</v>
      </c>
      <c r="R7" s="16"/>
      <c r="S7" s="18" t="s">
        <v>7525</v>
      </c>
      <c r="T7" s="20"/>
    </row>
    <row r="8" spans="1:20" ht="15.95" customHeight="1" x14ac:dyDescent="0.25">
      <c r="A8" s="18" t="s">
        <v>7089</v>
      </c>
      <c r="B8" s="16"/>
      <c r="C8" s="18" t="s">
        <v>7236</v>
      </c>
      <c r="D8" s="16"/>
      <c r="E8" s="18" t="s">
        <v>7613</v>
      </c>
      <c r="F8" s="16"/>
      <c r="G8" s="18" t="s">
        <v>7164</v>
      </c>
      <c r="H8" s="16"/>
      <c r="I8" s="18" t="s">
        <v>7763</v>
      </c>
      <c r="J8" s="16"/>
      <c r="K8" s="18" t="s">
        <v>7685</v>
      </c>
      <c r="L8" s="16"/>
      <c r="M8" s="18" t="s">
        <v>7306</v>
      </c>
      <c r="N8" s="16"/>
      <c r="O8" s="18" t="s">
        <v>7379</v>
      </c>
      <c r="P8" s="16"/>
      <c r="Q8" s="18" t="s">
        <v>7451</v>
      </c>
      <c r="R8" s="16"/>
      <c r="S8" s="18" t="s">
        <v>7526</v>
      </c>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t="s">
        <v>4</v>
      </c>
      <c r="T9" s="20"/>
    </row>
    <row r="10" spans="1:20" ht="15.95" customHeight="1" x14ac:dyDescent="0.25">
      <c r="A10" s="18" t="s">
        <v>639</v>
      </c>
      <c r="B10" s="16"/>
      <c r="C10" s="18" t="s">
        <v>1757</v>
      </c>
      <c r="D10" s="16"/>
      <c r="E10" s="18" t="s">
        <v>2476</v>
      </c>
      <c r="F10" s="16"/>
      <c r="G10" s="18" t="s">
        <v>1025</v>
      </c>
      <c r="H10" s="16"/>
      <c r="I10" s="18" t="s">
        <v>3194</v>
      </c>
      <c r="J10" s="16"/>
      <c r="K10" s="18" t="s">
        <v>3941</v>
      </c>
      <c r="L10" s="16"/>
      <c r="M10" s="18" t="s">
        <v>4670</v>
      </c>
      <c r="N10" s="16"/>
      <c r="O10" s="18" t="s">
        <v>5355</v>
      </c>
      <c r="P10" s="16"/>
      <c r="Q10" s="18" t="s">
        <v>6084</v>
      </c>
      <c r="R10" s="16"/>
      <c r="S10" s="18" t="s">
        <v>7527</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7090</v>
      </c>
      <c r="B12" s="16"/>
      <c r="C12" s="18" t="s">
        <v>7237</v>
      </c>
      <c r="D12" s="16"/>
      <c r="E12" s="18" t="s">
        <v>7614</v>
      </c>
      <c r="F12" s="16"/>
      <c r="G12" s="18" t="s">
        <v>7165</v>
      </c>
      <c r="H12" s="16"/>
      <c r="I12" s="18" t="s">
        <v>7764</v>
      </c>
      <c r="J12" s="16"/>
      <c r="K12" s="18" t="s">
        <v>7686</v>
      </c>
      <c r="L12" s="16"/>
      <c r="M12" s="18" t="s">
        <v>7307</v>
      </c>
      <c r="N12" s="16"/>
      <c r="O12" s="18" t="s">
        <v>7380</v>
      </c>
      <c r="P12" s="16"/>
      <c r="Q12" s="18" t="s">
        <v>7452</v>
      </c>
      <c r="R12" s="16"/>
      <c r="S12" s="18" t="s">
        <v>7528</v>
      </c>
      <c r="T12" s="20"/>
    </row>
    <row r="13" spans="1:20" ht="15.95" customHeight="1" x14ac:dyDescent="0.25">
      <c r="A13" s="18" t="s">
        <v>7091</v>
      </c>
      <c r="B13" s="16"/>
      <c r="C13" s="18" t="s">
        <v>4</v>
      </c>
      <c r="D13" s="16"/>
      <c r="E13" s="18" t="s">
        <v>7615</v>
      </c>
      <c r="F13" s="16"/>
      <c r="G13" s="18" t="s">
        <v>7166</v>
      </c>
      <c r="H13" s="16"/>
      <c r="I13" s="18" t="s">
        <v>7765</v>
      </c>
      <c r="J13" s="16"/>
      <c r="K13" s="18" t="s">
        <v>7687</v>
      </c>
      <c r="L13" s="16"/>
      <c r="M13" s="18" t="s">
        <v>4</v>
      </c>
      <c r="N13" s="16"/>
      <c r="O13" s="18" t="s">
        <v>7381</v>
      </c>
      <c r="P13" s="16"/>
      <c r="Q13" s="18" t="s">
        <v>7453</v>
      </c>
      <c r="R13" s="16"/>
      <c r="S13" s="18" t="s">
        <v>7529</v>
      </c>
      <c r="T13" s="20"/>
    </row>
    <row r="14" spans="1:20" ht="15.95" customHeight="1" x14ac:dyDescent="0.25">
      <c r="A14" s="18" t="s">
        <v>7092</v>
      </c>
      <c r="B14" s="16"/>
      <c r="C14" s="18" t="s">
        <v>7238</v>
      </c>
      <c r="D14" s="16"/>
      <c r="E14" s="18" t="s">
        <v>7616</v>
      </c>
      <c r="F14" s="16"/>
      <c r="G14" s="18" t="s">
        <v>7167</v>
      </c>
      <c r="H14" s="16"/>
      <c r="I14" s="18" t="s">
        <v>7766</v>
      </c>
      <c r="J14" s="16"/>
      <c r="K14" s="18" t="s">
        <v>7688</v>
      </c>
      <c r="L14" s="16"/>
      <c r="M14" s="18" t="s">
        <v>7308</v>
      </c>
      <c r="N14" s="16"/>
      <c r="O14" s="18" t="s">
        <v>7382</v>
      </c>
      <c r="P14" s="16"/>
      <c r="Q14" s="18" t="s">
        <v>7454</v>
      </c>
      <c r="R14" s="16"/>
      <c r="S14" s="18" t="s">
        <v>7530</v>
      </c>
      <c r="T14" s="20"/>
    </row>
    <row r="15" spans="1:20" ht="15.95" customHeight="1" x14ac:dyDescent="0.25">
      <c r="A15" s="18" t="s">
        <v>4</v>
      </c>
      <c r="B15" s="16"/>
      <c r="C15" s="18"/>
      <c r="D15" s="16"/>
      <c r="E15" s="18" t="s">
        <v>4</v>
      </c>
      <c r="F15" s="16"/>
      <c r="G15" s="18" t="s">
        <v>4</v>
      </c>
      <c r="H15" s="16"/>
      <c r="I15" s="18"/>
      <c r="J15" s="16"/>
      <c r="K15" s="18" t="s">
        <v>4</v>
      </c>
      <c r="L15" s="16"/>
      <c r="M15" s="18"/>
      <c r="N15" s="16"/>
      <c r="O15" s="18" t="s">
        <v>4</v>
      </c>
      <c r="P15" s="16"/>
      <c r="Q15" s="18" t="s">
        <v>4</v>
      </c>
      <c r="R15" s="16"/>
      <c r="S15" s="18" t="s">
        <v>4</v>
      </c>
      <c r="T15" s="20"/>
    </row>
    <row r="16" spans="1:20" ht="15.95" customHeight="1" x14ac:dyDescent="0.25">
      <c r="A16" s="18" t="s">
        <v>7093</v>
      </c>
      <c r="B16" s="16"/>
      <c r="C16" s="18"/>
      <c r="D16" s="16"/>
      <c r="E16" s="18" t="s">
        <v>7617</v>
      </c>
      <c r="F16" s="16"/>
      <c r="G16" s="18" t="s">
        <v>7168</v>
      </c>
      <c r="H16" s="16"/>
      <c r="I16" s="18" t="s">
        <v>4</v>
      </c>
      <c r="J16" s="16"/>
      <c r="K16" s="18" t="s">
        <v>7689</v>
      </c>
      <c r="L16" s="16"/>
      <c r="M16" s="18"/>
      <c r="N16" s="16"/>
      <c r="O16" s="18" t="s">
        <v>7383</v>
      </c>
      <c r="P16" s="16"/>
      <c r="Q16" s="18" t="s">
        <v>7455</v>
      </c>
      <c r="R16" s="16"/>
      <c r="S16" s="18" t="s">
        <v>7531</v>
      </c>
      <c r="T16" s="20"/>
    </row>
    <row r="17" spans="1:20" ht="15.95" customHeight="1" x14ac:dyDescent="0.25">
      <c r="A17" s="18"/>
      <c r="B17" s="16"/>
      <c r="C17" s="18"/>
      <c r="D17" s="16"/>
      <c r="E17" s="18"/>
      <c r="F17" s="16"/>
      <c r="G17" s="18"/>
      <c r="H17" s="16"/>
      <c r="I17" s="18" t="s">
        <v>7767</v>
      </c>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69" priority="5" stopIfTrue="1">
      <formula>NOT(ISERROR(A3))</formula>
    </cfRule>
  </conditionalFormatting>
  <conditionalFormatting sqref="A3:B12 D3:T12 A13:T51">
    <cfRule type="notContainsBlanks" dxfId="68" priority="6">
      <formula>LEN(TRIM(A3))&gt;0</formula>
    </cfRule>
  </conditionalFormatting>
  <conditionalFormatting sqref="A3:T51">
    <cfRule type="containsErrors" dxfId="67" priority="1" stopIfTrue="1">
      <formula>ISERROR(A3)</formula>
    </cfRule>
  </conditionalFormatting>
  <conditionalFormatting sqref="C3:C12">
    <cfRule type="notContainsBlanks" dxfId="66" priority="3">
      <formula>LEN(TRIM(C3))&gt;0</formula>
    </cfRule>
  </conditionalFormatting>
  <conditionalFormatting sqref="C3:C51">
    <cfRule type="notContainsErrors" dxfId="65" priority="2" stopIfTrue="1">
      <formula>NOT(ISERROR(C3))</formula>
    </cfRule>
  </conditionalFormatting>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5351BD-CAE8-45AA-B7FB-798B2016CB9D}">
  <sheetPr codeName="Sheet77"/>
  <dimension ref="A1:T51"/>
  <sheetViews>
    <sheetView workbookViewId="0">
      <selection activeCell="I3" sqref="I3:I1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8" t="s">
        <v>84</v>
      </c>
    </row>
    <row r="3" spans="1:20" ht="15.95" customHeight="1" x14ac:dyDescent="0.25">
      <c r="A3" s="17" t="s">
        <v>7099</v>
      </c>
      <c r="B3" s="16" t="str">
        <f>TRIM(_xlfn.TEXTBEFORE(A3, ":"))</f>
        <v>Item Class</v>
      </c>
      <c r="C3" s="17" t="s">
        <v>7239</v>
      </c>
      <c r="D3" s="16" t="str">
        <f>TRIM(_xlfn.TEXTBEFORE(C3, ":"))</f>
        <v>Gegenstandsklasse</v>
      </c>
      <c r="E3" s="17" t="s">
        <v>7618</v>
      </c>
      <c r="F3" s="16" t="str">
        <f>TRIM(_xlfn.TEXTBEFORE(E3, ":"))</f>
        <v>Clase de objeto</v>
      </c>
      <c r="G3" s="17" t="s">
        <v>7169</v>
      </c>
      <c r="H3" s="16" t="str">
        <f>TRIM(_xlfn.TEXTBEFORE(G3, ":"))</f>
        <v>Classe d'objet</v>
      </c>
      <c r="I3" s="17" t="s">
        <v>7768</v>
      </c>
      <c r="J3" s="16" t="str">
        <f>TRIM(_xlfn.TEXTBEFORE(I3, ":"))</f>
        <v>アイテムクラス</v>
      </c>
      <c r="K3" s="17" t="s">
        <v>7690</v>
      </c>
      <c r="L3" s="16" t="str">
        <f>TRIM(_xlfn.TEXTBEFORE(K3, ":"))</f>
        <v>아이템 종류</v>
      </c>
      <c r="M3" s="17" t="s">
        <v>7309</v>
      </c>
      <c r="N3" s="16" t="str">
        <f>TRIM(_xlfn.TEXTBEFORE(M3, ":"))</f>
        <v>Classe do Item</v>
      </c>
      <c r="O3" s="17" t="s">
        <v>7384</v>
      </c>
      <c r="P3" s="16" t="str">
        <f>TRIM(_xlfn.TEXTBEFORE(O3, ":"))</f>
        <v>Класс предмета</v>
      </c>
      <c r="Q3" s="17" t="s">
        <v>7456</v>
      </c>
      <c r="R3" s="16" t="str">
        <f>TRIM(_xlfn.TEXTBEFORE(Q3, ":"))</f>
        <v>ชนิดไอเทม</v>
      </c>
      <c r="S3" s="17" t="s">
        <v>7532</v>
      </c>
      <c r="T3" s="20" t="str">
        <f>TRIM(_xlfn.TEXTBEFORE(S3, ":"))</f>
        <v>物品種類</v>
      </c>
    </row>
    <row r="4" spans="1:20" ht="15.95" customHeight="1" x14ac:dyDescent="0.25">
      <c r="A4" s="18" t="s">
        <v>496</v>
      </c>
      <c r="B4" s="16" t="str">
        <f>TRIM(_xlfn.TEXTAFTER(A3, ":"))</f>
        <v>Tablet</v>
      </c>
      <c r="C4" s="18" t="s">
        <v>1652</v>
      </c>
      <c r="D4" s="16" t="str">
        <f>TRIM(_xlfn.TEXTAFTER(C3, ":"))</f>
        <v>Tafel</v>
      </c>
      <c r="E4" s="18" t="s">
        <v>2372</v>
      </c>
      <c r="F4" s="16" t="str">
        <f>TRIM(_xlfn.TEXTAFTER(E3, ":"))</f>
        <v>Tablilla</v>
      </c>
      <c r="G4" s="18" t="s">
        <v>919</v>
      </c>
      <c r="H4" s="16" t="str">
        <f>TRIM(_xlfn.TEXTAFTER(G3, ":"))</f>
        <v>Tablette</v>
      </c>
      <c r="I4" s="18" t="s">
        <v>3087</v>
      </c>
      <c r="J4" s="16" t="str">
        <f>TRIM(_xlfn.TEXTAFTER(I3, ":"))</f>
        <v>石板</v>
      </c>
      <c r="K4" s="18" t="s">
        <v>3837</v>
      </c>
      <c r="L4" s="16" t="str">
        <f>TRIM(_xlfn.TEXTAFTER(K3, ":"))</f>
        <v>서판</v>
      </c>
      <c r="M4" s="18" t="s">
        <v>4566</v>
      </c>
      <c r="N4" s="16" t="str">
        <f>TRIM(_xlfn.TEXTAFTER(M3, ":"))</f>
        <v>Tábua</v>
      </c>
      <c r="O4" s="18" t="s">
        <v>5249</v>
      </c>
      <c r="P4" s="16" t="str">
        <f>TRIM(_xlfn.TEXTAFTER(O3, ":"))</f>
        <v>Плитки</v>
      </c>
      <c r="Q4" s="18" t="s">
        <v>5986</v>
      </c>
      <c r="R4" s="16" t="str">
        <f>TRIM(_xlfn.TEXTAFTER(Q3, ":"))</f>
        <v>แผ่นหิน</v>
      </c>
      <c r="S4" s="18" t="s">
        <v>7510</v>
      </c>
      <c r="T4" s="20" t="str">
        <f>TRIM(_xlfn.TEXTAFTER(S3, ":"))</f>
        <v>面板</v>
      </c>
    </row>
    <row r="5" spans="1:20" ht="15.95" customHeight="1" x14ac:dyDescent="0.25">
      <c r="A5" s="18" t="s">
        <v>7100</v>
      </c>
      <c r="B5" s="16" t="str">
        <f>TRIM(_xlfn.TEXTBEFORE(A4, ":"))</f>
        <v>Rarity</v>
      </c>
      <c r="C5" s="18" t="s">
        <v>7240</v>
      </c>
      <c r="D5" s="16" t="str">
        <f>TRIM(_xlfn.TEXTBEFORE(C4, ":"))</f>
        <v>Seltenheit</v>
      </c>
      <c r="E5" s="18" t="s">
        <v>7619</v>
      </c>
      <c r="F5" s="16" t="str">
        <f>TRIM(_xlfn.TEXTBEFORE(E4, ":"))</f>
        <v>Rareza</v>
      </c>
      <c r="G5" s="18" t="s">
        <v>7170</v>
      </c>
      <c r="H5" s="16" t="str">
        <f>TRIM(_xlfn.TEXTBEFORE(G4, ":"))</f>
        <v>Rareté</v>
      </c>
      <c r="I5" s="18" t="s">
        <v>7769</v>
      </c>
      <c r="J5" s="16" t="str">
        <f>TRIM(_xlfn.TEXTBEFORE(I4, ":"))</f>
        <v>レアリティ</v>
      </c>
      <c r="K5" s="18" t="s">
        <v>7691</v>
      </c>
      <c r="L5" s="16" t="str">
        <f>TRIM(_xlfn.TEXTBEFORE(K4, ":"))</f>
        <v>아이템 희귀도</v>
      </c>
      <c r="M5" s="18" t="s">
        <v>7310</v>
      </c>
      <c r="N5" s="16" t="str">
        <f>TRIM(_xlfn.TEXTBEFORE(M4, ":"))</f>
        <v>Raridade</v>
      </c>
      <c r="O5" s="18" t="s">
        <v>7385</v>
      </c>
      <c r="P5" s="16" t="str">
        <f>TRIM(_xlfn.TEXTBEFORE(O4, ":"))</f>
        <v>Редкость</v>
      </c>
      <c r="Q5" s="18" t="s">
        <v>7457</v>
      </c>
      <c r="R5" s="16" t="str">
        <f>TRIM(_xlfn.TEXTBEFORE(Q4, ":"))</f>
        <v>ความหายาก</v>
      </c>
      <c r="S5" s="18" t="s">
        <v>7533</v>
      </c>
      <c r="T5" s="20" t="str">
        <f>TRIM(_xlfn.TEXTBEFORE(S4, ":"))</f>
        <v>稀有度</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t="s">
        <v>4</v>
      </c>
      <c r="T6" s="20" t="str">
        <f>TRIM(_xlfn.TEXTAFTER(S4,":"))</f>
        <v>普通</v>
      </c>
    </row>
    <row r="7" spans="1:20" ht="15.95" customHeight="1" x14ac:dyDescent="0.25">
      <c r="A7" s="18" t="s">
        <v>624</v>
      </c>
      <c r="B7" s="16"/>
      <c r="C7" s="18" t="s">
        <v>1772</v>
      </c>
      <c r="D7" s="16"/>
      <c r="E7" s="18" t="s">
        <v>2491</v>
      </c>
      <c r="F7" s="16"/>
      <c r="G7" s="18" t="s">
        <v>1040</v>
      </c>
      <c r="H7" s="16"/>
      <c r="I7" s="18" t="s">
        <v>3210</v>
      </c>
      <c r="J7" s="16"/>
      <c r="K7" s="18" t="s">
        <v>3956</v>
      </c>
      <c r="L7" s="16"/>
      <c r="M7" s="18" t="s">
        <v>4685</v>
      </c>
      <c r="N7" s="16"/>
      <c r="O7" s="18" t="s">
        <v>5370</v>
      </c>
      <c r="P7" s="16"/>
      <c r="Q7" s="18" t="s">
        <v>6096</v>
      </c>
      <c r="R7" s="16"/>
      <c r="S7" s="18" t="s">
        <v>7534</v>
      </c>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7101</v>
      </c>
      <c r="B9" s="16"/>
      <c r="C9" s="18" t="s">
        <v>7241</v>
      </c>
      <c r="D9" s="16"/>
      <c r="E9" s="18" t="s">
        <v>7620</v>
      </c>
      <c r="F9" s="16"/>
      <c r="G9" s="18" t="s">
        <v>7171</v>
      </c>
      <c r="H9" s="16"/>
      <c r="I9" s="18" t="s">
        <v>7770</v>
      </c>
      <c r="J9" s="16"/>
      <c r="K9" s="18" t="s">
        <v>7692</v>
      </c>
      <c r="L9" s="16"/>
      <c r="M9" s="18" t="s">
        <v>7311</v>
      </c>
      <c r="N9" s="16"/>
      <c r="O9" s="18" t="s">
        <v>7386</v>
      </c>
      <c r="P9" s="16"/>
      <c r="Q9" s="18" t="s">
        <v>7458</v>
      </c>
      <c r="R9" s="16"/>
      <c r="S9" s="18" t="s">
        <v>7535</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7102</v>
      </c>
      <c r="B11" s="16"/>
      <c r="C11" s="18" t="s">
        <v>7242</v>
      </c>
      <c r="D11" s="16"/>
      <c r="E11" s="18" t="s">
        <v>7621</v>
      </c>
      <c r="F11" s="16"/>
      <c r="G11" s="18" t="s">
        <v>7172</v>
      </c>
      <c r="H11" s="16"/>
      <c r="I11" s="18" t="s">
        <v>7771</v>
      </c>
      <c r="J11" s="16"/>
      <c r="K11" s="18" t="s">
        <v>7693</v>
      </c>
      <c r="L11" s="16"/>
      <c r="M11" s="18" t="s">
        <v>7312</v>
      </c>
      <c r="N11" s="16"/>
      <c r="O11" s="18" t="s">
        <v>7387</v>
      </c>
      <c r="P11" s="16"/>
      <c r="Q11" s="18" t="s">
        <v>7459</v>
      </c>
      <c r="R11" s="16"/>
      <c r="S11" s="18" t="s">
        <v>7536</v>
      </c>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64" priority="5" stopIfTrue="1">
      <formula>NOT(ISERROR(A3))</formula>
    </cfRule>
  </conditionalFormatting>
  <conditionalFormatting sqref="A3:B12 D3:T12 A13:T51">
    <cfRule type="notContainsBlanks" dxfId="63" priority="6">
      <formula>LEN(TRIM(A3))&gt;0</formula>
    </cfRule>
  </conditionalFormatting>
  <conditionalFormatting sqref="A3:T51">
    <cfRule type="containsErrors" dxfId="62" priority="1" stopIfTrue="1">
      <formula>ISERROR(A3)</formula>
    </cfRule>
  </conditionalFormatting>
  <conditionalFormatting sqref="C3:C12">
    <cfRule type="notContainsBlanks" dxfId="61" priority="3">
      <formula>LEN(TRIM(C3))&gt;0</formula>
    </cfRule>
  </conditionalFormatting>
  <conditionalFormatting sqref="C3:C51">
    <cfRule type="notContainsErrors" dxfId="60" priority="2" stopIfTrue="1">
      <formula>NOT(ISERROR(C3))</formula>
    </cfRule>
  </conditionalFormatting>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5B831B-8AF4-4897-8420-42011176C3BA}">
  <sheetPr codeName="Sheet78"/>
  <dimension ref="A1:T51"/>
  <sheetViews>
    <sheetView workbookViewId="0">
      <selection activeCell="I3" sqref="I3:I2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8" t="s">
        <v>84</v>
      </c>
    </row>
    <row r="3" spans="1:20" ht="15.95" customHeight="1" x14ac:dyDescent="0.25">
      <c r="A3" s="17" t="s">
        <v>7058</v>
      </c>
      <c r="B3" s="16" t="str">
        <f>TRIM(_xlfn.TEXTBEFORE(A3, ":"))</f>
        <v>Item Class</v>
      </c>
      <c r="C3" s="17" t="s">
        <v>7243</v>
      </c>
      <c r="D3" s="16" t="str">
        <f>TRIM(_xlfn.TEXTBEFORE(C3, ":"))</f>
        <v>Gegenstandsklasse</v>
      </c>
      <c r="E3" s="17" t="s">
        <v>7622</v>
      </c>
      <c r="F3" s="16" t="str">
        <f>TRIM(_xlfn.TEXTBEFORE(E3, ":"))</f>
        <v>Clase de objeto</v>
      </c>
      <c r="G3" s="17" t="s">
        <v>7173</v>
      </c>
      <c r="H3" s="16" t="str">
        <f>TRIM(_xlfn.TEXTBEFORE(G3, ":"))</f>
        <v>Classe d'objet</v>
      </c>
      <c r="I3" s="17" t="s">
        <v>7772</v>
      </c>
      <c r="J3" s="16" t="str">
        <f>TRIM(_xlfn.TEXTBEFORE(I3, ":"))</f>
        <v>アイテムクラス</v>
      </c>
      <c r="K3" s="17" t="s">
        <v>7694</v>
      </c>
      <c r="L3" s="16" t="str">
        <f>TRIM(_xlfn.TEXTBEFORE(K3, ":"))</f>
        <v>아이템 종류</v>
      </c>
      <c r="M3" s="17" t="s">
        <v>7313</v>
      </c>
      <c r="N3" s="16" t="str">
        <f>TRIM(_xlfn.TEXTBEFORE(M3, ":"))</f>
        <v>Classe do Item</v>
      </c>
      <c r="O3" s="17" t="s">
        <v>7388</v>
      </c>
      <c r="P3" s="16" t="str">
        <f>TRIM(_xlfn.TEXTBEFORE(O3, ":"))</f>
        <v>Класс предмета</v>
      </c>
      <c r="Q3" s="17" t="s">
        <v>7460</v>
      </c>
      <c r="R3" s="16" t="str">
        <f>TRIM(_xlfn.TEXTBEFORE(Q3, ":"))</f>
        <v>ชนิดไอเทม</v>
      </c>
      <c r="S3" s="17" t="s">
        <v>7537</v>
      </c>
      <c r="T3" s="20" t="str">
        <f>TRIM(_xlfn.TEXTBEFORE(S3, ":"))</f>
        <v>物品種類</v>
      </c>
    </row>
    <row r="4" spans="1:20" ht="15.95" customHeight="1" x14ac:dyDescent="0.25">
      <c r="A4" s="18" t="s">
        <v>470</v>
      </c>
      <c r="B4" s="16" t="str">
        <f>TRIM(_xlfn.TEXTAFTER(A3, ":"))</f>
        <v>Crossbows</v>
      </c>
      <c r="C4" s="18" t="s">
        <v>1681</v>
      </c>
      <c r="D4" s="16" t="str">
        <f>TRIM(_xlfn.TEXTAFTER(C3, ":"))</f>
        <v>Armbrüste</v>
      </c>
      <c r="E4" s="18" t="s">
        <v>2400</v>
      </c>
      <c r="F4" s="16" t="str">
        <f>TRIM(_xlfn.TEXTAFTER(E3, ":"))</f>
        <v>Ballestas</v>
      </c>
      <c r="G4" s="18" t="s">
        <v>948</v>
      </c>
      <c r="H4" s="16" t="str">
        <f>TRIM(_xlfn.TEXTAFTER(G3, ":"))</f>
        <v>Arbalètes</v>
      </c>
      <c r="I4" s="18" t="s">
        <v>3118</v>
      </c>
      <c r="J4" s="16" t="str">
        <f>TRIM(_xlfn.TEXTAFTER(I3, ":"))</f>
        <v>クロスボウ</v>
      </c>
      <c r="K4" s="18" t="s">
        <v>3865</v>
      </c>
      <c r="L4" s="16" t="str">
        <f>TRIM(_xlfn.TEXTAFTER(K3, ":"))</f>
        <v>쇠뇌</v>
      </c>
      <c r="M4" s="18" t="s">
        <v>4595</v>
      </c>
      <c r="N4" s="16" t="str">
        <f>TRIM(_xlfn.TEXTAFTER(M3, ":"))</f>
        <v>Bestas</v>
      </c>
      <c r="O4" s="18" t="s">
        <v>5278</v>
      </c>
      <c r="P4" s="16" t="str">
        <f>TRIM(_xlfn.TEXTAFTER(O3, ":"))</f>
        <v>Самострелы</v>
      </c>
      <c r="Q4" s="18" t="s">
        <v>6012</v>
      </c>
      <c r="R4" s="16" t="str">
        <f>TRIM(_xlfn.TEXTAFTER(Q3, ":"))</f>
        <v>หน้าไม้</v>
      </c>
      <c r="S4" s="18" t="s">
        <v>7493</v>
      </c>
      <c r="T4" s="20" t="str">
        <f>TRIM(_xlfn.TEXTAFTER(S3, ":"))</f>
        <v>十字弓</v>
      </c>
    </row>
    <row r="5" spans="1:20" ht="15.95" customHeight="1" x14ac:dyDescent="0.25">
      <c r="A5" s="18" t="s">
        <v>7059</v>
      </c>
      <c r="B5" s="16" t="str">
        <f>TRIM(_xlfn.TEXTBEFORE(A4, ":"))</f>
        <v>Rarity</v>
      </c>
      <c r="C5" s="18" t="s">
        <v>7244</v>
      </c>
      <c r="D5" s="16" t="str">
        <f>TRIM(_xlfn.TEXTBEFORE(C4, ":"))</f>
        <v>Seltenheit</v>
      </c>
      <c r="E5" s="18" t="s">
        <v>7623</v>
      </c>
      <c r="F5" s="16" t="str">
        <f>TRIM(_xlfn.TEXTBEFORE(E4, ":"))</f>
        <v>Rareza</v>
      </c>
      <c r="G5" s="18" t="s">
        <v>7174</v>
      </c>
      <c r="H5" s="16" t="str">
        <f>TRIM(_xlfn.TEXTBEFORE(G4, ":"))</f>
        <v>Rareté</v>
      </c>
      <c r="I5" s="18" t="s">
        <v>7773</v>
      </c>
      <c r="J5" s="16" t="str">
        <f>TRIM(_xlfn.TEXTBEFORE(I4, ":"))</f>
        <v>レアリティ</v>
      </c>
      <c r="K5" s="18" t="s">
        <v>7695</v>
      </c>
      <c r="L5" s="16" t="str">
        <f>TRIM(_xlfn.TEXTBEFORE(K4, ":"))</f>
        <v>아이템 희귀도</v>
      </c>
      <c r="M5" s="18" t="s">
        <v>7314</v>
      </c>
      <c r="N5" s="16" t="str">
        <f>TRIM(_xlfn.TEXTBEFORE(M4, ":"))</f>
        <v>Raridade</v>
      </c>
      <c r="O5" s="18" t="s">
        <v>7389</v>
      </c>
      <c r="P5" s="16" t="str">
        <f>TRIM(_xlfn.TEXTBEFORE(O4, ":"))</f>
        <v>Редкость</v>
      </c>
      <c r="Q5" s="18" t="s">
        <v>7059</v>
      </c>
      <c r="R5" s="16" t="str">
        <f>TRIM(_xlfn.TEXTBEFORE(Q4, ":"))</f>
        <v>ความหายาก</v>
      </c>
      <c r="S5" s="18" t="s">
        <v>7538</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7060</v>
      </c>
      <c r="B7" s="16"/>
      <c r="C7" s="18" t="s">
        <v>7245</v>
      </c>
      <c r="D7" s="16"/>
      <c r="E7" s="18" t="s">
        <v>7624</v>
      </c>
      <c r="F7" s="16"/>
      <c r="G7" s="18" t="s">
        <v>7175</v>
      </c>
      <c r="H7" s="16"/>
      <c r="I7" s="18" t="s">
        <v>7774</v>
      </c>
      <c r="J7" s="16"/>
      <c r="K7" s="18" t="s">
        <v>7696</v>
      </c>
      <c r="L7" s="16"/>
      <c r="M7" s="18" t="s">
        <v>7315</v>
      </c>
      <c r="N7" s="16"/>
      <c r="O7" s="18" t="s">
        <v>7390</v>
      </c>
      <c r="P7" s="16"/>
      <c r="Q7" s="18" t="s">
        <v>7461</v>
      </c>
      <c r="R7" s="16"/>
      <c r="S7" s="18" t="s">
        <v>7539</v>
      </c>
      <c r="T7" s="20"/>
    </row>
    <row r="8" spans="1:20" ht="15.95" customHeight="1" x14ac:dyDescent="0.25">
      <c r="A8" s="18" t="s">
        <v>6789</v>
      </c>
      <c r="B8" s="16"/>
      <c r="C8" s="18" t="s">
        <v>2108</v>
      </c>
      <c r="D8" s="16"/>
      <c r="E8" s="18" t="s">
        <v>6957</v>
      </c>
      <c r="F8" s="16"/>
      <c r="G8" s="18" t="s">
        <v>6820</v>
      </c>
      <c r="H8" s="16"/>
      <c r="I8" s="18" t="s">
        <v>7015</v>
      </c>
      <c r="J8" s="16"/>
      <c r="K8" s="18" t="s">
        <v>6984</v>
      </c>
      <c r="L8" s="16"/>
      <c r="M8" s="18" t="s">
        <v>6876</v>
      </c>
      <c r="N8" s="16"/>
      <c r="O8" s="18" t="s">
        <v>6905</v>
      </c>
      <c r="P8" s="16"/>
      <c r="Q8" s="18" t="s">
        <v>6934</v>
      </c>
      <c r="R8" s="16"/>
      <c r="S8" s="18" t="s">
        <v>7540</v>
      </c>
      <c r="T8" s="20"/>
    </row>
    <row r="9" spans="1:20" ht="15.95" customHeight="1" x14ac:dyDescent="0.25">
      <c r="A9" s="18" t="s">
        <v>7061</v>
      </c>
      <c r="B9" s="16"/>
      <c r="C9" s="18" t="s">
        <v>7246</v>
      </c>
      <c r="D9" s="16"/>
      <c r="E9" s="18" t="s">
        <v>7625</v>
      </c>
      <c r="F9" s="16"/>
      <c r="G9" s="18" t="s">
        <v>7176</v>
      </c>
      <c r="H9" s="16"/>
      <c r="I9" s="18" t="s">
        <v>7775</v>
      </c>
      <c r="J9" s="16"/>
      <c r="K9" s="18" t="s">
        <v>7697</v>
      </c>
      <c r="L9" s="16"/>
      <c r="M9" s="18" t="s">
        <v>7316</v>
      </c>
      <c r="N9" s="16"/>
      <c r="O9" s="18" t="s">
        <v>7391</v>
      </c>
      <c r="P9" s="16"/>
      <c r="Q9" s="18" t="s">
        <v>7462</v>
      </c>
      <c r="R9" s="16"/>
      <c r="S9" s="18" t="s">
        <v>7541</v>
      </c>
      <c r="T9" s="20"/>
    </row>
    <row r="10" spans="1:20" ht="15.95" customHeight="1" x14ac:dyDescent="0.25">
      <c r="A10" s="18" t="s">
        <v>7062</v>
      </c>
      <c r="B10" s="16"/>
      <c r="C10" s="18" t="s">
        <v>7247</v>
      </c>
      <c r="D10" s="16"/>
      <c r="E10" s="18" t="s">
        <v>7626</v>
      </c>
      <c r="F10" s="16"/>
      <c r="G10" s="18" t="s">
        <v>7177</v>
      </c>
      <c r="H10" s="16"/>
      <c r="I10" s="18" t="s">
        <v>7776</v>
      </c>
      <c r="J10" s="16"/>
      <c r="K10" s="18" t="s">
        <v>7698</v>
      </c>
      <c r="L10" s="16"/>
      <c r="M10" s="18" t="s">
        <v>7317</v>
      </c>
      <c r="N10" s="16"/>
      <c r="O10" s="18" t="s">
        <v>7392</v>
      </c>
      <c r="P10" s="16"/>
      <c r="Q10" s="18" t="s">
        <v>7463</v>
      </c>
      <c r="R10" s="16"/>
      <c r="S10" s="18" t="s">
        <v>7542</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81</v>
      </c>
      <c r="B12" s="16"/>
      <c r="C12" s="18" t="s">
        <v>1589</v>
      </c>
      <c r="D12" s="16"/>
      <c r="E12" s="18" t="s">
        <v>2308</v>
      </c>
      <c r="F12" s="16"/>
      <c r="G12" s="18" t="s">
        <v>5</v>
      </c>
      <c r="H12" s="16"/>
      <c r="I12" s="18" t="s">
        <v>3018</v>
      </c>
      <c r="J12" s="16"/>
      <c r="K12" s="18" t="s">
        <v>3772</v>
      </c>
      <c r="L12" s="16"/>
      <c r="M12" s="18" t="s">
        <v>2308</v>
      </c>
      <c r="N12" s="16"/>
      <c r="O12" s="18" t="s">
        <v>5183</v>
      </c>
      <c r="P12" s="16"/>
      <c r="Q12" s="18" t="s">
        <v>5928</v>
      </c>
      <c r="R12" s="16"/>
      <c r="S12" s="18" t="s">
        <v>7496</v>
      </c>
      <c r="T12" s="20"/>
    </row>
    <row r="13" spans="1:20" ht="15.95" customHeight="1" x14ac:dyDescent="0.25">
      <c r="A13" s="18" t="s">
        <v>107</v>
      </c>
      <c r="B13" s="16"/>
      <c r="C13" s="18" t="s">
        <v>1590</v>
      </c>
      <c r="D13" s="16"/>
      <c r="E13" s="18" t="s">
        <v>2337</v>
      </c>
      <c r="F13" s="16"/>
      <c r="G13" s="18" t="s">
        <v>864</v>
      </c>
      <c r="H13" s="16"/>
      <c r="I13" s="18" t="s">
        <v>3051</v>
      </c>
      <c r="J13" s="16"/>
      <c r="K13" s="18" t="s">
        <v>3802</v>
      </c>
      <c r="L13" s="16"/>
      <c r="M13" s="18" t="s">
        <v>4530</v>
      </c>
      <c r="N13" s="16"/>
      <c r="O13" s="18" t="s">
        <v>5213</v>
      </c>
      <c r="P13" s="16"/>
      <c r="Q13" s="18" t="s">
        <v>5955</v>
      </c>
      <c r="R13" s="16"/>
      <c r="S13" s="18" t="s">
        <v>7543</v>
      </c>
      <c r="T13" s="20"/>
    </row>
    <row r="14" spans="1:20" ht="15.95" customHeight="1" x14ac:dyDescent="0.25">
      <c r="A14" s="18" t="s">
        <v>7063</v>
      </c>
      <c r="B14" s="16"/>
      <c r="C14" s="18" t="s">
        <v>7063</v>
      </c>
      <c r="D14" s="16"/>
      <c r="E14" s="18" t="s">
        <v>7627</v>
      </c>
      <c r="F14" s="16"/>
      <c r="G14" s="18" t="s">
        <v>7178</v>
      </c>
      <c r="H14" s="16"/>
      <c r="I14" s="18" t="s">
        <v>7777</v>
      </c>
      <c r="J14" s="16"/>
      <c r="K14" s="18" t="s">
        <v>7699</v>
      </c>
      <c r="L14" s="16"/>
      <c r="M14" s="18" t="s">
        <v>7178</v>
      </c>
      <c r="N14" s="16"/>
      <c r="O14" s="18" t="s">
        <v>7393</v>
      </c>
      <c r="P14" s="16"/>
      <c r="Q14" s="18" t="s">
        <v>7063</v>
      </c>
      <c r="R14" s="16"/>
      <c r="S14" s="18" t="s">
        <v>7544</v>
      </c>
      <c r="T14" s="20"/>
    </row>
    <row r="15" spans="1:20" ht="15.95" customHeight="1" x14ac:dyDescent="0.25">
      <c r="A15" s="18" t="s">
        <v>7064</v>
      </c>
      <c r="B15" s="16"/>
      <c r="C15" s="18" t="s">
        <v>7248</v>
      </c>
      <c r="D15" s="16"/>
      <c r="E15" s="18" t="s">
        <v>7318</v>
      </c>
      <c r="F15" s="16"/>
      <c r="G15" s="18" t="s">
        <v>7064</v>
      </c>
      <c r="H15" s="16"/>
      <c r="I15" s="18" t="s">
        <v>7778</v>
      </c>
      <c r="J15" s="16"/>
      <c r="K15" s="18" t="s">
        <v>7700</v>
      </c>
      <c r="L15" s="16"/>
      <c r="M15" s="18" t="s">
        <v>7318</v>
      </c>
      <c r="N15" s="16"/>
      <c r="O15" s="18" t="s">
        <v>7394</v>
      </c>
      <c r="P15" s="16"/>
      <c r="Q15" s="18" t="s">
        <v>7064</v>
      </c>
      <c r="R15" s="16"/>
      <c r="S15" s="18" t="s">
        <v>7545</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433</v>
      </c>
      <c r="B17" s="16"/>
      <c r="C17" s="18" t="s">
        <v>1699</v>
      </c>
      <c r="D17" s="16"/>
      <c r="E17" s="18" t="s">
        <v>2418</v>
      </c>
      <c r="F17" s="16"/>
      <c r="G17" s="18" t="s">
        <v>967</v>
      </c>
      <c r="H17" s="16"/>
      <c r="I17" s="18" t="s">
        <v>3136</v>
      </c>
      <c r="J17" s="16"/>
      <c r="K17" s="18" t="s">
        <v>3883</v>
      </c>
      <c r="L17" s="16"/>
      <c r="M17" s="18" t="s">
        <v>4612</v>
      </c>
      <c r="N17" s="16"/>
      <c r="O17" s="18" t="s">
        <v>5297</v>
      </c>
      <c r="P17" s="16"/>
      <c r="Q17" s="18" t="s">
        <v>6030</v>
      </c>
      <c r="R17" s="16"/>
      <c r="S17" s="18" t="s">
        <v>7546</v>
      </c>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t="s">
        <v>4</v>
      </c>
      <c r="T18" s="20"/>
    </row>
    <row r="19" spans="1:20" ht="15.95" customHeight="1" x14ac:dyDescent="0.25">
      <c r="A19" s="18" t="s">
        <v>7065</v>
      </c>
      <c r="B19" s="16"/>
      <c r="C19" s="18" t="s">
        <v>7249</v>
      </c>
      <c r="D19" s="16"/>
      <c r="E19" s="18" t="s">
        <v>7628</v>
      </c>
      <c r="F19" s="16"/>
      <c r="G19" s="18" t="s">
        <v>7179</v>
      </c>
      <c r="H19" s="16"/>
      <c r="I19" s="18" t="s">
        <v>7779</v>
      </c>
      <c r="J19" s="16"/>
      <c r="K19" s="18" t="s">
        <v>7701</v>
      </c>
      <c r="L19" s="16"/>
      <c r="M19" s="18" t="s">
        <v>7319</v>
      </c>
      <c r="N19" s="16"/>
      <c r="O19" s="18" t="s">
        <v>7395</v>
      </c>
      <c r="P19" s="16"/>
      <c r="Q19" s="18" t="s">
        <v>7464</v>
      </c>
      <c r="R19" s="16"/>
      <c r="S19" s="18" t="s">
        <v>7547</v>
      </c>
      <c r="T19" s="20"/>
    </row>
    <row r="20" spans="1:20" ht="15.95" customHeight="1" x14ac:dyDescent="0.25">
      <c r="A20" s="18" t="s">
        <v>7066</v>
      </c>
      <c r="B20" s="16"/>
      <c r="C20" s="18" t="s">
        <v>7250</v>
      </c>
      <c r="D20" s="16"/>
      <c r="E20" s="18" t="s">
        <v>7629</v>
      </c>
      <c r="F20" s="16"/>
      <c r="G20" s="18" t="s">
        <v>7180</v>
      </c>
      <c r="H20" s="16"/>
      <c r="I20" s="18" t="s">
        <v>7780</v>
      </c>
      <c r="J20" s="16"/>
      <c r="K20" s="18" t="s">
        <v>7702</v>
      </c>
      <c r="L20" s="16"/>
      <c r="M20" s="18" t="s">
        <v>7320</v>
      </c>
      <c r="N20" s="16"/>
      <c r="O20" s="18" t="s">
        <v>7396</v>
      </c>
      <c r="P20" s="16"/>
      <c r="Q20" s="18" t="s">
        <v>7465</v>
      </c>
      <c r="R20" s="16"/>
      <c r="S20" s="18" t="s">
        <v>7548</v>
      </c>
      <c r="T20" s="20"/>
    </row>
    <row r="21" spans="1:20" ht="15.95" customHeight="1" x14ac:dyDescent="0.25">
      <c r="A21" s="18" t="s">
        <v>7067</v>
      </c>
      <c r="B21" s="16"/>
      <c r="C21" s="18" t="s">
        <v>7251</v>
      </c>
      <c r="D21" s="16"/>
      <c r="E21" s="18" t="s">
        <v>7630</v>
      </c>
      <c r="F21" s="16"/>
      <c r="G21" s="18" t="s">
        <v>7181</v>
      </c>
      <c r="H21" s="16"/>
      <c r="I21" s="18" t="s">
        <v>7781</v>
      </c>
      <c r="J21" s="16"/>
      <c r="K21" s="18" t="s">
        <v>7703</v>
      </c>
      <c r="L21" s="16"/>
      <c r="M21" s="18" t="s">
        <v>7321</v>
      </c>
      <c r="N21" s="16"/>
      <c r="O21" s="18" t="s">
        <v>7397</v>
      </c>
      <c r="P21" s="16"/>
      <c r="Q21" s="18" t="s">
        <v>7466</v>
      </c>
      <c r="R21" s="16"/>
      <c r="S21" s="18" t="s">
        <v>7549</v>
      </c>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59" priority="5" stopIfTrue="1">
      <formula>NOT(ISERROR(A3))</formula>
    </cfRule>
  </conditionalFormatting>
  <conditionalFormatting sqref="A3:B12 D3:T12 A13:T51">
    <cfRule type="notContainsBlanks" dxfId="58" priority="6">
      <formula>LEN(TRIM(A3))&gt;0</formula>
    </cfRule>
  </conditionalFormatting>
  <conditionalFormatting sqref="A3:T51">
    <cfRule type="containsErrors" dxfId="57" priority="1" stopIfTrue="1">
      <formula>ISERROR(A3)</formula>
    </cfRule>
  </conditionalFormatting>
  <conditionalFormatting sqref="C3:C12">
    <cfRule type="notContainsBlanks" dxfId="56" priority="3">
      <formula>LEN(TRIM(C3))&gt;0</formula>
    </cfRule>
  </conditionalFormatting>
  <conditionalFormatting sqref="C3:C51">
    <cfRule type="notContainsErrors" dxfId="55" priority="2" stopIfTrue="1">
      <formula>NOT(ISERROR(C3))</formula>
    </cfRule>
  </conditionalFormatting>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E7C23-9290-4DD6-84F7-F470E217C4C7}">
  <sheetPr codeName="Sheet79"/>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8" t="s">
        <v>84</v>
      </c>
    </row>
    <row r="3" spans="1:20" ht="15.95" customHeight="1" x14ac:dyDescent="0.25">
      <c r="A3" s="17" t="s">
        <v>6795</v>
      </c>
      <c r="B3" s="16" t="str">
        <f>TRIM(_xlfn.TEXTBEFORE(A3, ":"))</f>
        <v>Item Class</v>
      </c>
      <c r="C3" s="17" t="s">
        <v>6852</v>
      </c>
      <c r="D3" s="16" t="str">
        <f>TRIM(_xlfn.TEXTBEFORE(C3, ":"))</f>
        <v>Gegenstandsklasse</v>
      </c>
      <c r="E3" s="17" t="s">
        <v>6962</v>
      </c>
      <c r="F3" s="16" t="str">
        <f>TRIM(_xlfn.TEXTBEFORE(E3, ":"))</f>
        <v>Clase de objeto</v>
      </c>
      <c r="G3" s="17" t="s">
        <v>6825</v>
      </c>
      <c r="H3" s="16" t="str">
        <f>TRIM(_xlfn.TEXTBEFORE(G3, ":"))</f>
        <v>Classe d'objet</v>
      </c>
      <c r="I3" s="17" t="s">
        <v>7021</v>
      </c>
      <c r="J3" s="16" t="str">
        <f>TRIM(_xlfn.TEXTBEFORE(I3, ":"))</f>
        <v>アイテムクラス</v>
      </c>
      <c r="K3" s="17" t="s">
        <v>6990</v>
      </c>
      <c r="L3" s="16" t="str">
        <f>TRIM(_xlfn.TEXTBEFORE(K3, ":"))</f>
        <v>아이템 종류</v>
      </c>
      <c r="M3" s="17" t="s">
        <v>4935</v>
      </c>
      <c r="N3" s="16" t="str">
        <f>TRIM(_xlfn.TEXTBEFORE(M3, ":"))</f>
        <v>Classe do Item</v>
      </c>
      <c r="O3" s="17" t="s">
        <v>6911</v>
      </c>
      <c r="P3" s="16" t="str">
        <f>TRIM(_xlfn.TEXTBEFORE(O3, ":"))</f>
        <v>Класс предмета</v>
      </c>
      <c r="Q3" s="17" t="s">
        <v>6939</v>
      </c>
      <c r="R3" s="16" t="str">
        <f>TRIM(_xlfn.TEXTBEFORE(Q3, ":"))</f>
        <v>ชนิดไอเทม</v>
      </c>
      <c r="S3" s="17" t="s">
        <v>7550</v>
      </c>
      <c r="T3" s="20" t="str">
        <f>TRIM(_xlfn.TEXTBEFORE(S3, ":"))</f>
        <v>物品種類</v>
      </c>
    </row>
    <row r="4" spans="1:20" ht="15.95" customHeight="1" x14ac:dyDescent="0.25">
      <c r="A4" s="18" t="s">
        <v>470</v>
      </c>
      <c r="B4" s="16" t="str">
        <f>TRIM(_xlfn.TEXTAFTER(A3, ":"))</f>
        <v>Quarterstaves</v>
      </c>
      <c r="C4" s="18" t="s">
        <v>1681</v>
      </c>
      <c r="D4" s="16" t="str">
        <f>TRIM(_xlfn.TEXTAFTER(C3, ":"))</f>
        <v>Kampfstäbe</v>
      </c>
      <c r="E4" s="18" t="s">
        <v>2400</v>
      </c>
      <c r="F4" s="16" t="str">
        <f>TRIM(_xlfn.TEXTAFTER(E3, ":"))</f>
        <v>Bastones</v>
      </c>
      <c r="G4" s="18" t="s">
        <v>948</v>
      </c>
      <c r="H4" s="16" t="str">
        <f>TRIM(_xlfn.TEXTAFTER(G3, ":"))</f>
        <v>Bâtons de combat</v>
      </c>
      <c r="I4" s="18" t="s">
        <v>3118</v>
      </c>
      <c r="J4" s="16" t="str">
        <f>TRIM(_xlfn.TEXTAFTER(I3, ":"))</f>
        <v>クォータースタッフ</v>
      </c>
      <c r="K4" s="18" t="s">
        <v>3865</v>
      </c>
      <c r="L4" s="16" t="str">
        <f>TRIM(_xlfn.TEXTAFTER(K3, ":"))</f>
        <v>육척봉</v>
      </c>
      <c r="M4" s="18" t="s">
        <v>4595</v>
      </c>
      <c r="N4" s="16" t="str">
        <f>TRIM(_xlfn.TEXTAFTER(M3, ":"))</f>
        <v>Cajados</v>
      </c>
      <c r="O4" s="18" t="s">
        <v>5278</v>
      </c>
      <c r="P4" s="16" t="str">
        <f>TRIM(_xlfn.TEXTAFTER(O3, ":"))</f>
        <v>Боевые посохи</v>
      </c>
      <c r="Q4" s="18" t="s">
        <v>6012</v>
      </c>
      <c r="R4" s="16" t="str">
        <f>TRIM(_xlfn.TEXTAFTER(Q3, ":"))</f>
        <v>ไม้พลองวรยุทธ์</v>
      </c>
      <c r="S4" s="18" t="s">
        <v>7493</v>
      </c>
      <c r="T4" s="20" t="str">
        <f>TRIM(_xlfn.TEXTAFTER(S3, ":"))</f>
        <v>征戰長杖</v>
      </c>
    </row>
    <row r="5" spans="1:20" ht="15.95" customHeight="1" x14ac:dyDescent="0.25">
      <c r="A5" s="18" t="s">
        <v>7068</v>
      </c>
      <c r="B5" s="16" t="str">
        <f>TRIM(_xlfn.TEXTBEFORE(A4, ":"))</f>
        <v>Rarity</v>
      </c>
      <c r="C5" s="18" t="s">
        <v>7252</v>
      </c>
      <c r="D5" s="16" t="str">
        <f>TRIM(_xlfn.TEXTBEFORE(C4, ":"))</f>
        <v>Seltenheit</v>
      </c>
      <c r="E5" s="18" t="s">
        <v>7631</v>
      </c>
      <c r="F5" s="16" t="str">
        <f>TRIM(_xlfn.TEXTBEFORE(E4, ":"))</f>
        <v>Rareza</v>
      </c>
      <c r="G5" s="18" t="s">
        <v>7182</v>
      </c>
      <c r="H5" s="16" t="str">
        <f>TRIM(_xlfn.TEXTBEFORE(G4, ":"))</f>
        <v>Rareté</v>
      </c>
      <c r="I5" s="18" t="s">
        <v>7782</v>
      </c>
      <c r="J5" s="16" t="str">
        <f>TRIM(_xlfn.TEXTBEFORE(I4, ":"))</f>
        <v>レアリティ</v>
      </c>
      <c r="K5" s="18" t="s">
        <v>7704</v>
      </c>
      <c r="L5" s="16" t="str">
        <f>TRIM(_xlfn.TEXTBEFORE(K4, ":"))</f>
        <v>아이템 희귀도</v>
      </c>
      <c r="M5" s="18" t="s">
        <v>7322</v>
      </c>
      <c r="N5" s="16" t="str">
        <f>TRIM(_xlfn.TEXTBEFORE(M4, ":"))</f>
        <v>Raridade</v>
      </c>
      <c r="O5" s="18" t="s">
        <v>7398</v>
      </c>
      <c r="P5" s="16" t="str">
        <f>TRIM(_xlfn.TEXTBEFORE(O4, ":"))</f>
        <v>Редкость</v>
      </c>
      <c r="Q5" s="18" t="s">
        <v>7068</v>
      </c>
      <c r="R5" s="16" t="str">
        <f>TRIM(_xlfn.TEXTBEFORE(Q4, ":"))</f>
        <v>ความหายาก</v>
      </c>
      <c r="S5" s="18" t="s">
        <v>7551</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7069</v>
      </c>
      <c r="B7" s="16"/>
      <c r="C7" s="18" t="s">
        <v>7253</v>
      </c>
      <c r="D7" s="16"/>
      <c r="E7" s="18" t="s">
        <v>7632</v>
      </c>
      <c r="F7" s="16"/>
      <c r="G7" s="18" t="s">
        <v>7183</v>
      </c>
      <c r="H7" s="16"/>
      <c r="I7" s="18" t="s">
        <v>7783</v>
      </c>
      <c r="J7" s="16"/>
      <c r="K7" s="18" t="s">
        <v>7705</v>
      </c>
      <c r="L7" s="16"/>
      <c r="M7" s="18" t="s">
        <v>7323</v>
      </c>
      <c r="N7" s="16"/>
      <c r="O7" s="18" t="s">
        <v>7399</v>
      </c>
      <c r="P7" s="16"/>
      <c r="Q7" s="18" t="s">
        <v>7467</v>
      </c>
      <c r="R7" s="16"/>
      <c r="S7" s="18" t="s">
        <v>7552</v>
      </c>
      <c r="T7" s="20"/>
    </row>
    <row r="8" spans="1:20" ht="15.95" customHeight="1" x14ac:dyDescent="0.25">
      <c r="A8" s="18" t="s">
        <v>6799</v>
      </c>
      <c r="B8" s="16"/>
      <c r="C8" s="18" t="s">
        <v>6856</v>
      </c>
      <c r="D8" s="16"/>
      <c r="E8" s="18" t="s">
        <v>6966</v>
      </c>
      <c r="F8" s="16"/>
      <c r="G8" s="18" t="s">
        <v>6829</v>
      </c>
      <c r="H8" s="16"/>
      <c r="I8" s="18" t="s">
        <v>7025</v>
      </c>
      <c r="J8" s="16"/>
      <c r="K8" s="18" t="s">
        <v>6994</v>
      </c>
      <c r="L8" s="16"/>
      <c r="M8" s="18" t="s">
        <v>6885</v>
      </c>
      <c r="N8" s="16"/>
      <c r="O8" s="18" t="s">
        <v>6915</v>
      </c>
      <c r="P8" s="16"/>
      <c r="Q8" s="18" t="s">
        <v>6942</v>
      </c>
      <c r="R8" s="16"/>
      <c r="S8" s="18" t="s">
        <v>7553</v>
      </c>
      <c r="T8" s="20"/>
    </row>
    <row r="9" spans="1:20" ht="15.95" customHeight="1" x14ac:dyDescent="0.25">
      <c r="A9" s="18" t="s">
        <v>6800</v>
      </c>
      <c r="B9" s="16"/>
      <c r="C9" s="18" t="s">
        <v>6857</v>
      </c>
      <c r="D9" s="16"/>
      <c r="E9" s="18" t="s">
        <v>6967</v>
      </c>
      <c r="F9" s="16"/>
      <c r="G9" s="18" t="s">
        <v>6830</v>
      </c>
      <c r="H9" s="16"/>
      <c r="I9" s="18" t="s">
        <v>7026</v>
      </c>
      <c r="J9" s="16"/>
      <c r="K9" s="18" t="s">
        <v>6995</v>
      </c>
      <c r="L9" s="16"/>
      <c r="M9" s="18" t="s">
        <v>6886</v>
      </c>
      <c r="N9" s="16"/>
      <c r="O9" s="18" t="s">
        <v>6916</v>
      </c>
      <c r="P9" s="16"/>
      <c r="Q9" s="18" t="s">
        <v>6943</v>
      </c>
      <c r="R9" s="16"/>
      <c r="S9" s="18" t="s">
        <v>7554</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81</v>
      </c>
      <c r="B11" s="16"/>
      <c r="C11" s="18" t="s">
        <v>1589</v>
      </c>
      <c r="D11" s="16"/>
      <c r="E11" s="18" t="s">
        <v>2308</v>
      </c>
      <c r="F11" s="16"/>
      <c r="G11" s="18" t="s">
        <v>5</v>
      </c>
      <c r="H11" s="16"/>
      <c r="I11" s="18" t="s">
        <v>3018</v>
      </c>
      <c r="J11" s="16"/>
      <c r="K11" s="18" t="s">
        <v>3772</v>
      </c>
      <c r="L11" s="16"/>
      <c r="M11" s="18" t="s">
        <v>2308</v>
      </c>
      <c r="N11" s="16"/>
      <c r="O11" s="18" t="s">
        <v>5183</v>
      </c>
      <c r="P11" s="16"/>
      <c r="Q11" s="18" t="s">
        <v>5928</v>
      </c>
      <c r="R11" s="16"/>
      <c r="S11" s="18" t="s">
        <v>7496</v>
      </c>
      <c r="T11" s="20"/>
    </row>
    <row r="12" spans="1:20" ht="15.95" customHeight="1" x14ac:dyDescent="0.25">
      <c r="A12" s="18" t="s">
        <v>7070</v>
      </c>
      <c r="B12" s="16"/>
      <c r="C12" s="18" t="s">
        <v>7254</v>
      </c>
      <c r="D12" s="16"/>
      <c r="E12" s="18" t="s">
        <v>7633</v>
      </c>
      <c r="F12" s="16"/>
      <c r="G12" s="18" t="s">
        <v>7184</v>
      </c>
      <c r="H12" s="16"/>
      <c r="I12" s="18" t="s">
        <v>7784</v>
      </c>
      <c r="J12" s="16"/>
      <c r="K12" s="18" t="s">
        <v>7706</v>
      </c>
      <c r="L12" s="16"/>
      <c r="M12" s="18" t="s">
        <v>7324</v>
      </c>
      <c r="N12" s="16"/>
      <c r="O12" s="18" t="s">
        <v>7400</v>
      </c>
      <c r="P12" s="16"/>
      <c r="Q12" s="18" t="s">
        <v>7468</v>
      </c>
      <c r="R12" s="16"/>
      <c r="S12" s="18" t="s">
        <v>7555</v>
      </c>
      <c r="T12" s="20"/>
    </row>
    <row r="13" spans="1:20" ht="15.95" customHeight="1" x14ac:dyDescent="0.25">
      <c r="A13" s="18" t="s">
        <v>7071</v>
      </c>
      <c r="B13" s="16"/>
      <c r="C13" s="18" t="s">
        <v>7255</v>
      </c>
      <c r="D13" s="16"/>
      <c r="E13" s="18" t="s">
        <v>7325</v>
      </c>
      <c r="F13" s="16"/>
      <c r="G13" s="18" t="s">
        <v>7071</v>
      </c>
      <c r="H13" s="16"/>
      <c r="I13" s="18" t="s">
        <v>7785</v>
      </c>
      <c r="J13" s="16"/>
      <c r="K13" s="18" t="s">
        <v>7707</v>
      </c>
      <c r="L13" s="16"/>
      <c r="M13" s="18" t="s">
        <v>7325</v>
      </c>
      <c r="N13" s="16"/>
      <c r="O13" s="18" t="s">
        <v>7401</v>
      </c>
      <c r="P13" s="16"/>
      <c r="Q13" s="18" t="s">
        <v>7071</v>
      </c>
      <c r="R13" s="16"/>
      <c r="S13" s="18" t="s">
        <v>7556</v>
      </c>
      <c r="T13" s="20"/>
    </row>
    <row r="14" spans="1:20" ht="15.95" customHeight="1" x14ac:dyDescent="0.25">
      <c r="A14" s="18" t="s">
        <v>7072</v>
      </c>
      <c r="B14" s="16"/>
      <c r="C14" s="18" t="s">
        <v>7072</v>
      </c>
      <c r="D14" s="16"/>
      <c r="E14" s="18" t="s">
        <v>7072</v>
      </c>
      <c r="F14" s="16"/>
      <c r="G14" s="18" t="s">
        <v>7072</v>
      </c>
      <c r="H14" s="16"/>
      <c r="I14" s="18" t="s">
        <v>7786</v>
      </c>
      <c r="J14" s="16"/>
      <c r="K14" s="18" t="s">
        <v>7708</v>
      </c>
      <c r="L14" s="16"/>
      <c r="M14" s="18" t="s">
        <v>7072</v>
      </c>
      <c r="N14" s="16"/>
      <c r="O14" s="18" t="s">
        <v>7402</v>
      </c>
      <c r="P14" s="16"/>
      <c r="Q14" s="18" t="s">
        <v>7072</v>
      </c>
      <c r="R14" s="16"/>
      <c r="S14" s="18" t="s">
        <v>7557</v>
      </c>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t="s">
        <v>4</v>
      </c>
      <c r="T15" s="20"/>
    </row>
    <row r="16" spans="1:20" ht="15.95" customHeight="1" x14ac:dyDescent="0.25">
      <c r="A16" s="18" t="s">
        <v>433</v>
      </c>
      <c r="B16" s="16"/>
      <c r="C16" s="18" t="s">
        <v>1699</v>
      </c>
      <c r="D16" s="16"/>
      <c r="E16" s="18" t="s">
        <v>2418</v>
      </c>
      <c r="F16" s="16"/>
      <c r="G16" s="18" t="s">
        <v>967</v>
      </c>
      <c r="H16" s="16"/>
      <c r="I16" s="18" t="s">
        <v>3136</v>
      </c>
      <c r="J16" s="16"/>
      <c r="K16" s="18" t="s">
        <v>3883</v>
      </c>
      <c r="L16" s="16"/>
      <c r="M16" s="18" t="s">
        <v>4612</v>
      </c>
      <c r="N16" s="16"/>
      <c r="O16" s="18" t="s">
        <v>5297</v>
      </c>
      <c r="P16" s="16"/>
      <c r="Q16" s="18" t="s">
        <v>6030</v>
      </c>
      <c r="R16" s="16"/>
      <c r="S16" s="18" t="s">
        <v>7546</v>
      </c>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t="s">
        <v>4</v>
      </c>
      <c r="T17" s="20"/>
    </row>
    <row r="18" spans="1:20" ht="15.95" customHeight="1" x14ac:dyDescent="0.25">
      <c r="A18" s="18" t="s">
        <v>7073</v>
      </c>
      <c r="B18" s="16"/>
      <c r="C18" s="18" t="s">
        <v>7256</v>
      </c>
      <c r="D18" s="16"/>
      <c r="E18" s="18" t="s">
        <v>7634</v>
      </c>
      <c r="F18" s="16"/>
      <c r="G18" s="18" t="s">
        <v>7185</v>
      </c>
      <c r="H18" s="16"/>
      <c r="I18" s="18" t="s">
        <v>7787</v>
      </c>
      <c r="J18" s="16"/>
      <c r="K18" s="18" t="s">
        <v>7709</v>
      </c>
      <c r="L18" s="16"/>
      <c r="M18" s="18" t="s">
        <v>7326</v>
      </c>
      <c r="N18" s="16"/>
      <c r="O18" s="18" t="s">
        <v>7403</v>
      </c>
      <c r="P18" s="16"/>
      <c r="Q18" s="18" t="s">
        <v>7469</v>
      </c>
      <c r="R18" s="16"/>
      <c r="S18" s="18" t="s">
        <v>7558</v>
      </c>
      <c r="T18" s="20"/>
    </row>
    <row r="19" spans="1:20" ht="15.95" customHeight="1" x14ac:dyDescent="0.25">
      <c r="A19" s="18" t="s">
        <v>7074</v>
      </c>
      <c r="B19" s="16"/>
      <c r="C19" s="18" t="s">
        <v>7257</v>
      </c>
      <c r="D19" s="16"/>
      <c r="E19" s="18" t="s">
        <v>7635</v>
      </c>
      <c r="F19" s="16"/>
      <c r="G19" s="18" t="s">
        <v>7186</v>
      </c>
      <c r="H19" s="16"/>
      <c r="I19" s="18" t="s">
        <v>7788</v>
      </c>
      <c r="J19" s="16"/>
      <c r="K19" s="18" t="s">
        <v>7710</v>
      </c>
      <c r="L19" s="16"/>
      <c r="M19" s="18" t="s">
        <v>7327</v>
      </c>
      <c r="N19" s="16"/>
      <c r="O19" s="18" t="s">
        <v>7404</v>
      </c>
      <c r="P19" s="16"/>
      <c r="Q19" s="18" t="s">
        <v>7470</v>
      </c>
      <c r="R19" s="16"/>
      <c r="S19" s="18" t="s">
        <v>7559</v>
      </c>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54" priority="8" stopIfTrue="1">
      <formula>NOT(ISERROR(A3))</formula>
    </cfRule>
  </conditionalFormatting>
  <conditionalFormatting sqref="A3:B12 D3:T12 A13:T51">
    <cfRule type="notContainsBlanks" dxfId="53" priority="9">
      <formula>LEN(TRIM(A3))&gt;0</formula>
    </cfRule>
  </conditionalFormatting>
  <conditionalFormatting sqref="A3:T51">
    <cfRule type="containsErrors" dxfId="52" priority="1" stopIfTrue="1">
      <formula>ISERROR(A3)</formula>
    </cfRule>
  </conditionalFormatting>
  <conditionalFormatting sqref="C3:C12">
    <cfRule type="notContainsBlanks" dxfId="51" priority="3">
      <formula>LEN(TRIM(C3))&gt;0</formula>
    </cfRule>
  </conditionalFormatting>
  <conditionalFormatting sqref="C3:C51">
    <cfRule type="notContainsErrors" dxfId="50" priority="2" stopIfTrue="1">
      <formula>NOT(ISERROR(C3))</formula>
    </cfRule>
  </conditionalFormatting>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E3D7C9-D22D-405B-9BE9-DB94BD4D7DA8}">
  <sheetPr codeName="Sheet80"/>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8" t="s">
        <v>84</v>
      </c>
    </row>
    <row r="3" spans="1:20" ht="15.95" customHeight="1" x14ac:dyDescent="0.25">
      <c r="A3" s="17" t="s">
        <v>455</v>
      </c>
      <c r="B3" s="16" t="str">
        <f>TRIM(_xlfn.TEXTBEFORE(A3, ":"))</f>
        <v>Item Class</v>
      </c>
      <c r="C3" s="17" t="s">
        <v>1813</v>
      </c>
      <c r="D3" s="16" t="str">
        <f>TRIM(_xlfn.TEXTBEFORE(C3, ":"))</f>
        <v>Gegenstandsklasse</v>
      </c>
      <c r="E3" s="17" t="s">
        <v>2531</v>
      </c>
      <c r="F3" s="16" t="str">
        <f>TRIM(_xlfn.TEXTBEFORE(E3, ":"))</f>
        <v>Clase de objeto</v>
      </c>
      <c r="G3" s="17" t="s">
        <v>1079</v>
      </c>
      <c r="H3" s="16" t="str">
        <f>TRIM(_xlfn.TEXTBEFORE(G3, ":"))</f>
        <v>Classe d'objet</v>
      </c>
      <c r="I3" s="17" t="s">
        <v>3254</v>
      </c>
      <c r="J3" s="16" t="str">
        <f>TRIM(_xlfn.TEXTBEFORE(I3, ":"))</f>
        <v>アイテムクラス</v>
      </c>
      <c r="K3" s="17" t="s">
        <v>3999</v>
      </c>
      <c r="L3" s="16" t="str">
        <f>TRIM(_xlfn.TEXTBEFORE(K3, ":"))</f>
        <v>아이템 종류</v>
      </c>
      <c r="M3" s="17" t="s">
        <v>4723</v>
      </c>
      <c r="N3" s="16" t="str">
        <f>TRIM(_xlfn.TEXTBEFORE(M3, ":"))</f>
        <v>Classe do Item</v>
      </c>
      <c r="O3" s="17" t="s">
        <v>5413</v>
      </c>
      <c r="P3" s="16" t="str">
        <f>TRIM(_xlfn.TEXTBEFORE(O3, ":"))</f>
        <v>Класс предмета</v>
      </c>
      <c r="Q3" s="17" t="s">
        <v>6131</v>
      </c>
      <c r="R3" s="16" t="str">
        <f>TRIM(_xlfn.TEXTBEFORE(Q3, ":"))</f>
        <v>ชนิดไอเทม</v>
      </c>
      <c r="S3" s="17" t="s">
        <v>7560</v>
      </c>
      <c r="T3" s="20" t="str">
        <f>TRIM(_xlfn.TEXTBEFORE(S3, ":"))</f>
        <v>物品種類</v>
      </c>
    </row>
    <row r="4" spans="1:20" ht="15.95" customHeight="1" x14ac:dyDescent="0.25">
      <c r="A4" s="18" t="s">
        <v>484</v>
      </c>
      <c r="B4" s="16" t="str">
        <f>TRIM(_xlfn.TEXTAFTER(A3, ":"))</f>
        <v>Shields</v>
      </c>
      <c r="C4" s="18" t="s">
        <v>1850</v>
      </c>
      <c r="D4" s="16" t="str">
        <f>TRIM(_xlfn.TEXTAFTER(C3, ":"))</f>
        <v>Schilde</v>
      </c>
      <c r="E4" s="18" t="s">
        <v>2568</v>
      </c>
      <c r="F4" s="16" t="str">
        <f>TRIM(_xlfn.TEXTAFTER(E3, ":"))</f>
        <v>Escudos</v>
      </c>
      <c r="G4" s="18" t="s">
        <v>1113</v>
      </c>
      <c r="H4" s="16" t="str">
        <f>TRIM(_xlfn.TEXTAFTER(G3, ":"))</f>
        <v>Boucliers</v>
      </c>
      <c r="I4" s="18" t="s">
        <v>3292</v>
      </c>
      <c r="J4" s="16" t="str">
        <f>TRIM(_xlfn.TEXTAFTER(I3, ":"))</f>
        <v>盾</v>
      </c>
      <c r="K4" s="18" t="s">
        <v>4037</v>
      </c>
      <c r="L4" s="16" t="str">
        <f>TRIM(_xlfn.TEXTAFTER(K3, ":"))</f>
        <v>방패</v>
      </c>
      <c r="M4" s="18" t="s">
        <v>4758</v>
      </c>
      <c r="N4" s="16" t="str">
        <f>TRIM(_xlfn.TEXTAFTER(M3, ":"))</f>
        <v>Escudos</v>
      </c>
      <c r="O4" s="18" t="s">
        <v>5451</v>
      </c>
      <c r="P4" s="16" t="str">
        <f>TRIM(_xlfn.TEXTAFTER(O3, ":"))</f>
        <v>Щиты</v>
      </c>
      <c r="Q4" s="18" t="s">
        <v>6162</v>
      </c>
      <c r="R4" s="16" t="str">
        <f>TRIM(_xlfn.TEXTAFTER(Q3, ":"))</f>
        <v>โล่</v>
      </c>
      <c r="S4" s="18" t="s">
        <v>7561</v>
      </c>
      <c r="T4" s="20" t="str">
        <f>TRIM(_xlfn.TEXTAFTER(S3, ":"))</f>
        <v>盾</v>
      </c>
    </row>
    <row r="5" spans="1:20" ht="15.95" customHeight="1" x14ac:dyDescent="0.25">
      <c r="A5" s="18" t="s">
        <v>7109</v>
      </c>
      <c r="B5" s="16" t="str">
        <f>TRIM(_xlfn.TEXTBEFORE(A4, ":"))</f>
        <v>Rarity</v>
      </c>
      <c r="C5" s="18" t="s">
        <v>7258</v>
      </c>
      <c r="D5" s="16" t="str">
        <f>TRIM(_xlfn.TEXTBEFORE(C4, ":"))</f>
        <v>Seltenheit</v>
      </c>
      <c r="E5" s="18" t="s">
        <v>7636</v>
      </c>
      <c r="F5" s="16" t="str">
        <f>TRIM(_xlfn.TEXTBEFORE(E4, ":"))</f>
        <v>Rareza</v>
      </c>
      <c r="G5" s="18" t="s">
        <v>7187</v>
      </c>
      <c r="H5" s="16" t="str">
        <f>TRIM(_xlfn.TEXTBEFORE(G4, ":"))</f>
        <v>Rareté</v>
      </c>
      <c r="I5" s="18" t="s">
        <v>7789</v>
      </c>
      <c r="J5" s="16" t="str">
        <f>TRIM(_xlfn.TEXTBEFORE(I4, ":"))</f>
        <v>レアリティ</v>
      </c>
      <c r="K5" s="18" t="s">
        <v>7711</v>
      </c>
      <c r="L5" s="16" t="str">
        <f>TRIM(_xlfn.TEXTBEFORE(K4, ":"))</f>
        <v>아이템 희귀도</v>
      </c>
      <c r="M5" s="18" t="s">
        <v>7328</v>
      </c>
      <c r="N5" s="16" t="str">
        <f>TRIM(_xlfn.TEXTBEFORE(M4, ":"))</f>
        <v>Raridade</v>
      </c>
      <c r="O5" s="18" t="s">
        <v>7405</v>
      </c>
      <c r="P5" s="16" t="str">
        <f>TRIM(_xlfn.TEXTBEFORE(O4, ":"))</f>
        <v>Редкость</v>
      </c>
      <c r="Q5" s="18" t="s">
        <v>7109</v>
      </c>
      <c r="R5" s="16" t="str">
        <f>TRIM(_xlfn.TEXTBEFORE(Q4, ":"))</f>
        <v>ความหายาก</v>
      </c>
      <c r="S5" s="18" t="s">
        <v>7562</v>
      </c>
      <c r="T5" s="20" t="str">
        <f>TRIM(_xlfn.TEXTBEFORE(S4, ":"))</f>
        <v>稀有度</v>
      </c>
    </row>
    <row r="6" spans="1:20" ht="15.95" customHeight="1" x14ac:dyDescent="0.25">
      <c r="A6" s="18" t="s">
        <v>7110</v>
      </c>
      <c r="B6" s="16" t="str">
        <f>TRIM(_xlfn.TEXTAFTER(A4,":"))</f>
        <v>Rare</v>
      </c>
      <c r="C6" s="18" t="s">
        <v>7259</v>
      </c>
      <c r="D6" s="16" t="str">
        <f>TRIM(_xlfn.TEXTAFTER(C4,":"))</f>
        <v>Selten</v>
      </c>
      <c r="E6" s="18" t="s">
        <v>7637</v>
      </c>
      <c r="F6" s="16" t="str">
        <f>TRIM(_xlfn.TEXTAFTER(E4,":"))</f>
        <v>Raro</v>
      </c>
      <c r="G6" s="18" t="s">
        <v>7188</v>
      </c>
      <c r="H6" s="16" t="str">
        <f>TRIM(_xlfn.TEXTAFTER(G4,":"))</f>
        <v>Rare</v>
      </c>
      <c r="I6" s="18" t="s">
        <v>7790</v>
      </c>
      <c r="J6" s="16" t="str">
        <f>TRIM(_xlfn.TEXTAFTER(I4,":"))</f>
        <v>レア</v>
      </c>
      <c r="K6" s="18" t="s">
        <v>7712</v>
      </c>
      <c r="L6" s="16" t="str">
        <f>TRIM(_xlfn.TEXTAFTER(K4,":"))</f>
        <v>희귀</v>
      </c>
      <c r="M6" s="18" t="s">
        <v>7329</v>
      </c>
      <c r="N6" s="16" t="str">
        <f>TRIM(_xlfn.TEXTAFTER(M4,":"))</f>
        <v>Raro</v>
      </c>
      <c r="O6" s="18" t="s">
        <v>7110</v>
      </c>
      <c r="P6" s="16" t="str">
        <f>TRIM(_xlfn.TEXTAFTER(O4,":"))</f>
        <v>Редкий</v>
      </c>
      <c r="Q6" s="18" t="s">
        <v>7110</v>
      </c>
      <c r="R6" s="16" t="str">
        <f>TRIM(_xlfn.TEXTAFTER(Q4,":"))</f>
        <v>แรร์</v>
      </c>
      <c r="S6" s="18" t="s">
        <v>7563</v>
      </c>
      <c r="T6" s="20" t="str">
        <f>TRIM(_xlfn.TEXTAFTER(S4,":"))</f>
        <v>稀有</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t="s">
        <v>4</v>
      </c>
      <c r="T7" s="20"/>
    </row>
    <row r="8" spans="1:20" ht="15.95" customHeight="1" x14ac:dyDescent="0.25">
      <c r="A8" s="18" t="s">
        <v>7111</v>
      </c>
      <c r="B8" s="16" t="str">
        <f>TRIM(_xlfn.TEXTBEFORE(A8,":"))</f>
        <v>Block chance</v>
      </c>
      <c r="C8" s="18" t="s">
        <v>7260</v>
      </c>
      <c r="D8" s="16" t="str">
        <f>TRIM(_xlfn.TEXTBEFORE(C8,":"))</f>
        <v>Blockchance</v>
      </c>
      <c r="E8" s="18" t="s">
        <v>7638</v>
      </c>
      <c r="F8" s="16" t="str">
        <f>TRIM(_xlfn.TEXTBEFORE(E8,":"))</f>
        <v>Probabilidad de bloqueo</v>
      </c>
      <c r="G8" s="18" t="s">
        <v>7189</v>
      </c>
      <c r="H8" s="16" t="str">
        <f>TRIM(_xlfn.TEXTBEFORE(G8,":"))</f>
        <v>Chances de Blocage</v>
      </c>
      <c r="I8" s="18" t="s">
        <v>7791</v>
      </c>
      <c r="J8" s="16" t="str">
        <f>TRIM(_xlfn.TEXTBEFORE(I8,":"))</f>
        <v>ブロック率</v>
      </c>
      <c r="K8" s="18" t="s">
        <v>7713</v>
      </c>
      <c r="L8" s="16" t="str">
        <f>TRIM(_xlfn.TEXTBEFORE(K8,":"))</f>
        <v>막기 확률</v>
      </c>
      <c r="M8" s="18" t="s">
        <v>7330</v>
      </c>
      <c r="N8" s="16" t="str">
        <f>TRIM(_xlfn.TEXTBEFORE(M8,":"))</f>
        <v>Chance de Bloqueio</v>
      </c>
      <c r="O8" s="18" t="s">
        <v>7406</v>
      </c>
      <c r="P8" s="16" t="str">
        <f>TRIM(_xlfn.TEXTBEFORE(O8,":"))</f>
        <v>Шанс блока</v>
      </c>
      <c r="Q8" s="18" t="s">
        <v>7471</v>
      </c>
      <c r="R8" s="16" t="str">
        <f>TRIM(_xlfn.TEXTBEFORE(Q8,":"))</f>
        <v>โอกาสบล็อค</v>
      </c>
      <c r="S8" s="18" t="s">
        <v>7564</v>
      </c>
      <c r="T8" s="16" t="str">
        <f>TRIM(_xlfn.TEXTBEFORE(S8,":"))</f>
        <v>格擋機率</v>
      </c>
    </row>
    <row r="9" spans="1:20" ht="15.95" customHeight="1" x14ac:dyDescent="0.25">
      <c r="A9" s="18" t="s">
        <v>7112</v>
      </c>
      <c r="B9" s="16"/>
      <c r="C9" s="18" t="s">
        <v>7261</v>
      </c>
      <c r="D9" s="16"/>
      <c r="E9" s="18" t="s">
        <v>7331</v>
      </c>
      <c r="F9" s="16"/>
      <c r="G9" s="18" t="s">
        <v>7190</v>
      </c>
      <c r="H9" s="16"/>
      <c r="I9" s="18" t="s">
        <v>7792</v>
      </c>
      <c r="J9" s="16"/>
      <c r="K9" s="18" t="s">
        <v>7714</v>
      </c>
      <c r="L9" s="16"/>
      <c r="M9" s="18" t="s">
        <v>7331</v>
      </c>
      <c r="N9" s="16"/>
      <c r="O9" s="18" t="s">
        <v>7407</v>
      </c>
      <c r="P9" s="16"/>
      <c r="Q9" s="18" t="s">
        <v>7472</v>
      </c>
      <c r="R9" s="16"/>
      <c r="S9" s="18" t="s">
        <v>7565</v>
      </c>
      <c r="T9" s="20"/>
    </row>
    <row r="10" spans="1:20" ht="15.95" customHeight="1" x14ac:dyDescent="0.25">
      <c r="A10" s="18" t="s">
        <v>7113</v>
      </c>
      <c r="B10" s="16"/>
      <c r="C10" s="18" t="s">
        <v>7262</v>
      </c>
      <c r="D10" s="16"/>
      <c r="E10" s="18" t="s">
        <v>7639</v>
      </c>
      <c r="F10" s="16"/>
      <c r="G10" s="18" t="s">
        <v>7191</v>
      </c>
      <c r="H10" s="16"/>
      <c r="I10" s="18" t="s">
        <v>7793</v>
      </c>
      <c r="J10" s="16"/>
      <c r="K10" s="18" t="s">
        <v>7715</v>
      </c>
      <c r="L10" s="16"/>
      <c r="M10" s="18" t="s">
        <v>7332</v>
      </c>
      <c r="N10" s="16"/>
      <c r="O10" s="18" t="s">
        <v>7408</v>
      </c>
      <c r="P10" s="16"/>
      <c r="Q10" s="18" t="s">
        <v>7473</v>
      </c>
      <c r="R10" s="16"/>
      <c r="S10" s="18" t="s">
        <v>7566</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81</v>
      </c>
      <c r="B12" s="16"/>
      <c r="C12" s="18" t="s">
        <v>1589</v>
      </c>
      <c r="D12" s="16"/>
      <c r="E12" s="18" t="s">
        <v>2308</v>
      </c>
      <c r="F12" s="16"/>
      <c r="G12" s="18" t="s">
        <v>5</v>
      </c>
      <c r="H12" s="16"/>
      <c r="I12" s="18" t="s">
        <v>3018</v>
      </c>
      <c r="J12" s="16"/>
      <c r="K12" s="18" t="s">
        <v>3772</v>
      </c>
      <c r="L12" s="16"/>
      <c r="M12" s="18" t="s">
        <v>2308</v>
      </c>
      <c r="N12" s="16"/>
      <c r="O12" s="18" t="s">
        <v>5183</v>
      </c>
      <c r="P12" s="16"/>
      <c r="Q12" s="18" t="s">
        <v>5928</v>
      </c>
      <c r="R12" s="16"/>
      <c r="S12" s="18" t="s">
        <v>7496</v>
      </c>
      <c r="T12" s="20"/>
    </row>
    <row r="13" spans="1:20" ht="15.95" customHeight="1" x14ac:dyDescent="0.25">
      <c r="A13" s="18" t="s">
        <v>6812</v>
      </c>
      <c r="B13" s="16"/>
      <c r="C13" s="18" t="s">
        <v>6868</v>
      </c>
      <c r="D13" s="16"/>
      <c r="E13" s="18" t="s">
        <v>6977</v>
      </c>
      <c r="F13" s="16"/>
      <c r="G13" s="18" t="s">
        <v>6840</v>
      </c>
      <c r="H13" s="16"/>
      <c r="I13" s="18" t="s">
        <v>7038</v>
      </c>
      <c r="J13" s="16"/>
      <c r="K13" s="18" t="s">
        <v>7007</v>
      </c>
      <c r="L13" s="16"/>
      <c r="M13" s="18" t="s">
        <v>6897</v>
      </c>
      <c r="N13" s="16"/>
      <c r="O13" s="18" t="s">
        <v>6927</v>
      </c>
      <c r="P13" s="16"/>
      <c r="Q13" s="18" t="s">
        <v>6950</v>
      </c>
      <c r="R13" s="16"/>
      <c r="S13" s="18" t="s">
        <v>7567</v>
      </c>
      <c r="T13" s="20"/>
    </row>
    <row r="14" spans="1:20" ht="15.95" customHeight="1" x14ac:dyDescent="0.25">
      <c r="A14" s="18" t="s">
        <v>7114</v>
      </c>
      <c r="B14" s="16"/>
      <c r="C14" s="18" t="s">
        <v>7114</v>
      </c>
      <c r="D14" s="16"/>
      <c r="E14" s="18" t="s">
        <v>7640</v>
      </c>
      <c r="F14" s="16"/>
      <c r="G14" s="18" t="s">
        <v>7192</v>
      </c>
      <c r="H14" s="16"/>
      <c r="I14" s="18" t="s">
        <v>7794</v>
      </c>
      <c r="J14" s="16"/>
      <c r="K14" s="18" t="s">
        <v>7716</v>
      </c>
      <c r="L14" s="16"/>
      <c r="M14" s="18" t="s">
        <v>7192</v>
      </c>
      <c r="N14" s="16"/>
      <c r="O14" s="18" t="s">
        <v>7409</v>
      </c>
      <c r="P14" s="16"/>
      <c r="Q14" s="18" t="s">
        <v>7114</v>
      </c>
      <c r="R14" s="16"/>
      <c r="S14" s="18" t="s">
        <v>7568</v>
      </c>
      <c r="T14" s="20"/>
    </row>
    <row r="15" spans="1:20" ht="15.95" customHeight="1" x14ac:dyDescent="0.25">
      <c r="A15" s="18" t="s">
        <v>7115</v>
      </c>
      <c r="B15" s="16"/>
      <c r="C15" s="18" t="s">
        <v>7263</v>
      </c>
      <c r="D15" s="16"/>
      <c r="E15" s="18" t="s">
        <v>7333</v>
      </c>
      <c r="F15" s="16"/>
      <c r="G15" s="18" t="s">
        <v>7115</v>
      </c>
      <c r="H15" s="16"/>
      <c r="I15" s="18" t="s">
        <v>7795</v>
      </c>
      <c r="J15" s="16"/>
      <c r="K15" s="18" t="s">
        <v>7717</v>
      </c>
      <c r="L15" s="16"/>
      <c r="M15" s="18" t="s">
        <v>7333</v>
      </c>
      <c r="N15" s="16"/>
      <c r="O15" s="18" t="s">
        <v>7410</v>
      </c>
      <c r="P15" s="16"/>
      <c r="Q15" s="18" t="s">
        <v>7115</v>
      </c>
      <c r="R15" s="16"/>
      <c r="S15" s="18" t="s">
        <v>7569</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292</v>
      </c>
      <c r="B17" s="16"/>
      <c r="C17" s="18" t="s">
        <v>1743</v>
      </c>
      <c r="D17" s="16"/>
      <c r="E17" s="18" t="s">
        <v>2462</v>
      </c>
      <c r="F17" s="16"/>
      <c r="G17" s="18" t="s">
        <v>1011</v>
      </c>
      <c r="H17" s="16"/>
      <c r="I17" s="18" t="s">
        <v>3180</v>
      </c>
      <c r="J17" s="16"/>
      <c r="K17" s="18" t="s">
        <v>3927</v>
      </c>
      <c r="L17" s="16"/>
      <c r="M17" s="18" t="s">
        <v>4656</v>
      </c>
      <c r="N17" s="16"/>
      <c r="O17" s="18" t="s">
        <v>5341</v>
      </c>
      <c r="P17" s="16"/>
      <c r="Q17" s="18" t="s">
        <v>6072</v>
      </c>
      <c r="R17" s="16"/>
      <c r="S17" s="18" t="s">
        <v>7499</v>
      </c>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t="s">
        <v>4</v>
      </c>
      <c r="T18" s="20"/>
    </row>
    <row r="19" spans="1:20" ht="15.95" customHeight="1" x14ac:dyDescent="0.25">
      <c r="A19" s="18" t="s">
        <v>7116</v>
      </c>
      <c r="B19" s="16"/>
      <c r="C19" s="18" t="s">
        <v>7264</v>
      </c>
      <c r="D19" s="16"/>
      <c r="E19" s="18" t="s">
        <v>7641</v>
      </c>
      <c r="F19" s="16"/>
      <c r="G19" s="18" t="s">
        <v>7193</v>
      </c>
      <c r="H19" s="16"/>
      <c r="I19" s="18" t="s">
        <v>7796</v>
      </c>
      <c r="J19" s="16"/>
      <c r="K19" s="18" t="s">
        <v>7718</v>
      </c>
      <c r="L19" s="16"/>
      <c r="M19" s="18" t="s">
        <v>7334</v>
      </c>
      <c r="N19" s="16"/>
      <c r="O19" s="18" t="s">
        <v>7411</v>
      </c>
      <c r="P19" s="16"/>
      <c r="Q19" s="18" t="s">
        <v>7474</v>
      </c>
      <c r="R19" s="16"/>
      <c r="S19" s="18" t="s">
        <v>7570</v>
      </c>
      <c r="T19" s="20"/>
    </row>
    <row r="20" spans="1:20" ht="15.95" customHeight="1" x14ac:dyDescent="0.25">
      <c r="A20" s="18" t="s">
        <v>7117</v>
      </c>
      <c r="B20" s="16"/>
      <c r="C20" s="18" t="s">
        <v>7265</v>
      </c>
      <c r="D20" s="16"/>
      <c r="E20" s="18" t="s">
        <v>7642</v>
      </c>
      <c r="F20" s="16"/>
      <c r="G20" s="18" t="s">
        <v>7194</v>
      </c>
      <c r="H20" s="16"/>
      <c r="I20" s="18" t="s">
        <v>7797</v>
      </c>
      <c r="J20" s="16"/>
      <c r="K20" s="18" t="s">
        <v>7719</v>
      </c>
      <c r="L20" s="16"/>
      <c r="M20" s="18" t="s">
        <v>7335</v>
      </c>
      <c r="N20" s="16"/>
      <c r="O20" s="18" t="s">
        <v>7412</v>
      </c>
      <c r="P20" s="16"/>
      <c r="Q20" s="18" t="s">
        <v>7475</v>
      </c>
      <c r="R20" s="16"/>
      <c r="S20" s="18" t="s">
        <v>7571</v>
      </c>
      <c r="T20" s="20"/>
    </row>
    <row r="21" spans="1:20" ht="15.95" customHeight="1" x14ac:dyDescent="0.25">
      <c r="A21" s="18" t="s">
        <v>7118</v>
      </c>
      <c r="B21" s="16"/>
      <c r="C21" s="18" t="s">
        <v>7266</v>
      </c>
      <c r="D21" s="16"/>
      <c r="E21" s="18" t="s">
        <v>7643</v>
      </c>
      <c r="F21" s="16"/>
      <c r="G21" s="18" t="s">
        <v>7195</v>
      </c>
      <c r="H21" s="16"/>
      <c r="I21" s="18" t="s">
        <v>7798</v>
      </c>
      <c r="J21" s="16"/>
      <c r="K21" s="18" t="s">
        <v>7720</v>
      </c>
      <c r="L21" s="16"/>
      <c r="M21" s="18" t="s">
        <v>7336</v>
      </c>
      <c r="N21" s="16"/>
      <c r="O21" s="18" t="s">
        <v>7413</v>
      </c>
      <c r="P21" s="16"/>
      <c r="Q21" s="18" t="s">
        <v>7476</v>
      </c>
      <c r="R21" s="16"/>
      <c r="S21" s="18" t="s">
        <v>7572</v>
      </c>
      <c r="T21" s="20"/>
    </row>
    <row r="22" spans="1:20" ht="15.95" customHeight="1" x14ac:dyDescent="0.25">
      <c r="A22" s="18" t="s">
        <v>7119</v>
      </c>
      <c r="B22" s="16"/>
      <c r="C22" s="18" t="s">
        <v>7267</v>
      </c>
      <c r="D22" s="16"/>
      <c r="E22" s="18" t="s">
        <v>7644</v>
      </c>
      <c r="F22" s="16"/>
      <c r="G22" s="18" t="s">
        <v>7196</v>
      </c>
      <c r="H22" s="16"/>
      <c r="I22" s="18" t="s">
        <v>7799</v>
      </c>
      <c r="J22" s="16"/>
      <c r="K22" s="18" t="s">
        <v>7721</v>
      </c>
      <c r="L22" s="16"/>
      <c r="M22" s="18" t="s">
        <v>7337</v>
      </c>
      <c r="N22" s="16"/>
      <c r="O22" s="18" t="s">
        <v>7414</v>
      </c>
      <c r="P22" s="16"/>
      <c r="Q22" s="18" t="s">
        <v>7477</v>
      </c>
      <c r="R22" s="16"/>
      <c r="S22" s="18" t="s">
        <v>7573</v>
      </c>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9" priority="24" stopIfTrue="1">
      <formula>NOT(ISERROR(A3))</formula>
    </cfRule>
  </conditionalFormatting>
  <conditionalFormatting sqref="A3:T7 A8 C8 E8 G8 I8 K8 M8 O8 Q8 S8 A9:T51">
    <cfRule type="notContainsBlanks" dxfId="48" priority="25">
      <formula>LEN(TRIM(A3))&gt;0</formula>
    </cfRule>
  </conditionalFormatting>
  <conditionalFormatting sqref="A3:T51">
    <cfRule type="containsErrors" dxfId="47" priority="1" stopIfTrue="1">
      <formula>ISERROR(A3)</formula>
    </cfRule>
  </conditionalFormatting>
  <conditionalFormatting sqref="B8">
    <cfRule type="notContainsBlanks" dxfId="46" priority="22">
      <formula>LEN(TRIM(B8))&gt;0</formula>
    </cfRule>
  </conditionalFormatting>
  <conditionalFormatting sqref="D8">
    <cfRule type="notContainsBlanks" dxfId="45" priority="20">
      <formula>LEN(TRIM(D8))&gt;0</formula>
    </cfRule>
  </conditionalFormatting>
  <conditionalFormatting sqref="F8">
    <cfRule type="notContainsBlanks" dxfId="44" priority="18">
      <formula>LEN(TRIM(F8))&gt;0</formula>
    </cfRule>
  </conditionalFormatting>
  <conditionalFormatting sqref="H8">
    <cfRule type="notContainsBlanks" dxfId="43" priority="16">
      <formula>LEN(TRIM(H8))&gt;0</formula>
    </cfRule>
  </conditionalFormatting>
  <conditionalFormatting sqref="J8">
    <cfRule type="notContainsBlanks" dxfId="42" priority="14">
      <formula>LEN(TRIM(J8))&gt;0</formula>
    </cfRule>
  </conditionalFormatting>
  <conditionalFormatting sqref="L8">
    <cfRule type="notContainsBlanks" dxfId="41" priority="12">
      <formula>LEN(TRIM(L8))&gt;0</formula>
    </cfRule>
  </conditionalFormatting>
  <conditionalFormatting sqref="N8">
    <cfRule type="notContainsBlanks" dxfId="40" priority="10">
      <formula>LEN(TRIM(N8))&gt;0</formula>
    </cfRule>
  </conditionalFormatting>
  <conditionalFormatting sqref="P8">
    <cfRule type="notContainsBlanks" dxfId="39" priority="8">
      <formula>LEN(TRIM(P8))&gt;0</formula>
    </cfRule>
  </conditionalFormatting>
  <conditionalFormatting sqref="R8">
    <cfRule type="notContainsBlanks" dxfId="38" priority="6">
      <formula>LEN(TRIM(R8))&gt;0</formula>
    </cfRule>
  </conditionalFormatting>
  <conditionalFormatting sqref="T8">
    <cfRule type="notContainsBlanks" dxfId="37" priority="2">
      <formula>LEN(TRIM(T8))&gt;0</formula>
    </cfRule>
  </conditionalFormatting>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F9D332-8A1B-4C52-8E7D-49185335580A}">
  <sheetPr codeName="Sheet81"/>
  <dimension ref="A1:T51"/>
  <sheetViews>
    <sheetView workbookViewId="0">
      <selection activeCell="I3" sqref="I3:I10"/>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8" t="s">
        <v>84</v>
      </c>
    </row>
    <row r="3" spans="1:20" ht="15.95" customHeight="1" x14ac:dyDescent="0.25">
      <c r="A3" s="17" t="s">
        <v>7121</v>
      </c>
      <c r="B3" s="16" t="str">
        <f>TRIM(_xlfn.TEXTBEFORE(A3, ":"))</f>
        <v>Item Class</v>
      </c>
      <c r="C3" s="17" t="s">
        <v>7268</v>
      </c>
      <c r="D3" s="16" t="str">
        <f>TRIM(_xlfn.TEXTBEFORE(C3, ":"))</f>
        <v>Gegenstandsklasse</v>
      </c>
      <c r="E3" s="17" t="s">
        <v>7645</v>
      </c>
      <c r="F3" s="16" t="str">
        <f>TRIM(_xlfn.TEXTBEFORE(E3, ":"))</f>
        <v>Clase de objeto</v>
      </c>
      <c r="G3" s="17" t="s">
        <v>7197</v>
      </c>
      <c r="H3" s="16" t="str">
        <f>TRIM(_xlfn.TEXTBEFORE(G3, ":"))</f>
        <v>Classe d'objet</v>
      </c>
      <c r="I3" s="17" t="s">
        <v>7800</v>
      </c>
      <c r="J3" s="16" t="str">
        <f>TRIM(_xlfn.TEXTBEFORE(I3, ":"))</f>
        <v>アイテムクラス</v>
      </c>
      <c r="K3" s="17" t="s">
        <v>7722</v>
      </c>
      <c r="L3" s="16" t="str">
        <f>TRIM(_xlfn.TEXTBEFORE(K3, ":"))</f>
        <v>아이템 종류</v>
      </c>
      <c r="M3" s="17" t="s">
        <v>7338</v>
      </c>
      <c r="N3" s="16" t="str">
        <f>TRIM(_xlfn.TEXTBEFORE(M3, ":"))</f>
        <v>Classe do Item</v>
      </c>
      <c r="O3" s="17" t="s">
        <v>7415</v>
      </c>
      <c r="P3" s="16" t="str">
        <f>TRIM(_xlfn.TEXTBEFORE(O3, ":"))</f>
        <v>Класс предмета</v>
      </c>
      <c r="Q3" s="17" t="s">
        <v>7478</v>
      </c>
      <c r="R3" s="16" t="str">
        <f>TRIM(_xlfn.TEXTBEFORE(Q3, ":"))</f>
        <v>ชนิดไอเทม</v>
      </c>
      <c r="S3" s="17" t="s">
        <v>7574</v>
      </c>
      <c r="T3" s="20" t="str">
        <f>TRIM(_xlfn.TEXTBEFORE(S3, ":"))</f>
        <v>物品種類</v>
      </c>
    </row>
    <row r="4" spans="1:20" ht="15.95" customHeight="1" x14ac:dyDescent="0.25">
      <c r="A4" s="18" t="s">
        <v>496</v>
      </c>
      <c r="B4" s="16" t="str">
        <f>TRIM(_xlfn.TEXTAFTER(A3, ":"))</f>
        <v>Breachstones</v>
      </c>
      <c r="C4" s="18" t="s">
        <v>1652</v>
      </c>
      <c r="D4" s="16" t="str">
        <f>TRIM(_xlfn.TEXTAFTER(C3, ":"))</f>
        <v>Riss-Steine</v>
      </c>
      <c r="E4" s="18" t="s">
        <v>2372</v>
      </c>
      <c r="F4" s="16" t="str">
        <f>TRIM(_xlfn.TEXTAFTER(E3, ":"))</f>
        <v>Piedras de fisura</v>
      </c>
      <c r="G4" s="18" t="s">
        <v>919</v>
      </c>
      <c r="H4" s="16" t="str">
        <f>TRIM(_xlfn.TEXTAFTER(G3, ":"))</f>
        <v>Pierres de Brèche</v>
      </c>
      <c r="I4" s="18" t="s">
        <v>3087</v>
      </c>
      <c r="J4" s="16" t="str">
        <f>TRIM(_xlfn.TEXTAFTER(I3, ":"))</f>
        <v>ブリーチストーン</v>
      </c>
      <c r="K4" s="18" t="s">
        <v>3837</v>
      </c>
      <c r="L4" s="16" t="str">
        <f>TRIM(_xlfn.TEXTAFTER(K3, ":"))</f>
        <v>균열석</v>
      </c>
      <c r="M4" s="18" t="s">
        <v>4566</v>
      </c>
      <c r="N4" s="16" t="str">
        <f>TRIM(_xlfn.TEXTAFTER(M3, ":"))</f>
        <v>Pedras de Fenda</v>
      </c>
      <c r="O4" s="18" t="s">
        <v>5249</v>
      </c>
      <c r="P4" s="16" t="str">
        <f>TRIM(_xlfn.TEXTAFTER(O3, ":"))</f>
        <v>Камни Разлома</v>
      </c>
      <c r="Q4" s="18" t="s">
        <v>5986</v>
      </c>
      <c r="R4" s="16" t="str">
        <f>TRIM(_xlfn.TEXTAFTER(Q3, ":"))</f>
        <v>ศิลาบรีช</v>
      </c>
      <c r="S4" s="18" t="s">
        <v>7510</v>
      </c>
      <c r="T4" s="20" t="str">
        <f>TRIM(_xlfn.TEXTAFTER(S3, ":"))</f>
        <v>裂痕石</v>
      </c>
    </row>
    <row r="5" spans="1:20" ht="15.95" customHeight="1" x14ac:dyDescent="0.25">
      <c r="A5" s="18" t="s">
        <v>7122</v>
      </c>
      <c r="B5" s="16" t="str">
        <f>TRIM(_xlfn.TEXTBEFORE(A4, ":"))</f>
        <v>Rarity</v>
      </c>
      <c r="C5" s="18" t="s">
        <v>7269</v>
      </c>
      <c r="D5" s="16" t="str">
        <f>TRIM(_xlfn.TEXTBEFORE(C4, ":"))</f>
        <v>Seltenheit</v>
      </c>
      <c r="E5" s="18" t="s">
        <v>7646</v>
      </c>
      <c r="F5" s="16" t="str">
        <f>TRIM(_xlfn.TEXTBEFORE(E4, ":"))</f>
        <v>Rareza</v>
      </c>
      <c r="G5" s="18" t="s">
        <v>7198</v>
      </c>
      <c r="H5" s="16" t="str">
        <f>TRIM(_xlfn.TEXTBEFORE(G4, ":"))</f>
        <v>Rareté</v>
      </c>
      <c r="I5" s="18" t="s">
        <v>7801</v>
      </c>
      <c r="J5" s="16" t="str">
        <f>TRIM(_xlfn.TEXTBEFORE(I4, ":"))</f>
        <v>レアリティ</v>
      </c>
      <c r="K5" s="18" t="s">
        <v>7723</v>
      </c>
      <c r="L5" s="16" t="str">
        <f>TRIM(_xlfn.TEXTBEFORE(K4, ":"))</f>
        <v>아이템 희귀도</v>
      </c>
      <c r="M5" s="18" t="s">
        <v>7339</v>
      </c>
      <c r="N5" s="16" t="str">
        <f>TRIM(_xlfn.TEXTBEFORE(M4, ":"))</f>
        <v>Raridade</v>
      </c>
      <c r="O5" s="18" t="s">
        <v>7416</v>
      </c>
      <c r="P5" s="16" t="str">
        <f>TRIM(_xlfn.TEXTBEFORE(O4, ":"))</f>
        <v>Редкость</v>
      </c>
      <c r="Q5" s="18" t="s">
        <v>7479</v>
      </c>
      <c r="R5" s="16" t="str">
        <f>TRIM(_xlfn.TEXTBEFORE(Q4, ":"))</f>
        <v>ความหายาก</v>
      </c>
      <c r="S5" s="18" t="s">
        <v>7575</v>
      </c>
      <c r="T5" s="20" t="str">
        <f>TRIM(_xlfn.TEXTBEFORE(S4, ":"))</f>
        <v>稀有度</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t="s">
        <v>4</v>
      </c>
      <c r="T6" s="20" t="str">
        <f>TRIM(_xlfn.TEXTAFTER(S4,":"))</f>
        <v>普通</v>
      </c>
    </row>
    <row r="7" spans="1:20" ht="15.95" customHeight="1" x14ac:dyDescent="0.25">
      <c r="A7" s="18" t="s">
        <v>7123</v>
      </c>
      <c r="B7" s="16"/>
      <c r="C7" s="18" t="s">
        <v>7270</v>
      </c>
      <c r="D7" s="16"/>
      <c r="E7" s="18" t="s">
        <v>7647</v>
      </c>
      <c r="F7" s="16"/>
      <c r="G7" s="18" t="s">
        <v>7199</v>
      </c>
      <c r="H7" s="16"/>
      <c r="I7" s="18" t="s">
        <v>7802</v>
      </c>
      <c r="J7" s="16"/>
      <c r="K7" s="18" t="s">
        <v>7724</v>
      </c>
      <c r="L7" s="16"/>
      <c r="M7" s="18" t="s">
        <v>7340</v>
      </c>
      <c r="N7" s="16"/>
      <c r="O7" s="18" t="s">
        <v>7417</v>
      </c>
      <c r="P7" s="16"/>
      <c r="Q7" s="18" t="s">
        <v>7480</v>
      </c>
      <c r="R7" s="16"/>
      <c r="S7" s="18" t="s">
        <v>7576</v>
      </c>
      <c r="T7" s="20"/>
    </row>
    <row r="8" spans="1:20" ht="15.95" customHeight="1" x14ac:dyDescent="0.25">
      <c r="A8" s="18" t="s">
        <v>7124</v>
      </c>
      <c r="B8" s="16"/>
      <c r="C8" s="18" t="s">
        <v>4</v>
      </c>
      <c r="D8" s="16"/>
      <c r="E8" s="18" t="s">
        <v>7648</v>
      </c>
      <c r="F8" s="16"/>
      <c r="G8" s="18" t="s">
        <v>7200</v>
      </c>
      <c r="H8" s="16"/>
      <c r="I8" s="18" t="s">
        <v>7803</v>
      </c>
      <c r="J8" s="16"/>
      <c r="K8" s="18" t="s">
        <v>7725</v>
      </c>
      <c r="L8" s="16"/>
      <c r="M8" s="18" t="s">
        <v>7341</v>
      </c>
      <c r="N8" s="16"/>
      <c r="O8" s="18" t="s">
        <v>7418</v>
      </c>
      <c r="P8" s="16"/>
      <c r="Q8" s="18" t="s">
        <v>7481</v>
      </c>
      <c r="R8" s="16"/>
      <c r="S8" s="18" t="s">
        <v>7577</v>
      </c>
      <c r="T8" s="20"/>
    </row>
    <row r="9" spans="1:20" ht="15.95" customHeight="1" x14ac:dyDescent="0.25">
      <c r="A9" s="18" t="s">
        <v>4</v>
      </c>
      <c r="B9" s="16"/>
      <c r="C9" s="18" t="s">
        <v>7271</v>
      </c>
      <c r="D9" s="16"/>
      <c r="E9" s="18" t="s">
        <v>4</v>
      </c>
      <c r="F9" s="16"/>
      <c r="G9" s="18" t="s">
        <v>4</v>
      </c>
      <c r="H9" s="16"/>
      <c r="I9" s="18" t="s">
        <v>4</v>
      </c>
      <c r="J9" s="16"/>
      <c r="K9" s="18" t="s">
        <v>4</v>
      </c>
      <c r="L9" s="16"/>
      <c r="M9" s="18" t="s">
        <v>4</v>
      </c>
      <c r="N9" s="16"/>
      <c r="O9" s="18" t="s">
        <v>4</v>
      </c>
      <c r="P9" s="16"/>
      <c r="Q9" s="18" t="s">
        <v>4</v>
      </c>
      <c r="R9" s="16"/>
      <c r="S9" s="18" t="s">
        <v>4</v>
      </c>
      <c r="T9" s="20"/>
    </row>
    <row r="10" spans="1:20" ht="15.95" customHeight="1" x14ac:dyDescent="0.25">
      <c r="A10" s="18" t="s">
        <v>7125</v>
      </c>
      <c r="B10" s="16"/>
      <c r="C10" s="18"/>
      <c r="D10" s="16"/>
      <c r="E10" s="18" t="s">
        <v>7649</v>
      </c>
      <c r="F10" s="16"/>
      <c r="G10" s="18" t="s">
        <v>7201</v>
      </c>
      <c r="H10" s="16"/>
      <c r="I10" s="18" t="s">
        <v>7804</v>
      </c>
      <c r="J10" s="16"/>
      <c r="K10" s="18" t="s">
        <v>7726</v>
      </c>
      <c r="L10" s="16"/>
      <c r="M10" s="18" t="s">
        <v>7342</v>
      </c>
      <c r="N10" s="16"/>
      <c r="O10" s="18" t="s">
        <v>7419</v>
      </c>
      <c r="P10" s="16"/>
      <c r="Q10" s="18" t="s">
        <v>7482</v>
      </c>
      <c r="R10" s="16"/>
      <c r="S10" s="18" t="s">
        <v>7578</v>
      </c>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6" priority="2" stopIfTrue="1">
      <formula>NOT(ISERROR(A3))</formula>
    </cfRule>
  </conditionalFormatting>
  <conditionalFormatting sqref="A3:T51">
    <cfRule type="containsErrors" dxfId="35" priority="1" stopIfTrue="1">
      <formula>ISERROR(A3)</formula>
    </cfRule>
    <cfRule type="notContainsBlanks" dxfId="34" priority="3">
      <formula>LEN(TRIM(A3))&gt;0</formula>
    </cfRule>
  </conditionalFormatting>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FE720-4FB7-4833-A3D6-FB3129205D74}">
  <sheetPr codeName="Sheet82"/>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8" t="s">
        <v>84</v>
      </c>
    </row>
    <row r="3" spans="1:20" ht="15.95" customHeight="1" x14ac:dyDescent="0.25">
      <c r="A3" s="17" t="s">
        <v>7126</v>
      </c>
      <c r="B3" s="16" t="str">
        <f>TRIM(_xlfn.TEXTBEFORE(A3, ":"))</f>
        <v>Item Class</v>
      </c>
      <c r="C3" s="17" t="s">
        <v>7272</v>
      </c>
      <c r="D3" s="16" t="str">
        <f>TRIM(_xlfn.TEXTBEFORE(C3, ":"))</f>
        <v>Gegenstandsklasse</v>
      </c>
      <c r="E3" s="17" t="s">
        <v>7650</v>
      </c>
      <c r="F3" s="16" t="str">
        <f>TRIM(_xlfn.TEXTBEFORE(E3, ":"))</f>
        <v>Clase de objeto</v>
      </c>
      <c r="G3" s="17" t="s">
        <v>7202</v>
      </c>
      <c r="H3" s="16" t="str">
        <f>TRIM(_xlfn.TEXTBEFORE(G3, ":"))</f>
        <v>Classe d'objet</v>
      </c>
      <c r="I3" s="17" t="s">
        <v>7805</v>
      </c>
      <c r="J3" s="16" t="str">
        <f>TRIM(_xlfn.TEXTBEFORE(I3, ":"))</f>
        <v>アイテムクラス</v>
      </c>
      <c r="K3" s="17" t="s">
        <v>7727</v>
      </c>
      <c r="L3" s="16" t="str">
        <f>TRIM(_xlfn.TEXTBEFORE(K3, ":"))</f>
        <v>아이템 종류</v>
      </c>
      <c r="M3" s="17" t="s">
        <v>7343</v>
      </c>
      <c r="N3" s="16" t="str">
        <f>TRIM(_xlfn.TEXTBEFORE(M3, ":"))</f>
        <v>Classe do Item</v>
      </c>
      <c r="O3" s="17" t="s">
        <v>7420</v>
      </c>
      <c r="P3" s="16" t="str">
        <f>TRIM(_xlfn.TEXTBEFORE(O3, ":"))</f>
        <v>Класс предмета</v>
      </c>
      <c r="Q3" s="17" t="s">
        <v>7483</v>
      </c>
      <c r="R3" s="16" t="str">
        <f>TRIM(_xlfn.TEXTBEFORE(Q3, ":"))</f>
        <v>ชนิดไอเทม</v>
      </c>
      <c r="S3" s="17" t="s">
        <v>7579</v>
      </c>
      <c r="T3" s="20" t="str">
        <f>TRIM(_xlfn.TEXTBEFORE(S3, ":"))</f>
        <v>物品種類</v>
      </c>
    </row>
    <row r="4" spans="1:20" ht="15.95" customHeight="1" x14ac:dyDescent="0.25">
      <c r="A4" s="18" t="s">
        <v>553</v>
      </c>
      <c r="B4" s="16" t="str">
        <f>TRIM(_xlfn.TEXTAFTER(A3, ":"))</f>
        <v>Pinnacle Keys</v>
      </c>
      <c r="C4" s="18" t="s">
        <v>1625</v>
      </c>
      <c r="D4" s="16" t="str">
        <f>TRIM(_xlfn.TEXTAFTER(C3, ":"))</f>
        <v>Zinnenschhlüssel</v>
      </c>
      <c r="E4" s="18" t="s">
        <v>2293</v>
      </c>
      <c r="F4" s="16" t="str">
        <f>TRIM(_xlfn.TEXTAFTER(E3, ":"))</f>
        <v>Llaves de jefes finales</v>
      </c>
      <c r="G4" s="18" t="s">
        <v>848</v>
      </c>
      <c r="H4" s="16" t="str">
        <f>TRIM(_xlfn.TEXTAFTER(G3, ":"))</f>
        <v>Clés de la Finalité</v>
      </c>
      <c r="I4" s="18" t="s">
        <v>3061</v>
      </c>
      <c r="J4" s="16" t="str">
        <f>TRIM(_xlfn.TEXTAFTER(I3, ":"))</f>
        <v>ピナクルキー</v>
      </c>
      <c r="K4" s="18" t="s">
        <v>3755</v>
      </c>
      <c r="L4" s="16" t="str">
        <f>TRIM(_xlfn.TEXTAFTER(K3, ":"))</f>
        <v>최종 열쇠</v>
      </c>
      <c r="M4" s="18" t="s">
        <v>4539</v>
      </c>
      <c r="N4" s="16" t="str">
        <f>TRIM(_xlfn.TEXTAFTER(M3, ":"))</f>
        <v>Chaves Supremas</v>
      </c>
      <c r="O4" s="18" t="s">
        <v>5223</v>
      </c>
      <c r="P4" s="16" t="str">
        <f>TRIM(_xlfn.TEXTAFTER(O3, ":"))</f>
        <v>Древние ключи</v>
      </c>
      <c r="Q4" s="18" t="s">
        <v>5911</v>
      </c>
      <c r="R4" s="16" t="str">
        <f>TRIM(_xlfn.TEXTAFTER(Q3, ":"))</f>
        <v>กุญแจอภิมหาบอส</v>
      </c>
      <c r="S4" s="18" t="s">
        <v>7503</v>
      </c>
      <c r="T4" s="20" t="str">
        <f>TRIM(_xlfn.TEXTAFTER(S3, ":"))</f>
        <v>巔峰鑰匙</v>
      </c>
    </row>
    <row r="5" spans="1:20" ht="15.95" customHeight="1" x14ac:dyDescent="0.25">
      <c r="A5" s="18" t="s">
        <v>7127</v>
      </c>
      <c r="B5" s="16" t="str">
        <f>TRIM(_xlfn.TEXTBEFORE(A4, ":"))</f>
        <v>Rarity</v>
      </c>
      <c r="C5" s="18" t="s">
        <v>7273</v>
      </c>
      <c r="D5" s="16" t="str">
        <f>TRIM(_xlfn.TEXTBEFORE(C4, ":"))</f>
        <v>Seltenheit</v>
      </c>
      <c r="E5" s="18" t="s">
        <v>7651</v>
      </c>
      <c r="F5" s="16" t="str">
        <f>TRIM(_xlfn.TEXTBEFORE(E4, ":"))</f>
        <v>Rareza</v>
      </c>
      <c r="G5" s="18" t="s">
        <v>7203</v>
      </c>
      <c r="H5" s="16" t="str">
        <f>TRIM(_xlfn.TEXTBEFORE(G4, ":"))</f>
        <v>Rareté</v>
      </c>
      <c r="I5" s="18" t="s">
        <v>7806</v>
      </c>
      <c r="J5" s="16" t="str">
        <f>TRIM(_xlfn.TEXTBEFORE(I4, ":"))</f>
        <v>レアリティ</v>
      </c>
      <c r="K5" s="18" t="s">
        <v>7728</v>
      </c>
      <c r="L5" s="16" t="str">
        <f>TRIM(_xlfn.TEXTBEFORE(K4, ":"))</f>
        <v>아이템 희귀도</v>
      </c>
      <c r="M5" s="18" t="s">
        <v>7344</v>
      </c>
      <c r="N5" s="16" t="str">
        <f>TRIM(_xlfn.TEXTBEFORE(M4, ":"))</f>
        <v>Raridade</v>
      </c>
      <c r="O5" s="18" t="s">
        <v>7127</v>
      </c>
      <c r="P5" s="16" t="str">
        <f>TRIM(_xlfn.TEXTBEFORE(O4, ":"))</f>
        <v>Редкость</v>
      </c>
      <c r="Q5" s="18" t="s">
        <v>7484</v>
      </c>
      <c r="R5" s="16" t="str">
        <f>TRIM(_xlfn.TEXTBEFORE(Q4, ":"))</f>
        <v>ความหายาก</v>
      </c>
      <c r="S5" s="18" t="s">
        <v>7580</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7128</v>
      </c>
      <c r="B7" s="16"/>
      <c r="C7" s="18" t="s">
        <v>7274</v>
      </c>
      <c r="D7" s="16"/>
      <c r="E7" s="18" t="s">
        <v>7652</v>
      </c>
      <c r="F7" s="16"/>
      <c r="G7" s="18" t="s">
        <v>7204</v>
      </c>
      <c r="H7" s="16"/>
      <c r="I7" s="18" t="s">
        <v>7807</v>
      </c>
      <c r="J7" s="16"/>
      <c r="K7" s="18" t="s">
        <v>7729</v>
      </c>
      <c r="L7" s="16"/>
      <c r="M7" s="18" t="s">
        <v>7345</v>
      </c>
      <c r="N7" s="16"/>
      <c r="O7" s="18" t="s">
        <v>7421</v>
      </c>
      <c r="P7" s="16"/>
      <c r="Q7" s="18" t="s">
        <v>7485</v>
      </c>
      <c r="R7" s="16"/>
      <c r="S7" s="18" t="s">
        <v>7581</v>
      </c>
      <c r="T7" s="20"/>
    </row>
    <row r="8" spans="1:20" ht="15.95" customHeight="1" x14ac:dyDescent="0.25">
      <c r="A8" s="18" t="s">
        <v>4</v>
      </c>
      <c r="B8" s="16"/>
      <c r="C8" s="18" t="s">
        <v>4</v>
      </c>
      <c r="D8" s="16"/>
      <c r="E8" s="18" t="s">
        <v>4</v>
      </c>
      <c r="F8" s="16"/>
      <c r="G8" s="18" t="s">
        <v>4</v>
      </c>
      <c r="H8" s="16"/>
      <c r="I8" s="18" t="s">
        <v>4</v>
      </c>
      <c r="J8" s="16"/>
      <c r="K8" s="18" t="s">
        <v>4</v>
      </c>
      <c r="L8" s="16"/>
      <c r="M8" s="18" t="s">
        <v>7346</v>
      </c>
      <c r="N8" s="16"/>
      <c r="O8" s="18" t="s">
        <v>4</v>
      </c>
      <c r="P8" s="16"/>
      <c r="Q8" s="18" t="s">
        <v>4</v>
      </c>
      <c r="R8" s="16"/>
      <c r="S8" s="18" t="s">
        <v>4</v>
      </c>
      <c r="T8" s="20"/>
    </row>
    <row r="9" spans="1:20" ht="15.95" customHeight="1" x14ac:dyDescent="0.25">
      <c r="A9" s="18" t="s">
        <v>7129</v>
      </c>
      <c r="B9" s="16"/>
      <c r="C9" s="18" t="s">
        <v>7275</v>
      </c>
      <c r="D9" s="16"/>
      <c r="E9" s="18" t="s">
        <v>7653</v>
      </c>
      <c r="F9" s="16"/>
      <c r="G9" s="18" t="s">
        <v>7205</v>
      </c>
      <c r="H9" s="16"/>
      <c r="I9" s="18" t="s">
        <v>7808</v>
      </c>
      <c r="J9" s="16"/>
      <c r="K9" s="18" t="s">
        <v>7730</v>
      </c>
      <c r="L9" s="16"/>
      <c r="M9" s="18" t="s">
        <v>4</v>
      </c>
      <c r="N9" s="16"/>
      <c r="O9" s="18" t="s">
        <v>7422</v>
      </c>
      <c r="P9" s="16"/>
      <c r="Q9" s="18" t="s">
        <v>7486</v>
      </c>
      <c r="R9" s="16"/>
      <c r="S9" s="18" t="s">
        <v>7582</v>
      </c>
      <c r="T9" s="20"/>
    </row>
    <row r="10" spans="1:20" ht="15.95" customHeight="1" x14ac:dyDescent="0.25">
      <c r="A10" s="18"/>
      <c r="B10" s="16"/>
      <c r="C10" s="18"/>
      <c r="D10" s="16"/>
      <c r="E10" s="18"/>
      <c r="F10" s="16"/>
      <c r="G10" s="18"/>
      <c r="H10" s="16"/>
      <c r="I10" s="18"/>
      <c r="J10" s="16"/>
      <c r="K10" s="18"/>
      <c r="L10" s="16"/>
      <c r="M10" s="18" t="s">
        <v>7347</v>
      </c>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3" priority="2" stopIfTrue="1">
      <formula>NOT(ISERROR(A3))</formula>
    </cfRule>
  </conditionalFormatting>
  <conditionalFormatting sqref="A3:T51">
    <cfRule type="containsErrors" dxfId="32" priority="1" stopIfTrue="1">
      <formula>ISERROR(A3)</formula>
    </cfRule>
    <cfRule type="notContainsBlanks" dxfId="31" priority="3">
      <formula>LEN(TRIM(A3))&gt;0</formula>
    </cfRule>
  </conditionalFormatting>
  <pageMargins left="0.7" right="0.7" top="0.75" bottom="0.75" header="0.3" footer="0.3"/>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E1C19B-E0AD-49C2-A95D-F11448B4DC19}">
  <sheetPr codeName="Sheet83"/>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8" t="s">
        <v>84</v>
      </c>
    </row>
    <row r="3" spans="1:20" ht="15.95" customHeight="1" x14ac:dyDescent="0.25">
      <c r="A3" s="17" t="s">
        <v>7130</v>
      </c>
      <c r="B3" s="16" t="str">
        <f>TRIM(_xlfn.TEXTBEFORE(A3, ":"))</f>
        <v>Item Class</v>
      </c>
      <c r="C3" s="17" t="s">
        <v>7276</v>
      </c>
      <c r="D3" s="16" t="str">
        <f>TRIM(_xlfn.TEXTBEFORE(C3, ":"))</f>
        <v>Gegenstandsklasse</v>
      </c>
      <c r="E3" s="17" t="s">
        <v>7654</v>
      </c>
      <c r="F3" s="16" t="str">
        <f>TRIM(_xlfn.TEXTBEFORE(E3, ":"))</f>
        <v>Clase de objeto</v>
      </c>
      <c r="G3" s="17" t="s">
        <v>7206</v>
      </c>
      <c r="H3" s="16" t="str">
        <f>TRIM(_xlfn.TEXTBEFORE(G3, ":"))</f>
        <v>Classe d'objet</v>
      </c>
      <c r="I3" s="17" t="s">
        <v>7809</v>
      </c>
      <c r="J3" s="16" t="str">
        <f>TRIM(_xlfn.TEXTBEFORE(I3, ":"))</f>
        <v>アイテムクラス</v>
      </c>
      <c r="K3" s="17" t="s">
        <v>7731</v>
      </c>
      <c r="L3" s="16" t="str">
        <f>TRIM(_xlfn.TEXTBEFORE(K3, ":"))</f>
        <v>아이템 종류</v>
      </c>
      <c r="M3" s="17" t="s">
        <v>7348</v>
      </c>
      <c r="N3" s="16" t="str">
        <f>TRIM(_xlfn.TEXTBEFORE(M3, ":"))</f>
        <v>Classe do Item</v>
      </c>
      <c r="O3" s="17" t="s">
        <v>7423</v>
      </c>
      <c r="P3" s="16" t="str">
        <f>TRIM(_xlfn.TEXTBEFORE(O3, ":"))</f>
        <v>Класс предмета</v>
      </c>
      <c r="Q3" s="17" t="s">
        <v>7487</v>
      </c>
      <c r="R3" s="16" t="str">
        <f>TRIM(_xlfn.TEXTBEFORE(Q3, ":"))</f>
        <v>ชนิดไอเทม</v>
      </c>
      <c r="S3" s="17" t="s">
        <v>7583</v>
      </c>
      <c r="T3" s="20" t="str">
        <f>TRIM(_xlfn.TEXTBEFORE(S3, ":"))</f>
        <v>物品種類</v>
      </c>
    </row>
    <row r="4" spans="1:20" ht="15.95" customHeight="1" x14ac:dyDescent="0.25">
      <c r="A4" s="18" t="s">
        <v>553</v>
      </c>
      <c r="B4" s="16" t="str">
        <f>TRIM(_xlfn.TEXTAFTER(A3, ":"))</f>
        <v>Omen</v>
      </c>
      <c r="C4" s="18" t="s">
        <v>1625</v>
      </c>
      <c r="D4" s="16" t="str">
        <f>TRIM(_xlfn.TEXTAFTER(C3, ":"))</f>
        <v>Omen</v>
      </c>
      <c r="E4" s="18" t="s">
        <v>2293</v>
      </c>
      <c r="F4" s="16" t="str">
        <f>TRIM(_xlfn.TEXTAFTER(E3, ":"))</f>
        <v>Augurio</v>
      </c>
      <c r="G4" s="18" t="s">
        <v>848</v>
      </c>
      <c r="H4" s="16" t="str">
        <f>TRIM(_xlfn.TEXTAFTER(G3, ":"))</f>
        <v>Présage</v>
      </c>
      <c r="I4" s="18" t="s">
        <v>3061</v>
      </c>
      <c r="J4" s="16" t="str">
        <f>TRIM(_xlfn.TEXTAFTER(I3, ":"))</f>
        <v>お告げ</v>
      </c>
      <c r="K4" s="18" t="s">
        <v>3755</v>
      </c>
      <c r="L4" s="16" t="str">
        <f>TRIM(_xlfn.TEXTAFTER(K3, ":"))</f>
        <v>징조</v>
      </c>
      <c r="M4" s="18" t="s">
        <v>4539</v>
      </c>
      <c r="N4" s="16" t="str">
        <f>TRIM(_xlfn.TEXTAFTER(M3, ":"))</f>
        <v>Presságio</v>
      </c>
      <c r="O4" s="18" t="s">
        <v>5223</v>
      </c>
      <c r="P4" s="16" t="str">
        <f>TRIM(_xlfn.TEXTAFTER(O3, ":"))</f>
        <v>Предзнаменования</v>
      </c>
      <c r="Q4" s="18" t="s">
        <v>5911</v>
      </c>
      <c r="R4" s="16" t="str">
        <f>TRIM(_xlfn.TEXTAFTER(Q3, ":"))</f>
        <v>ลางบอกเหตุ</v>
      </c>
      <c r="S4" s="18" t="s">
        <v>7503</v>
      </c>
      <c r="T4" s="20" t="str">
        <f>TRIM(_xlfn.TEXTAFTER(S3, ":"))</f>
        <v>預兆</v>
      </c>
    </row>
    <row r="5" spans="1:20" ht="15.95" customHeight="1" x14ac:dyDescent="0.25">
      <c r="A5" s="18" t="s">
        <v>7131</v>
      </c>
      <c r="B5" s="16" t="str">
        <f>TRIM(_xlfn.TEXTBEFORE(A4, ":"))</f>
        <v>Rarity</v>
      </c>
      <c r="C5" s="18" t="s">
        <v>7277</v>
      </c>
      <c r="D5" s="16" t="str">
        <f>TRIM(_xlfn.TEXTBEFORE(C4, ":"))</f>
        <v>Seltenheit</v>
      </c>
      <c r="E5" s="18" t="s">
        <v>7655</v>
      </c>
      <c r="F5" s="16" t="str">
        <f>TRIM(_xlfn.TEXTBEFORE(E4, ":"))</f>
        <v>Rareza</v>
      </c>
      <c r="G5" s="18" t="s">
        <v>7207</v>
      </c>
      <c r="H5" s="16" t="str">
        <f>TRIM(_xlfn.TEXTBEFORE(G4, ":"))</f>
        <v>Rareté</v>
      </c>
      <c r="I5" s="18" t="s">
        <v>7810</v>
      </c>
      <c r="J5" s="16" t="str">
        <f>TRIM(_xlfn.TEXTBEFORE(I4, ":"))</f>
        <v>レアリティ</v>
      </c>
      <c r="K5" s="18" t="s">
        <v>7732</v>
      </c>
      <c r="L5" s="16" t="str">
        <f>TRIM(_xlfn.TEXTBEFORE(K4, ":"))</f>
        <v>아이템 희귀도</v>
      </c>
      <c r="M5" s="18" t="s">
        <v>7349</v>
      </c>
      <c r="N5" s="16" t="str">
        <f>TRIM(_xlfn.TEXTBEFORE(M4, ":"))</f>
        <v>Raridade</v>
      </c>
      <c r="O5" s="18" t="s">
        <v>7131</v>
      </c>
      <c r="P5" s="16" t="str">
        <f>TRIM(_xlfn.TEXTBEFORE(O4, ":"))</f>
        <v>Редкость</v>
      </c>
      <c r="Q5" s="18" t="s">
        <v>7488</v>
      </c>
      <c r="R5" s="16" t="str">
        <f>TRIM(_xlfn.TEXTBEFORE(Q4, ":"))</f>
        <v>ความหายาก</v>
      </c>
      <c r="S5" s="18" t="s">
        <v>7584</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7132</v>
      </c>
      <c r="B7" s="16"/>
      <c r="C7" s="18" t="s">
        <v>7278</v>
      </c>
      <c r="D7" s="16"/>
      <c r="E7" s="18" t="s">
        <v>7656</v>
      </c>
      <c r="F7" s="16"/>
      <c r="G7" s="18" t="s">
        <v>7208</v>
      </c>
      <c r="H7" s="16"/>
      <c r="I7" s="18" t="s">
        <v>7811</v>
      </c>
      <c r="J7" s="16"/>
      <c r="K7" s="18" t="s">
        <v>7733</v>
      </c>
      <c r="L7" s="16"/>
      <c r="M7" s="18" t="s">
        <v>7350</v>
      </c>
      <c r="N7" s="16"/>
      <c r="O7" s="18" t="s">
        <v>7424</v>
      </c>
      <c r="P7" s="16"/>
      <c r="Q7" s="18" t="s">
        <v>7489</v>
      </c>
      <c r="R7" s="16"/>
      <c r="S7" s="18" t="s">
        <v>7585</v>
      </c>
      <c r="T7" s="20"/>
    </row>
    <row r="8" spans="1:20" ht="15.95" customHeight="1" x14ac:dyDescent="0.25">
      <c r="A8" s="18" t="s">
        <v>7133</v>
      </c>
      <c r="B8" s="16"/>
      <c r="C8" s="18" t="s">
        <v>7279</v>
      </c>
      <c r="D8" s="16"/>
      <c r="E8" s="18" t="s">
        <v>7657</v>
      </c>
      <c r="F8" s="16"/>
      <c r="G8" s="18" t="s">
        <v>7209</v>
      </c>
      <c r="H8" s="16"/>
      <c r="I8" s="18" t="s">
        <v>7812</v>
      </c>
      <c r="J8" s="16"/>
      <c r="K8" s="18" t="s">
        <v>7734</v>
      </c>
      <c r="L8" s="16"/>
      <c r="M8" s="18" t="s">
        <v>7351</v>
      </c>
      <c r="N8" s="16"/>
      <c r="O8" s="18" t="s">
        <v>7425</v>
      </c>
      <c r="P8" s="16"/>
      <c r="Q8" s="18" t="s">
        <v>7490</v>
      </c>
      <c r="R8" s="16"/>
      <c r="S8" s="18" t="s">
        <v>7586</v>
      </c>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t="s">
        <v>4</v>
      </c>
      <c r="T9" s="20"/>
    </row>
    <row r="10" spans="1:20" ht="15.95" customHeight="1" x14ac:dyDescent="0.25">
      <c r="A10" s="18" t="s">
        <v>7134</v>
      </c>
      <c r="B10" s="16"/>
      <c r="C10" s="18" t="s">
        <v>7280</v>
      </c>
      <c r="D10" s="16"/>
      <c r="E10" s="18" t="s">
        <v>7658</v>
      </c>
      <c r="F10" s="16"/>
      <c r="G10" s="18" t="s">
        <v>7210</v>
      </c>
      <c r="H10" s="16"/>
      <c r="I10" s="18" t="s">
        <v>7813</v>
      </c>
      <c r="J10" s="16"/>
      <c r="K10" s="18" t="s">
        <v>7735</v>
      </c>
      <c r="L10" s="16"/>
      <c r="M10" s="18" t="s">
        <v>7352</v>
      </c>
      <c r="N10" s="16"/>
      <c r="O10" s="18" t="s">
        <v>7426</v>
      </c>
      <c r="P10" s="16"/>
      <c r="Q10" s="18" t="s">
        <v>7491</v>
      </c>
      <c r="R10" s="16"/>
      <c r="S10" s="18" t="s">
        <v>7587</v>
      </c>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0" priority="2" stopIfTrue="1">
      <formula>NOT(ISERROR(A3))</formula>
    </cfRule>
  </conditionalFormatting>
  <conditionalFormatting sqref="A3:T51">
    <cfRule type="containsErrors" dxfId="29" priority="1" stopIfTrue="1">
      <formula>ISERROR(A3)</formula>
    </cfRule>
    <cfRule type="notContainsBlanks" dxfId="28" priority="3">
      <formula>LEN(TRIM(A3))&gt;0</formula>
    </cfRule>
  </conditionalFormatting>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E8DB3-277B-43AA-9CDD-31C4D3E22998}">
  <sheetPr codeName="Sheet84"/>
  <dimension ref="A1:T51"/>
  <sheetViews>
    <sheetView workbookViewId="0">
      <selection activeCell="B9" sqref="B9"/>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8" t="s">
        <v>84</v>
      </c>
    </row>
    <row r="3" spans="1:20" ht="15.95" customHeight="1" x14ac:dyDescent="0.25">
      <c r="A3" s="17" t="s">
        <v>442</v>
      </c>
      <c r="B3" s="16" t="str">
        <f>TRIM(_xlfn.TEXTBEFORE(A3, ":"))</f>
        <v>Item Class</v>
      </c>
      <c r="C3" s="17"/>
      <c r="D3" s="16" t="e">
        <f>TRIM(_xlfn.TEXTBEFORE(C3, ":"))</f>
        <v>#N/A</v>
      </c>
      <c r="E3" s="17"/>
      <c r="F3" s="16" t="e">
        <f>TRIM(_xlfn.TEXTBEFORE(E3, ":"))</f>
        <v>#N/A</v>
      </c>
      <c r="G3" s="17"/>
      <c r="H3" s="16" t="e">
        <f>TRIM(_xlfn.TEXTBEFORE(G3, ":"))</f>
        <v>#N/A</v>
      </c>
      <c r="I3" s="17"/>
      <c r="J3" s="16" t="e">
        <f>TRIM(_xlfn.TEXTBEFORE(I3, ":"))</f>
        <v>#N/A</v>
      </c>
      <c r="K3" s="17"/>
      <c r="L3" s="16" t="e">
        <f>TRIM(_xlfn.TEXTBEFORE(K3, ":"))</f>
        <v>#N/A</v>
      </c>
      <c r="M3" s="17"/>
      <c r="N3" s="16" t="e">
        <f>TRIM(_xlfn.TEXTBEFORE(M3, ":"))</f>
        <v>#N/A</v>
      </c>
      <c r="O3" s="17" t="s">
        <v>5383</v>
      </c>
      <c r="P3" s="16" t="str">
        <f>TRIM(_xlfn.TEXTBEFORE(O3, ":"))</f>
        <v>Класс предмета</v>
      </c>
      <c r="Q3" s="17"/>
      <c r="R3" s="16" t="e">
        <f>TRIM(_xlfn.TEXTBEFORE(Q3, ":"))</f>
        <v>#N/A</v>
      </c>
      <c r="S3" s="17"/>
      <c r="T3" s="20" t="e">
        <f>TRIM(_xlfn.TEXTBEFORE(S3, ":"))</f>
        <v>#N/A</v>
      </c>
    </row>
    <row r="4" spans="1:20" ht="15.95" customHeight="1" x14ac:dyDescent="0.25">
      <c r="A4" s="18" t="s">
        <v>484</v>
      </c>
      <c r="B4" s="16" t="str">
        <f>TRIM(_xlfn.TEXTAFTER(A3, ":"))</f>
        <v>Helmets</v>
      </c>
      <c r="C4" s="18"/>
      <c r="D4" s="16" t="e">
        <f>TRIM(_xlfn.TEXTAFTER(C3, ":"))</f>
        <v>#N/A</v>
      </c>
      <c r="E4" s="18"/>
      <c r="F4" s="16" t="e">
        <f>TRIM(_xlfn.TEXTAFTER(E3, ":"))</f>
        <v>#N/A</v>
      </c>
      <c r="G4" s="18"/>
      <c r="H4" s="16" t="e">
        <f>TRIM(_xlfn.TEXTAFTER(G3, ":"))</f>
        <v>#N/A</v>
      </c>
      <c r="I4" s="18"/>
      <c r="J4" s="16" t="e">
        <f>TRIM(_xlfn.TEXTAFTER(I3, ":"))</f>
        <v>#N/A</v>
      </c>
      <c r="K4" s="18"/>
      <c r="L4" s="16" t="e">
        <f>TRIM(_xlfn.TEXTAFTER(K3, ":"))</f>
        <v>#N/A</v>
      </c>
      <c r="M4" s="18"/>
      <c r="N4" s="16" t="e">
        <f>TRIM(_xlfn.TEXTAFTER(M3, ":"))</f>
        <v>#N/A</v>
      </c>
      <c r="O4" s="18" t="s">
        <v>5451</v>
      </c>
      <c r="P4" s="16" t="str">
        <f>TRIM(_xlfn.TEXTAFTER(O3, ":"))</f>
        <v>Шлемы</v>
      </c>
      <c r="Q4" s="18"/>
      <c r="R4" s="16" t="e">
        <f>TRIM(_xlfn.TEXTAFTER(Q3, ":"))</f>
        <v>#N/A</v>
      </c>
      <c r="S4" s="18"/>
      <c r="T4" s="20" t="e">
        <f>TRIM(_xlfn.TEXTAFTER(S3, ":"))</f>
        <v>#N/A</v>
      </c>
    </row>
    <row r="5" spans="1:20" ht="15.95" customHeight="1" x14ac:dyDescent="0.25">
      <c r="A5" s="18" t="s">
        <v>7845</v>
      </c>
      <c r="B5" s="16" t="str">
        <f>TRIM(_xlfn.TEXTBEFORE(A4, ":"))</f>
        <v>Rarity</v>
      </c>
      <c r="C5" s="18"/>
      <c r="D5" s="16" t="e">
        <f>TRIM(_xlfn.TEXTBEFORE(C4, ":"))</f>
        <v>#N/A</v>
      </c>
      <c r="E5" s="18"/>
      <c r="F5" s="16" t="e">
        <f>TRIM(_xlfn.TEXTBEFORE(E4, ":"))</f>
        <v>#N/A</v>
      </c>
      <c r="G5" s="18"/>
      <c r="H5" s="16" t="e">
        <f>TRIM(_xlfn.TEXTBEFORE(G4, ":"))</f>
        <v>#N/A</v>
      </c>
      <c r="I5" s="18"/>
      <c r="J5" s="16" t="e">
        <f>TRIM(_xlfn.TEXTBEFORE(I4, ":"))</f>
        <v>#N/A</v>
      </c>
      <c r="K5" s="18"/>
      <c r="L5" s="16" t="e">
        <f>TRIM(_xlfn.TEXTBEFORE(K4, ":"))</f>
        <v>#N/A</v>
      </c>
      <c r="M5" s="18"/>
      <c r="N5" s="16" t="e">
        <f>TRIM(_xlfn.TEXTBEFORE(M4, ":"))</f>
        <v>#N/A</v>
      </c>
      <c r="O5" s="18" t="s">
        <v>7857</v>
      </c>
      <c r="P5" s="16" t="str">
        <f>TRIM(_xlfn.TEXTBEFORE(O4, ":"))</f>
        <v>Редкость</v>
      </c>
      <c r="Q5" s="18"/>
      <c r="R5" s="16" t="e">
        <f>TRIM(_xlfn.TEXTBEFORE(Q4, ":"))</f>
        <v>#N/A</v>
      </c>
      <c r="S5" s="18"/>
      <c r="T5" s="20" t="e">
        <f>TRIM(_xlfn.TEXTBEFORE(S4, ":"))</f>
        <v>#N/A</v>
      </c>
    </row>
    <row r="6" spans="1:20" ht="15.95" customHeight="1" x14ac:dyDescent="0.25">
      <c r="A6" s="18" t="s">
        <v>7846</v>
      </c>
      <c r="B6" s="16" t="str">
        <f>TRIM(_xlfn.TEXTAFTER(A4,":"))</f>
        <v>Rare</v>
      </c>
      <c r="C6" s="18"/>
      <c r="D6" s="16" t="e">
        <f>TRIM(_xlfn.TEXTAFTER(C4,":"))</f>
        <v>#N/A</v>
      </c>
      <c r="E6" s="18"/>
      <c r="F6" s="16" t="e">
        <f>TRIM(_xlfn.TEXTAFTER(E4,":"))</f>
        <v>#N/A</v>
      </c>
      <c r="G6" s="18"/>
      <c r="H6" s="16" t="e">
        <f>TRIM(_xlfn.TEXTAFTER(G4,":"))</f>
        <v>#N/A</v>
      </c>
      <c r="I6" s="18"/>
      <c r="J6" s="16" t="e">
        <f>TRIM(_xlfn.TEXTAFTER(I4,":"))</f>
        <v>#N/A</v>
      </c>
      <c r="K6" s="18"/>
      <c r="L6" s="16" t="e">
        <f>TRIM(_xlfn.TEXTAFTER(K4,":"))</f>
        <v>#N/A</v>
      </c>
      <c r="M6" s="18"/>
      <c r="N6" s="16" t="e">
        <f>TRIM(_xlfn.TEXTAFTER(M4,":"))</f>
        <v>#N/A</v>
      </c>
      <c r="O6" s="18" t="s">
        <v>7858</v>
      </c>
      <c r="P6" s="16" t="str">
        <f>TRIM(_xlfn.TEXTAFTER(O4,":"))</f>
        <v>Редкий</v>
      </c>
      <c r="Q6" s="18"/>
      <c r="R6" s="16" t="e">
        <f>TRIM(_xlfn.TEXTAFTER(Q4,":"))</f>
        <v>#N/A</v>
      </c>
      <c r="S6" s="18"/>
      <c r="T6" s="20" t="e">
        <f>TRIM(_xlfn.TEXTAFTER(S4,":"))</f>
        <v>#N/A</v>
      </c>
    </row>
    <row r="7" spans="1:20" ht="15.95" customHeight="1" x14ac:dyDescent="0.25">
      <c r="A7" s="18" t="s">
        <v>4</v>
      </c>
      <c r="B7" s="16"/>
      <c r="C7" s="18"/>
      <c r="D7" s="16"/>
      <c r="E7" s="18"/>
      <c r="F7" s="16"/>
      <c r="G7" s="18"/>
      <c r="H7" s="16"/>
      <c r="I7" s="18"/>
      <c r="J7" s="16"/>
      <c r="K7" s="18"/>
      <c r="L7" s="16"/>
      <c r="M7" s="18"/>
      <c r="N7" s="16"/>
      <c r="O7" s="18" t="s">
        <v>4</v>
      </c>
      <c r="P7" s="16"/>
      <c r="Q7" s="18"/>
      <c r="R7" s="16"/>
      <c r="S7" s="18"/>
      <c r="T7" s="20"/>
    </row>
    <row r="8" spans="1:20" ht="15.95" customHeight="1" x14ac:dyDescent="0.25">
      <c r="A8" s="18" t="s">
        <v>471</v>
      </c>
      <c r="B8" s="16"/>
      <c r="C8" s="18"/>
      <c r="D8" s="16"/>
      <c r="E8" s="18"/>
      <c r="F8" s="16"/>
      <c r="G8" s="18"/>
      <c r="H8" s="16"/>
      <c r="I8" s="18"/>
      <c r="J8" s="16"/>
      <c r="K8" s="18"/>
      <c r="L8" s="16"/>
      <c r="M8" s="18"/>
      <c r="N8" s="16"/>
      <c r="O8" s="18" t="s">
        <v>5195</v>
      </c>
      <c r="P8" s="16"/>
      <c r="Q8" s="18"/>
      <c r="R8" s="16"/>
      <c r="S8" s="18"/>
      <c r="T8" s="20"/>
    </row>
    <row r="9" spans="1:20" ht="15.95" customHeight="1" x14ac:dyDescent="0.25">
      <c r="A9" s="18" t="s">
        <v>7847</v>
      </c>
      <c r="B9" s="16" t="str">
        <f>TRIM(_xlfn.TEXTBEFORE(A9,":"))</f>
        <v>Energy Shield</v>
      </c>
      <c r="C9" s="18"/>
      <c r="D9" s="16" t="str">
        <f>""</f>
        <v/>
      </c>
      <c r="E9" s="18"/>
      <c r="F9" s="16" t="str">
        <f>""</f>
        <v/>
      </c>
      <c r="G9" s="18"/>
      <c r="H9" s="16" t="str">
        <f>""</f>
        <v/>
      </c>
      <c r="I9" s="18"/>
      <c r="J9" s="16" t="str">
        <f>""</f>
        <v/>
      </c>
      <c r="K9" s="18"/>
      <c r="L9" s="16" t="str">
        <f>""</f>
        <v/>
      </c>
      <c r="M9" s="18"/>
      <c r="N9" s="16" t="str">
        <f>""</f>
        <v/>
      </c>
      <c r="O9" s="18" t="s">
        <v>7859</v>
      </c>
      <c r="P9" s="16" t="str">
        <f>TRIM(_xlfn.TEXTBEFORE(O9,":"))</f>
        <v>Энергетический щит</v>
      </c>
      <c r="Q9" s="18"/>
      <c r="R9" s="16" t="str">
        <f>""</f>
        <v/>
      </c>
      <c r="S9" s="18"/>
      <c r="T9" s="16" t="str">
        <f>""</f>
        <v/>
      </c>
    </row>
    <row r="10" spans="1:20" ht="15.95" customHeight="1" x14ac:dyDescent="0.25">
      <c r="A10" s="18" t="s">
        <v>4</v>
      </c>
      <c r="B10" s="16"/>
      <c r="C10" s="18"/>
      <c r="D10" s="16"/>
      <c r="E10" s="18"/>
      <c r="F10" s="16"/>
      <c r="G10" s="18"/>
      <c r="H10" s="16"/>
      <c r="I10" s="18"/>
      <c r="J10" s="16"/>
      <c r="K10" s="18"/>
      <c r="L10" s="16"/>
      <c r="M10" s="18"/>
      <c r="N10" s="16"/>
      <c r="O10" s="18" t="s">
        <v>4</v>
      </c>
      <c r="P10" s="16"/>
      <c r="Q10" s="18"/>
      <c r="R10" s="16"/>
      <c r="S10" s="18"/>
      <c r="T10" s="20"/>
    </row>
    <row r="11" spans="1:20" ht="15.95" customHeight="1" x14ac:dyDescent="0.25">
      <c r="A11" s="18" t="s">
        <v>81</v>
      </c>
      <c r="B11" s="16"/>
      <c r="C11" s="18"/>
      <c r="D11" s="16"/>
      <c r="E11" s="18"/>
      <c r="F11" s="16"/>
      <c r="G11" s="18"/>
      <c r="H11" s="16"/>
      <c r="I11" s="18"/>
      <c r="J11" s="16"/>
      <c r="K11" s="18"/>
      <c r="L11" s="16"/>
      <c r="M11" s="18"/>
      <c r="N11" s="16"/>
      <c r="O11" s="18" t="s">
        <v>5183</v>
      </c>
      <c r="P11" s="16"/>
      <c r="Q11" s="18"/>
      <c r="R11" s="16"/>
      <c r="S11" s="18"/>
      <c r="T11" s="20"/>
    </row>
    <row r="12" spans="1:20" ht="15.95" customHeight="1" x14ac:dyDescent="0.25">
      <c r="A12" s="18" t="s">
        <v>638</v>
      </c>
      <c r="B12" s="16"/>
      <c r="C12" s="18"/>
      <c r="D12" s="16"/>
      <c r="E12" s="18"/>
      <c r="F12" s="16"/>
      <c r="G12" s="18"/>
      <c r="H12" s="16"/>
      <c r="I12" s="18"/>
      <c r="J12" s="16"/>
      <c r="K12" s="18"/>
      <c r="L12" s="16"/>
      <c r="M12" s="18"/>
      <c r="N12" s="16"/>
      <c r="O12" s="18" t="s">
        <v>5348</v>
      </c>
      <c r="P12" s="16"/>
      <c r="Q12" s="18"/>
      <c r="R12" s="16"/>
      <c r="S12" s="18"/>
      <c r="T12" s="20"/>
    </row>
    <row r="13" spans="1:20" ht="15.95" customHeight="1" x14ac:dyDescent="0.25">
      <c r="A13" s="18" t="s">
        <v>7848</v>
      </c>
      <c r="B13" s="16"/>
      <c r="C13" s="18"/>
      <c r="D13" s="16"/>
      <c r="E13" s="18"/>
      <c r="F13" s="16"/>
      <c r="G13" s="18"/>
      <c r="H13" s="16"/>
      <c r="I13" s="18"/>
      <c r="J13" s="16"/>
      <c r="K13" s="18"/>
      <c r="L13" s="16"/>
      <c r="M13" s="18"/>
      <c r="N13" s="16"/>
      <c r="O13" s="18" t="s">
        <v>7860</v>
      </c>
      <c r="P13" s="16"/>
      <c r="Q13" s="18"/>
      <c r="R13" s="16"/>
      <c r="S13" s="18"/>
      <c r="T13" s="20"/>
    </row>
    <row r="14" spans="1:20" ht="15.95" customHeight="1" x14ac:dyDescent="0.25">
      <c r="A14" s="18" t="s">
        <v>4</v>
      </c>
      <c r="B14" s="16"/>
      <c r="C14" s="18"/>
      <c r="D14" s="16"/>
      <c r="E14" s="18"/>
      <c r="F14" s="16"/>
      <c r="G14" s="18"/>
      <c r="H14" s="16"/>
      <c r="I14" s="18"/>
      <c r="J14" s="16"/>
      <c r="K14" s="18"/>
      <c r="L14" s="16"/>
      <c r="M14" s="18"/>
      <c r="N14" s="16"/>
      <c r="O14" s="18" t="s">
        <v>4</v>
      </c>
      <c r="P14" s="16"/>
      <c r="Q14" s="18"/>
      <c r="R14" s="16"/>
      <c r="S14" s="18"/>
      <c r="T14" s="20"/>
    </row>
    <row r="15" spans="1:20" ht="15.95" customHeight="1" x14ac:dyDescent="0.25">
      <c r="A15" s="18" t="s">
        <v>7849</v>
      </c>
      <c r="B15" s="16"/>
      <c r="C15" s="18"/>
      <c r="D15" s="16"/>
      <c r="E15" s="18"/>
      <c r="F15" s="16"/>
      <c r="G15" s="18"/>
      <c r="H15" s="16"/>
      <c r="I15" s="18"/>
      <c r="J15" s="16"/>
      <c r="K15" s="18"/>
      <c r="L15" s="16"/>
      <c r="M15" s="18"/>
      <c r="N15" s="16"/>
      <c r="O15" s="18" t="s">
        <v>7861</v>
      </c>
      <c r="P15" s="16"/>
      <c r="Q15" s="18"/>
      <c r="R15" s="16"/>
      <c r="S15" s="18"/>
      <c r="T15" s="20"/>
    </row>
    <row r="16" spans="1:20" ht="15.95" customHeight="1" x14ac:dyDescent="0.25">
      <c r="A16" s="18" t="s">
        <v>4</v>
      </c>
      <c r="B16" s="16"/>
      <c r="C16" s="18"/>
      <c r="D16" s="16"/>
      <c r="E16" s="18"/>
      <c r="F16" s="16"/>
      <c r="G16" s="18"/>
      <c r="H16" s="16"/>
      <c r="I16" s="18"/>
      <c r="J16" s="16"/>
      <c r="K16" s="18"/>
      <c r="L16" s="16"/>
      <c r="M16" s="18"/>
      <c r="N16" s="16"/>
      <c r="O16" s="18" t="s">
        <v>4</v>
      </c>
      <c r="P16" s="16"/>
      <c r="Q16" s="18"/>
      <c r="R16" s="16"/>
      <c r="S16" s="18"/>
      <c r="T16" s="20"/>
    </row>
    <row r="17" spans="1:20" ht="15.95" customHeight="1" x14ac:dyDescent="0.25">
      <c r="A17" s="18" t="s">
        <v>433</v>
      </c>
      <c r="B17" s="16"/>
      <c r="C17" s="18"/>
      <c r="D17" s="16"/>
      <c r="E17" s="18"/>
      <c r="F17" s="16"/>
      <c r="G17" s="18"/>
      <c r="H17" s="16"/>
      <c r="I17" s="18"/>
      <c r="J17" s="16"/>
      <c r="K17" s="18"/>
      <c r="L17" s="16"/>
      <c r="M17" s="18"/>
      <c r="N17" s="16"/>
      <c r="O17" s="18" t="s">
        <v>5297</v>
      </c>
      <c r="P17" s="16"/>
      <c r="Q17" s="18"/>
      <c r="R17" s="16"/>
      <c r="S17" s="18"/>
      <c r="T17" s="20"/>
    </row>
    <row r="18" spans="1:20" ht="15.95" customHeight="1" x14ac:dyDescent="0.25">
      <c r="A18" s="18" t="s">
        <v>4</v>
      </c>
      <c r="B18" s="16"/>
      <c r="C18" s="18"/>
      <c r="D18" s="16"/>
      <c r="E18" s="18"/>
      <c r="F18" s="16"/>
      <c r="G18" s="18"/>
      <c r="H18" s="16"/>
      <c r="I18" s="18"/>
      <c r="J18" s="16"/>
      <c r="K18" s="18"/>
      <c r="L18" s="16"/>
      <c r="M18" s="18"/>
      <c r="N18" s="16"/>
      <c r="O18" s="18" t="s">
        <v>4</v>
      </c>
      <c r="P18" s="16"/>
      <c r="Q18" s="18"/>
      <c r="R18" s="16"/>
      <c r="S18" s="18"/>
      <c r="T18" s="20"/>
    </row>
    <row r="19" spans="1:20" ht="15.95" customHeight="1" x14ac:dyDescent="0.25">
      <c r="A19" s="18" t="s">
        <v>7850</v>
      </c>
      <c r="B19" s="16"/>
      <c r="C19" s="18"/>
      <c r="D19" s="16"/>
      <c r="E19" s="18"/>
      <c r="F19" s="16"/>
      <c r="G19" s="18"/>
      <c r="H19" s="16"/>
      <c r="I19" s="18"/>
      <c r="J19" s="16"/>
      <c r="K19" s="18"/>
      <c r="L19" s="16"/>
      <c r="M19" s="18"/>
      <c r="N19" s="16"/>
      <c r="O19" s="18" t="s">
        <v>7862</v>
      </c>
      <c r="P19" s="16"/>
      <c r="Q19" s="18"/>
      <c r="R19" s="16"/>
      <c r="S19" s="18"/>
      <c r="T19" s="20"/>
    </row>
    <row r="20" spans="1:20" ht="15.95" customHeight="1" x14ac:dyDescent="0.25">
      <c r="A20" s="18" t="s">
        <v>4</v>
      </c>
      <c r="B20" s="16"/>
      <c r="C20" s="18"/>
      <c r="D20" s="16"/>
      <c r="E20" s="18"/>
      <c r="F20" s="16"/>
      <c r="G20" s="18"/>
      <c r="H20" s="16"/>
      <c r="I20" s="18"/>
      <c r="J20" s="16"/>
      <c r="K20" s="18"/>
      <c r="L20" s="16"/>
      <c r="M20" s="18"/>
      <c r="N20" s="16"/>
      <c r="O20" s="18" t="s">
        <v>4</v>
      </c>
      <c r="P20" s="16"/>
      <c r="Q20" s="18"/>
      <c r="R20" s="16"/>
      <c r="S20" s="18"/>
      <c r="T20" s="20"/>
    </row>
    <row r="21" spans="1:20" ht="15.95" customHeight="1" x14ac:dyDescent="0.25">
      <c r="A21" s="18" t="s">
        <v>7851</v>
      </c>
      <c r="B21" s="16"/>
      <c r="C21" s="18"/>
      <c r="D21" s="16"/>
      <c r="E21" s="18"/>
      <c r="F21" s="16"/>
      <c r="G21" s="18"/>
      <c r="H21" s="16"/>
      <c r="I21" s="18"/>
      <c r="J21" s="16"/>
      <c r="K21" s="18"/>
      <c r="L21" s="16"/>
      <c r="M21" s="18"/>
      <c r="N21" s="16"/>
      <c r="O21" s="18" t="s">
        <v>7863</v>
      </c>
      <c r="P21" s="16"/>
      <c r="Q21" s="18"/>
      <c r="R21" s="16"/>
      <c r="S21" s="18"/>
      <c r="T21" s="20"/>
    </row>
    <row r="22" spans="1:20" ht="15.95" customHeight="1" x14ac:dyDescent="0.25">
      <c r="A22" s="18" t="s">
        <v>7852</v>
      </c>
      <c r="B22" s="16"/>
      <c r="C22" s="18"/>
      <c r="D22" s="16"/>
      <c r="E22" s="18"/>
      <c r="F22" s="16"/>
      <c r="G22" s="18"/>
      <c r="H22" s="16"/>
      <c r="I22" s="18"/>
      <c r="J22" s="16"/>
      <c r="K22" s="18"/>
      <c r="L22" s="16"/>
      <c r="M22" s="18"/>
      <c r="N22" s="16"/>
      <c r="O22" s="18" t="s">
        <v>7864</v>
      </c>
      <c r="P22" s="16"/>
      <c r="Q22" s="18"/>
      <c r="R22" s="16"/>
      <c r="S22" s="18"/>
      <c r="T22" s="20"/>
    </row>
    <row r="23" spans="1:20" ht="15.95" customHeight="1" x14ac:dyDescent="0.25">
      <c r="A23" s="18" t="s">
        <v>7853</v>
      </c>
      <c r="B23" s="16"/>
      <c r="C23" s="18"/>
      <c r="D23" s="16"/>
      <c r="E23" s="18"/>
      <c r="F23" s="16"/>
      <c r="G23" s="18"/>
      <c r="H23" s="16"/>
      <c r="I23" s="18"/>
      <c r="J23" s="16"/>
      <c r="K23" s="18"/>
      <c r="L23" s="16"/>
      <c r="M23" s="18"/>
      <c r="N23" s="16"/>
      <c r="O23" s="18" t="s">
        <v>7865</v>
      </c>
      <c r="P23" s="16"/>
      <c r="Q23" s="18"/>
      <c r="R23" s="16"/>
      <c r="S23" s="18"/>
      <c r="T23" s="20"/>
    </row>
    <row r="24" spans="1:20" ht="15.95" customHeight="1" x14ac:dyDescent="0.25">
      <c r="A24" s="18" t="s">
        <v>7854</v>
      </c>
      <c r="B24" s="16"/>
      <c r="C24" s="18"/>
      <c r="D24" s="16"/>
      <c r="E24" s="18"/>
      <c r="F24" s="16"/>
      <c r="G24" s="18"/>
      <c r="H24" s="16"/>
      <c r="I24" s="18"/>
      <c r="J24" s="16"/>
      <c r="K24" s="18"/>
      <c r="L24" s="16"/>
      <c r="M24" s="18"/>
      <c r="N24" s="16"/>
      <c r="O24" s="18" t="s">
        <v>7866</v>
      </c>
      <c r="P24" s="16"/>
      <c r="Q24" s="18"/>
      <c r="R24" s="16"/>
      <c r="S24" s="18"/>
      <c r="T24" s="20"/>
    </row>
    <row r="25" spans="1:20" ht="15.95" customHeight="1" x14ac:dyDescent="0.25">
      <c r="A25" s="18" t="s">
        <v>7855</v>
      </c>
      <c r="B25" s="16"/>
      <c r="C25" s="18"/>
      <c r="D25" s="16"/>
      <c r="E25" s="18"/>
      <c r="F25" s="16"/>
      <c r="G25" s="18"/>
      <c r="H25" s="16"/>
      <c r="I25" s="18"/>
      <c r="J25" s="16"/>
      <c r="K25" s="18"/>
      <c r="L25" s="16"/>
      <c r="M25" s="18"/>
      <c r="N25" s="16"/>
      <c r="O25" s="18" t="s">
        <v>7867</v>
      </c>
      <c r="P25" s="16"/>
      <c r="Q25" s="18"/>
      <c r="R25" s="16"/>
      <c r="S25" s="18"/>
      <c r="T25" s="20"/>
    </row>
    <row r="26" spans="1:20" ht="15.95" customHeight="1" x14ac:dyDescent="0.25">
      <c r="A26" s="18" t="s">
        <v>7856</v>
      </c>
      <c r="B26" s="16"/>
      <c r="C26" s="18"/>
      <c r="D26" s="16"/>
      <c r="E26" s="18"/>
      <c r="F26" s="16"/>
      <c r="G26" s="18"/>
      <c r="H26" s="16"/>
      <c r="I26" s="18"/>
      <c r="J26" s="16"/>
      <c r="K26" s="18"/>
      <c r="L26" s="16"/>
      <c r="M26" s="18"/>
      <c r="N26" s="16"/>
      <c r="O26" s="18" t="s">
        <v>7868</v>
      </c>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7" priority="6" stopIfTrue="1">
      <formula>NOT(ISERROR(A3))</formula>
    </cfRule>
  </conditionalFormatting>
  <conditionalFormatting sqref="A3:T8 A9 C9:O9 Q9:T9 A10:T51">
    <cfRule type="notContainsBlanks" dxfId="26" priority="7">
      <formula>LEN(TRIM(A3))&gt;0</formula>
    </cfRule>
  </conditionalFormatting>
  <conditionalFormatting sqref="A3:T51">
    <cfRule type="containsErrors" dxfId="25" priority="1" stopIfTrue="1">
      <formula>ISERROR(A3)</formula>
    </cfRule>
  </conditionalFormatting>
  <conditionalFormatting sqref="B9">
    <cfRule type="notContainsBlanks" dxfId="24" priority="4">
      <formula>LEN(TRIM(B9))&gt;0</formula>
    </cfRule>
  </conditionalFormatting>
  <conditionalFormatting sqref="P9">
    <cfRule type="notContainsBlanks" dxfId="23" priority="2">
      <formula>LEN(TRIM(P9))&gt;0</formula>
    </cfRule>
  </conditionalFormatting>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DA80FF-5AC2-4CE8-829C-4797CEB019B4}">
  <sheetPr codeName="Sheet85"/>
  <dimension ref="A1:T51"/>
  <sheetViews>
    <sheetView tabSelected="1" workbookViewId="0">
      <selection activeCell="Z26" sqref="Z26"/>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8" t="s">
        <v>84</v>
      </c>
    </row>
    <row r="3" spans="1:20" ht="15.95" customHeight="1" x14ac:dyDescent="0.25">
      <c r="A3" s="17" t="s">
        <v>318</v>
      </c>
      <c r="B3" s="16" t="str">
        <f>TRIM(_xlfn.TEXTBEFORE(A3, ":"))</f>
        <v>Item Class</v>
      </c>
      <c r="C3" s="17" t="s">
        <v>2038</v>
      </c>
      <c r="D3" s="16" t="str">
        <f>TRIM(_xlfn.TEXTBEFORE(C3, ":"))</f>
        <v>Gegenstandsklasse</v>
      </c>
      <c r="E3" s="17" t="s">
        <v>2756</v>
      </c>
      <c r="F3" s="16" t="str">
        <f>TRIM(_xlfn.TEXTBEFORE(E3, ":"))</f>
        <v>Clase de objeto</v>
      </c>
      <c r="G3" s="17" t="s">
        <v>1292</v>
      </c>
      <c r="H3" s="16" t="str">
        <f>TRIM(_xlfn.TEXTBEFORE(G3, ":"))</f>
        <v>Classe d'objet</v>
      </c>
      <c r="I3" s="17" t="s">
        <v>3489</v>
      </c>
      <c r="J3" s="16" t="str">
        <f>TRIM(_xlfn.TEXTBEFORE(I3, ":"))</f>
        <v>アイテムクラス</v>
      </c>
      <c r="K3" s="17" t="s">
        <v>4229</v>
      </c>
      <c r="L3" s="16" t="str">
        <f>TRIM(_xlfn.TEXTBEFORE(K3, ":"))</f>
        <v>아이템 종류</v>
      </c>
      <c r="M3" s="17" t="s">
        <v>4916</v>
      </c>
      <c r="N3" s="16" t="str">
        <f>TRIM(_xlfn.TEXTBEFORE(M3, ":"))</f>
        <v>Classe do Item</v>
      </c>
      <c r="O3" s="17" t="s">
        <v>5644</v>
      </c>
      <c r="P3" s="16" t="str">
        <f>TRIM(_xlfn.TEXTBEFORE(O3, ":"))</f>
        <v>Класс предмета</v>
      </c>
      <c r="Q3" s="17" t="s">
        <v>6313</v>
      </c>
      <c r="R3" s="16" t="str">
        <f>TRIM(_xlfn.TEXTBEFORE(Q3, ":"))</f>
        <v>ชนิดไอเทม</v>
      </c>
      <c r="S3" s="17" t="s">
        <v>7895</v>
      </c>
      <c r="T3" s="20" t="str">
        <f>TRIM(_xlfn.TEXTBEFORE(S3, ":"))</f>
        <v>物品種類</v>
      </c>
    </row>
    <row r="4" spans="1:20" ht="15.95" customHeight="1" x14ac:dyDescent="0.25">
      <c r="A4" s="18" t="s">
        <v>470</v>
      </c>
      <c r="B4" s="16" t="str">
        <f>TRIM(_xlfn.TEXTAFTER(A3, ":"))</f>
        <v>Sceptres</v>
      </c>
      <c r="C4" s="18" t="s">
        <v>1681</v>
      </c>
      <c r="D4" s="16" t="str">
        <f>TRIM(_xlfn.TEXTAFTER(C3, ":"))</f>
        <v>Zepter</v>
      </c>
      <c r="E4" s="18" t="s">
        <v>2400</v>
      </c>
      <c r="F4" s="16" t="str">
        <f>TRIM(_xlfn.TEXTAFTER(E3, ":"))</f>
        <v>Cetros</v>
      </c>
      <c r="G4" s="18" t="s">
        <v>948</v>
      </c>
      <c r="H4" s="16" t="str">
        <f>TRIM(_xlfn.TEXTAFTER(G3, ":"))</f>
        <v>Sceptres</v>
      </c>
      <c r="I4" s="18" t="s">
        <v>3118</v>
      </c>
      <c r="J4" s="16" t="str">
        <f>TRIM(_xlfn.TEXTAFTER(I3, ":"))</f>
        <v>セプター</v>
      </c>
      <c r="K4" s="18" t="s">
        <v>3865</v>
      </c>
      <c r="L4" s="16" t="str">
        <f>TRIM(_xlfn.TEXTAFTER(K3, ":"))</f>
        <v>셉터</v>
      </c>
      <c r="M4" s="18" t="s">
        <v>4595</v>
      </c>
      <c r="N4" s="16" t="str">
        <f>TRIM(_xlfn.TEXTAFTER(M3, ":"))</f>
        <v>Cetros</v>
      </c>
      <c r="O4" s="18" t="s">
        <v>5278</v>
      </c>
      <c r="P4" s="16" t="str">
        <f>TRIM(_xlfn.TEXTAFTER(O3, ":"))</f>
        <v>Скипетры</v>
      </c>
      <c r="Q4" s="18" t="s">
        <v>6012</v>
      </c>
      <c r="R4" s="16" t="str">
        <f>TRIM(_xlfn.TEXTAFTER(Q3, ":"))</f>
        <v>คทา</v>
      </c>
      <c r="S4" s="18" t="s">
        <v>7493</v>
      </c>
      <c r="T4" s="20" t="str">
        <f>TRIM(_xlfn.TEXTAFTER(S3, ":"))</f>
        <v>權杖</v>
      </c>
    </row>
    <row r="5" spans="1:20" ht="15.95" customHeight="1" x14ac:dyDescent="0.25">
      <c r="A5" s="18" t="s">
        <v>7872</v>
      </c>
      <c r="B5" s="16" t="str">
        <f>TRIM(_xlfn.TEXTBEFORE(A4, ":"))</f>
        <v>Rarity</v>
      </c>
      <c r="C5" s="18" t="s">
        <v>7880</v>
      </c>
      <c r="D5" s="16" t="str">
        <f>TRIM(_xlfn.TEXTBEFORE(C4, ":"))</f>
        <v>Seltenheit</v>
      </c>
      <c r="E5" s="18" t="s">
        <v>7901</v>
      </c>
      <c r="F5" s="16" t="str">
        <f>TRIM(_xlfn.TEXTBEFORE(E4, ":"))</f>
        <v>Rareza</v>
      </c>
      <c r="G5" s="18" t="s">
        <v>7876</v>
      </c>
      <c r="H5" s="16" t="str">
        <f>TRIM(_xlfn.TEXTBEFORE(G4, ":"))</f>
        <v>Rareté</v>
      </c>
      <c r="I5" s="18" t="s">
        <v>7909</v>
      </c>
      <c r="J5" s="16" t="str">
        <f>TRIM(_xlfn.TEXTBEFORE(I4, ":"))</f>
        <v>レアリティ</v>
      </c>
      <c r="K5" s="18" t="s">
        <v>7905</v>
      </c>
      <c r="L5" s="16" t="str">
        <f>TRIM(_xlfn.TEXTBEFORE(K4, ":"))</f>
        <v>아이템 희귀도</v>
      </c>
      <c r="M5" s="18" t="s">
        <v>7884</v>
      </c>
      <c r="N5" s="16" t="str">
        <f>TRIM(_xlfn.TEXTBEFORE(M4, ":"))</f>
        <v>Raridade</v>
      </c>
      <c r="O5" s="18" t="s">
        <v>7888</v>
      </c>
      <c r="P5" s="16" t="str">
        <f>TRIM(_xlfn.TEXTBEFORE(O4, ":"))</f>
        <v>Редкость</v>
      </c>
      <c r="Q5" s="18" t="s">
        <v>7872</v>
      </c>
      <c r="R5" s="16" t="str">
        <f>TRIM(_xlfn.TEXTBEFORE(Q4, ":"))</f>
        <v>ความหายาก</v>
      </c>
      <c r="S5" s="18" t="s">
        <v>7896</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7873</v>
      </c>
      <c r="B7" s="16" t="str">
        <f>TRIM(_xlfn.TEXTBEFORE(A7,":"))</f>
        <v>Spirit</v>
      </c>
      <c r="C7" s="18" t="s">
        <v>7881</v>
      </c>
      <c r="D7" s="16" t="str">
        <f>TRIM(_xlfn.TEXTBEFORE(C7,":"))</f>
        <v>Wille</v>
      </c>
      <c r="E7" s="18" t="s">
        <v>7902</v>
      </c>
      <c r="F7" s="16" t="str">
        <f>TRIM(_xlfn.TEXTBEFORE(E7,":"))</f>
        <v>Espíritu</v>
      </c>
      <c r="G7" s="18" t="s">
        <v>7877</v>
      </c>
      <c r="H7" s="16" t="str">
        <f>TRIM(_xlfn.TEXTBEFORE(G7,":"))</f>
        <v>Esprit</v>
      </c>
      <c r="I7" s="18" t="s">
        <v>7910</v>
      </c>
      <c r="J7" s="16" t="str">
        <f>TRIM(_xlfn.TEXTBEFORE(I7,":"))</f>
        <v>スピリット</v>
      </c>
      <c r="K7" s="18" t="s">
        <v>7906</v>
      </c>
      <c r="L7" s="16" t="str">
        <f>TRIM(_xlfn.TEXTBEFORE(K7,":"))</f>
        <v>정신력</v>
      </c>
      <c r="M7" s="18" t="s">
        <v>7885</v>
      </c>
      <c r="N7" s="16" t="str">
        <f>TRIM(_xlfn.TEXTBEFORE(M7,":"))</f>
        <v>Espírito</v>
      </c>
      <c r="O7" s="18" t="s">
        <v>7889</v>
      </c>
      <c r="P7" s="16" t="str">
        <f>TRIM(_xlfn.TEXTBEFORE(O7,":"))</f>
        <v>Дух</v>
      </c>
      <c r="Q7" s="18" t="s">
        <v>7892</v>
      </c>
      <c r="R7" s="16" t="str">
        <f>TRIM(_xlfn.TEXTBEFORE(Q7,":"))</f>
        <v>พลังวิญญาณ</v>
      </c>
      <c r="S7" s="18" t="s">
        <v>7897</v>
      </c>
      <c r="T7" s="16" t="str">
        <f>TRIM(_xlfn.TEXTBEFORE(S7,":"))</f>
        <v>精魂</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7874</v>
      </c>
      <c r="B9" s="16"/>
      <c r="C9" s="18" t="s">
        <v>7882</v>
      </c>
      <c r="D9" s="16"/>
      <c r="E9" s="18" t="s">
        <v>7903</v>
      </c>
      <c r="F9" s="16"/>
      <c r="G9" s="18" t="s">
        <v>7878</v>
      </c>
      <c r="H9" s="16"/>
      <c r="I9" s="18" t="s">
        <v>7911</v>
      </c>
      <c r="J9" s="16"/>
      <c r="K9" s="18" t="s">
        <v>7907</v>
      </c>
      <c r="L9" s="16"/>
      <c r="M9" s="18" t="s">
        <v>7886</v>
      </c>
      <c r="N9" s="16"/>
      <c r="O9" s="18" t="s">
        <v>7890</v>
      </c>
      <c r="P9" s="16"/>
      <c r="Q9" s="18" t="s">
        <v>7893</v>
      </c>
      <c r="R9" s="16"/>
      <c r="S9" s="18" t="s">
        <v>7898</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231</v>
      </c>
      <c r="B11" s="16"/>
      <c r="C11" s="18" t="s">
        <v>1751</v>
      </c>
      <c r="D11" s="16"/>
      <c r="E11" s="18" t="s">
        <v>2470</v>
      </c>
      <c r="F11" s="16"/>
      <c r="G11" s="18" t="s">
        <v>1019</v>
      </c>
      <c r="H11" s="16"/>
      <c r="I11" s="18" t="s">
        <v>3188</v>
      </c>
      <c r="J11" s="16"/>
      <c r="K11" s="18" t="s">
        <v>3935</v>
      </c>
      <c r="L11" s="16"/>
      <c r="M11" s="18" t="s">
        <v>4664</v>
      </c>
      <c r="N11" s="16"/>
      <c r="O11" s="18" t="s">
        <v>5349</v>
      </c>
      <c r="P11" s="16"/>
      <c r="Q11" s="18" t="s">
        <v>6079</v>
      </c>
      <c r="R11" s="16"/>
      <c r="S11" s="18" t="s">
        <v>7899</v>
      </c>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7875</v>
      </c>
      <c r="B13" s="16"/>
      <c r="C13" s="18" t="s">
        <v>7883</v>
      </c>
      <c r="D13" s="16"/>
      <c r="E13" s="18" t="s">
        <v>7904</v>
      </c>
      <c r="F13" s="16"/>
      <c r="G13" s="18" t="s">
        <v>7879</v>
      </c>
      <c r="H13" s="16"/>
      <c r="I13" s="18" t="s">
        <v>7912</v>
      </c>
      <c r="J13" s="16"/>
      <c r="K13" s="18" t="s">
        <v>7908</v>
      </c>
      <c r="L13" s="16"/>
      <c r="M13" s="18" t="s">
        <v>7887</v>
      </c>
      <c r="N13" s="16"/>
      <c r="O13" s="18" t="s">
        <v>7891</v>
      </c>
      <c r="P13" s="16"/>
      <c r="Q13" s="18" t="s">
        <v>7894</v>
      </c>
      <c r="R13" s="16"/>
      <c r="S13" s="18" t="s">
        <v>7900</v>
      </c>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2" priority="22" stopIfTrue="1">
      <formula>NOT(ISERROR(A3))</formula>
    </cfRule>
  </conditionalFormatting>
  <conditionalFormatting sqref="A3:T6 A8:T51 A7 C7 E7 G7 I7 K7 M7 O7 Q7 S7">
    <cfRule type="containsErrors" dxfId="21" priority="21" stopIfTrue="1">
      <formula>ISERROR(A3)</formula>
    </cfRule>
    <cfRule type="notContainsBlanks" dxfId="20" priority="23">
      <formula>LEN(TRIM(A3))&gt;0</formula>
    </cfRule>
  </conditionalFormatting>
  <conditionalFormatting sqref="B7">
    <cfRule type="containsErrors" dxfId="19" priority="19" stopIfTrue="1">
      <formula>ISERROR(B7)</formula>
    </cfRule>
  </conditionalFormatting>
  <conditionalFormatting sqref="B7">
    <cfRule type="notContainsBlanks" dxfId="18" priority="20">
      <formula>LEN(TRIM(B7))&gt;0</formula>
    </cfRule>
  </conditionalFormatting>
  <conditionalFormatting sqref="D7">
    <cfRule type="containsErrors" dxfId="17" priority="17" stopIfTrue="1">
      <formula>ISERROR(D7)</formula>
    </cfRule>
  </conditionalFormatting>
  <conditionalFormatting sqref="D7">
    <cfRule type="notContainsBlanks" dxfId="16" priority="18">
      <formula>LEN(TRIM(D7))&gt;0</formula>
    </cfRule>
  </conditionalFormatting>
  <conditionalFormatting sqref="F7">
    <cfRule type="containsErrors" dxfId="15" priority="15" stopIfTrue="1">
      <formula>ISERROR(F7)</formula>
    </cfRule>
  </conditionalFormatting>
  <conditionalFormatting sqref="F7">
    <cfRule type="notContainsBlanks" dxfId="14" priority="16">
      <formula>LEN(TRIM(F7))&gt;0</formula>
    </cfRule>
  </conditionalFormatting>
  <conditionalFormatting sqref="H7">
    <cfRule type="containsErrors" dxfId="13" priority="13" stopIfTrue="1">
      <formula>ISERROR(H7)</formula>
    </cfRule>
  </conditionalFormatting>
  <conditionalFormatting sqref="H7">
    <cfRule type="notContainsBlanks" dxfId="12" priority="14">
      <formula>LEN(TRIM(H7))&gt;0</formula>
    </cfRule>
  </conditionalFormatting>
  <conditionalFormatting sqref="J7">
    <cfRule type="containsErrors" dxfId="11" priority="11" stopIfTrue="1">
      <formula>ISERROR(J7)</formula>
    </cfRule>
  </conditionalFormatting>
  <conditionalFormatting sqref="J7">
    <cfRule type="notContainsBlanks" dxfId="10" priority="12">
      <formula>LEN(TRIM(J7))&gt;0</formula>
    </cfRule>
  </conditionalFormatting>
  <conditionalFormatting sqref="L7">
    <cfRule type="containsErrors" dxfId="9" priority="9" stopIfTrue="1">
      <formula>ISERROR(L7)</formula>
    </cfRule>
  </conditionalFormatting>
  <conditionalFormatting sqref="L7">
    <cfRule type="notContainsBlanks" dxfId="8" priority="10">
      <formula>LEN(TRIM(L7))&gt;0</formula>
    </cfRule>
  </conditionalFormatting>
  <conditionalFormatting sqref="N7">
    <cfRule type="containsErrors" dxfId="7" priority="7" stopIfTrue="1">
      <formula>ISERROR(N7)</formula>
    </cfRule>
  </conditionalFormatting>
  <conditionalFormatting sqref="N7">
    <cfRule type="notContainsBlanks" dxfId="6" priority="8">
      <formula>LEN(TRIM(N7))&gt;0</formula>
    </cfRule>
  </conditionalFormatting>
  <conditionalFormatting sqref="P7">
    <cfRule type="containsErrors" dxfId="5" priority="5" stopIfTrue="1">
      <formula>ISERROR(P7)</formula>
    </cfRule>
  </conditionalFormatting>
  <conditionalFormatting sqref="P7">
    <cfRule type="notContainsBlanks" dxfId="4" priority="6">
      <formula>LEN(TRIM(P7))&gt;0</formula>
    </cfRule>
  </conditionalFormatting>
  <conditionalFormatting sqref="R7">
    <cfRule type="containsErrors" dxfId="3" priority="3" stopIfTrue="1">
      <formula>ISERROR(R7)</formula>
    </cfRule>
  </conditionalFormatting>
  <conditionalFormatting sqref="R7">
    <cfRule type="notContainsBlanks" dxfId="2" priority="4">
      <formula>LEN(TRIM(R7))&gt;0</formula>
    </cfRule>
  </conditionalFormatting>
  <conditionalFormatting sqref="T7">
    <cfRule type="containsErrors" dxfId="1" priority="1" stopIfTrue="1">
      <formula>ISERROR(T7)</formula>
    </cfRule>
  </conditionalFormatting>
  <conditionalFormatting sqref="T7">
    <cfRule type="notContainsBlanks" dxfId="0" priority="2">
      <formula>LEN(TRIM(T7))&gt;0</formula>
    </cfRule>
  </conditionalFormatting>
  <pageMargins left="0.7" right="0.7" top="0.75" bottom="0.75" header="0.3" footer="0.3"/>
  <pageSetup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85</vt:i4>
      </vt:variant>
    </vt:vector>
  </HeadingPairs>
  <TitlesOfParts>
    <vt:vector size="85" baseType="lpstr">
      <vt:lpstr>Sheets</vt:lpstr>
      <vt:lpstr>Result</vt:lpstr>
      <vt:lpstr>Empty</vt:lpstr>
      <vt:lpstr>Anomalous Gem</vt:lpstr>
      <vt:lpstr>Divergent Support Gem</vt:lpstr>
      <vt:lpstr>Phantasmal Gem</vt:lpstr>
      <vt:lpstr>Chaos Orb</vt:lpstr>
      <vt:lpstr>Resonator</vt:lpstr>
      <vt:lpstr>Card</vt:lpstr>
      <vt:lpstr>Metamorph Sample</vt:lpstr>
      <vt:lpstr>Blighted Map</vt:lpstr>
      <vt:lpstr>Blight-ravaged Map</vt:lpstr>
      <vt:lpstr>Blueprint</vt:lpstr>
      <vt:lpstr>Contract</vt:lpstr>
      <vt:lpstr>Logbook</vt:lpstr>
      <vt:lpstr>Map</vt:lpstr>
      <vt:lpstr>Map Fragment</vt:lpstr>
      <vt:lpstr>Memory</vt:lpstr>
      <vt:lpstr>Misc Map Item</vt:lpstr>
      <vt:lpstr>Tome</vt:lpstr>
      <vt:lpstr>Hybrid Flask</vt:lpstr>
      <vt:lpstr>Mana Flask</vt:lpstr>
      <vt:lpstr>Life Flask</vt:lpstr>
      <vt:lpstr>Magic Utility Flask</vt:lpstr>
      <vt:lpstr>Foiled Amulet</vt:lpstr>
      <vt:lpstr>Unidentified ring</vt:lpstr>
      <vt:lpstr>Abyssus</vt:lpstr>
      <vt:lpstr>Carcass Jack</vt:lpstr>
      <vt:lpstr>Mistwall</vt:lpstr>
      <vt:lpstr>White Wind</vt:lpstr>
      <vt:lpstr>Crusader</vt:lpstr>
      <vt:lpstr>Elder</vt:lpstr>
      <vt:lpstr>Hunter</vt:lpstr>
      <vt:lpstr>Redeemer</vt:lpstr>
      <vt:lpstr>Shaper</vt:lpstr>
      <vt:lpstr>Warlord</vt:lpstr>
      <vt:lpstr>Abyssal Jewel</vt:lpstr>
      <vt:lpstr>Belt</vt:lpstr>
      <vt:lpstr>Boots</vt:lpstr>
      <vt:lpstr>Gloves</vt:lpstr>
      <vt:lpstr>Bow</vt:lpstr>
      <vt:lpstr>Claw</vt:lpstr>
      <vt:lpstr>Dagger</vt:lpstr>
      <vt:lpstr>Jewel</vt:lpstr>
      <vt:lpstr>Quiver</vt:lpstr>
      <vt:lpstr>Sceptre</vt:lpstr>
      <vt:lpstr>Staff</vt:lpstr>
      <vt:lpstr>Wand</vt:lpstr>
      <vt:lpstr>Warstaff</vt:lpstr>
      <vt:lpstr>1H Sword</vt:lpstr>
      <vt:lpstr>1H Thrusting Sword</vt:lpstr>
      <vt:lpstr>2H Sword</vt:lpstr>
      <vt:lpstr>1H Axe</vt:lpstr>
      <vt:lpstr>2H Axe</vt:lpstr>
      <vt:lpstr>1H Mace</vt:lpstr>
      <vt:lpstr>2H Mace</vt:lpstr>
      <vt:lpstr>Heist Brooch</vt:lpstr>
      <vt:lpstr>Heist Cloak</vt:lpstr>
      <vt:lpstr>Heist Gear</vt:lpstr>
      <vt:lpstr>Heist Target</vt:lpstr>
      <vt:lpstr>Heist Tool</vt:lpstr>
      <vt:lpstr>Heist Trinket</vt:lpstr>
      <vt:lpstr>Fishing Rod</vt:lpstr>
      <vt:lpstr>Tinctures</vt:lpstr>
      <vt:lpstr>Sanctum Relics</vt:lpstr>
      <vt:lpstr>Corpses</vt:lpstr>
      <vt:lpstr>Fire Damage Property</vt:lpstr>
      <vt:lpstr>Cold Damage Property</vt:lpstr>
      <vt:lpstr>Lightning Damage Property</vt:lpstr>
      <vt:lpstr>Chaos Damage Property</vt:lpstr>
      <vt:lpstr>Rapier</vt:lpstr>
      <vt:lpstr>Focus</vt:lpstr>
      <vt:lpstr>Socketable</vt:lpstr>
      <vt:lpstr>Waystone</vt:lpstr>
      <vt:lpstr>Barya</vt:lpstr>
      <vt:lpstr>Ultimatum</vt:lpstr>
      <vt:lpstr>Tablet</vt:lpstr>
      <vt:lpstr>Crossbow</vt:lpstr>
      <vt:lpstr>Quarterstaff</vt:lpstr>
      <vt:lpstr>Block Chance</vt:lpstr>
      <vt:lpstr>Breachstone</vt:lpstr>
      <vt:lpstr>Boss Key</vt:lpstr>
      <vt:lpstr>Omen</vt:lpstr>
      <vt:lpstr>Alternate Energy Shield</vt:lpstr>
      <vt:lpstr>Spirit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Yanic Lemire</dc:creator>
  <cp:lastModifiedBy>Yanic Lemire</cp:lastModifiedBy>
  <dcterms:created xsi:type="dcterms:W3CDTF">2023-11-12T18:14:56Z</dcterms:created>
  <dcterms:modified xsi:type="dcterms:W3CDTF">2025-03-15T22:22:54Z</dcterms:modified>
</cp:coreProperties>
</file>